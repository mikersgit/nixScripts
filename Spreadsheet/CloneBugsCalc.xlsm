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wroberts\Documents\bugs\"/>
    </mc:Choice>
  </mc:AlternateContent>
  <bookViews>
    <workbookView xWindow="0" yWindow="0" windowWidth="20112" windowHeight="10776"/>
  </bookViews>
  <sheets>
    <sheet name="CloneBugs" sheetId="2" r:id="rId1"/>
    <sheet name="targbuildCalc" sheetId="3" r:id="rId2"/>
    <sheet name="VBAdata" sheetId="1" r:id="rId3"/>
  </sheets>
  <functionGroups builtInGroupCount="18"/>
  <externalReferences>
    <externalReference r:id="rId4"/>
    <externalReference r:id="rId5"/>
  </externalReferences>
  <definedNames>
    <definedName name="_xlnm._FilterDatabase" localSheetId="0" hidden="1">CloneBugs!$H$1:$U$11</definedName>
    <definedName name="analysis" comment="has all of the calculations">'[1]bugs-2014-03-11'!$A$1:$G$69</definedName>
    <definedName name="bugs">CloneBugs!$H$2:$H$10</definedName>
    <definedName name="reporter">'[2]bugs-2014-02-06'!$Q$2:$Q$1048576</definedName>
    <definedName name="Targets">CloneBugs!$I$20:$I$26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9" i="3" l="1"/>
  <c r="F119" i="3"/>
  <c r="F120" i="3" s="1"/>
  <c r="F121" i="3" s="1"/>
  <c r="E120" i="3"/>
  <c r="E121" i="3" s="1"/>
  <c r="D17" i="2" l="1"/>
  <c r="F3" i="2"/>
  <c r="F9" i="2"/>
  <c r="F7" i="2"/>
  <c r="G5" i="2"/>
  <c r="F4" i="2"/>
  <c r="F6" i="2"/>
  <c r="F11" i="2"/>
  <c r="F2" i="2"/>
  <c r="G6" i="2"/>
  <c r="G3" i="2"/>
  <c r="G4" i="2"/>
  <c r="F8" i="2"/>
  <c r="F5" i="2"/>
  <c r="G8" i="2"/>
  <c r="G9" i="2"/>
  <c r="G11" i="2"/>
  <c r="F10" i="2"/>
  <c r="G7" i="2"/>
  <c r="G2" i="2"/>
  <c r="G10" i="2"/>
  <c r="E95" i="3" l="1"/>
  <c r="E96" i="3" s="1"/>
  <c r="E97" i="3" s="1"/>
  <c r="F95" i="3"/>
  <c r="F96" i="3" s="1"/>
  <c r="F97" i="3" s="1"/>
  <c r="E115" i="3"/>
  <c r="E116" i="3" s="1"/>
  <c r="E117" i="3" s="1"/>
  <c r="E118" i="3" s="1"/>
  <c r="F115" i="3"/>
  <c r="F116" i="3"/>
  <c r="F117" i="3"/>
  <c r="F118" i="3"/>
  <c r="J109" i="3"/>
  <c r="E110" i="3"/>
  <c r="E111" i="3" s="1"/>
  <c r="E112" i="3" s="1"/>
  <c r="E113" i="3" s="1"/>
  <c r="E114" i="3" s="1"/>
  <c r="F110" i="3"/>
  <c r="F111" i="3" s="1"/>
  <c r="F112" i="3" s="1"/>
  <c r="F113" i="3" s="1"/>
  <c r="F114" i="3" s="1"/>
  <c r="H109" i="3"/>
  <c r="E90" i="3"/>
  <c r="E91" i="3" s="1"/>
  <c r="E92" i="3" s="1"/>
  <c r="E93" i="3" s="1"/>
  <c r="E94" i="3" s="1"/>
  <c r="B110" i="3"/>
  <c r="A110" i="3"/>
  <c r="C110" i="3"/>
  <c r="D110" i="3"/>
  <c r="J110" i="3" l="1"/>
  <c r="H110" i="3"/>
  <c r="C8" i="2"/>
  <c r="D8" i="2"/>
  <c r="E8" i="2"/>
  <c r="C9" i="2"/>
  <c r="D9" i="2"/>
  <c r="E9" i="2"/>
  <c r="C10" i="2"/>
  <c r="D10" i="2"/>
  <c r="E10" i="2"/>
  <c r="C11" i="2"/>
  <c r="D11" i="2"/>
  <c r="E11" i="2"/>
  <c r="H2" i="3"/>
  <c r="J2" i="3"/>
  <c r="B111" i="3"/>
  <c r="D111" i="3"/>
  <c r="A111" i="3"/>
  <c r="C111" i="3"/>
  <c r="J111" i="3" l="1"/>
  <c r="H111" i="3"/>
  <c r="A11" i="2"/>
  <c r="C3" i="3"/>
  <c r="B112" i="3"/>
  <c r="C112" i="3"/>
  <c r="D3" i="3"/>
  <c r="D112" i="3"/>
  <c r="A112" i="3"/>
  <c r="B3" i="3"/>
  <c r="A3" i="3"/>
  <c r="J112" i="3" l="1"/>
  <c r="H112" i="3"/>
  <c r="A10" i="2"/>
  <c r="A9" i="2"/>
  <c r="A8" i="2"/>
  <c r="E3" i="3"/>
  <c r="H3" i="3" s="1"/>
  <c r="F3" i="3"/>
  <c r="F4" i="3"/>
  <c r="F5" i="3"/>
  <c r="F6" i="3"/>
  <c r="F7" i="3"/>
  <c r="F9" i="3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E38" i="3"/>
  <c r="E39" i="3"/>
  <c r="E40" i="3"/>
  <c r="H46" i="3"/>
  <c r="J46" i="3"/>
  <c r="C4" i="3"/>
  <c r="B113" i="3"/>
  <c r="D4" i="3"/>
  <c r="A113" i="3"/>
  <c r="B47" i="3"/>
  <c r="D113" i="3"/>
  <c r="B4" i="3"/>
  <c r="C47" i="3"/>
  <c r="D47" i="3"/>
  <c r="A47" i="3"/>
  <c r="A4" i="3"/>
  <c r="C113" i="3"/>
  <c r="J113" i="3" l="1"/>
  <c r="H113" i="3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J3" i="3"/>
  <c r="H4" i="3"/>
  <c r="J4" i="3"/>
  <c r="E47" i="3"/>
  <c r="F47" i="3"/>
  <c r="F48" i="3" s="1"/>
  <c r="F49" i="3" s="1"/>
  <c r="F50" i="3" s="1"/>
  <c r="F51" i="3" s="1"/>
  <c r="F52" i="3" s="1"/>
  <c r="F53" i="3" s="1"/>
  <c r="J47" i="3"/>
  <c r="E48" i="3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F55" i="3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E83" i="3"/>
  <c r="F84" i="3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E85" i="3"/>
  <c r="E86" i="3" s="1"/>
  <c r="E87" i="3" s="1"/>
  <c r="E88" i="3" s="1"/>
  <c r="E89" i="3" s="1"/>
  <c r="H103" i="3"/>
  <c r="J103" i="3"/>
  <c r="E104" i="3"/>
  <c r="F104" i="3"/>
  <c r="F105" i="3" s="1"/>
  <c r="C2" i="2"/>
  <c r="D2" i="2"/>
  <c r="A2" i="2" s="1"/>
  <c r="E2" i="2"/>
  <c r="A104" i="3"/>
  <c r="A5" i="3"/>
  <c r="D48" i="3"/>
  <c r="D104" i="3"/>
  <c r="C114" i="3"/>
  <c r="A48" i="3"/>
  <c r="B104" i="3"/>
  <c r="C5" i="3"/>
  <c r="A114" i="3"/>
  <c r="D114" i="3"/>
  <c r="C48" i="3"/>
  <c r="C104" i="3"/>
  <c r="D5" i="3"/>
  <c r="B5" i="3"/>
  <c r="B48" i="3"/>
  <c r="B114" i="3"/>
  <c r="J114" i="3" l="1"/>
  <c r="H114" i="3"/>
  <c r="H47" i="3"/>
  <c r="H5" i="3"/>
  <c r="J5" i="3"/>
  <c r="J48" i="3"/>
  <c r="H48" i="3"/>
  <c r="J104" i="3"/>
  <c r="H104" i="3"/>
  <c r="C3" i="2"/>
  <c r="D3" i="2"/>
  <c r="E3" i="2"/>
  <c r="C4" i="2"/>
  <c r="D4" i="2"/>
  <c r="E4" i="2"/>
  <c r="C5" i="2"/>
  <c r="D5" i="2"/>
  <c r="E5" i="2"/>
  <c r="C6" i="2"/>
  <c r="D6" i="2"/>
  <c r="E6" i="2"/>
  <c r="C7" i="2"/>
  <c r="D7" i="2"/>
  <c r="E7" i="2"/>
  <c r="D105" i="3"/>
  <c r="A105" i="3"/>
  <c r="D6" i="3"/>
  <c r="B49" i="3"/>
  <c r="A49" i="3"/>
  <c r="C105" i="3"/>
  <c r="C49" i="3"/>
  <c r="A6" i="3"/>
  <c r="A115" i="3"/>
  <c r="B105" i="3"/>
  <c r="D49" i="3"/>
  <c r="B115" i="3"/>
  <c r="C6" i="3"/>
  <c r="C115" i="3"/>
  <c r="D115" i="3"/>
  <c r="B6" i="3"/>
  <c r="J115" i="3" l="1"/>
  <c r="H115" i="3"/>
  <c r="J6" i="3"/>
  <c r="A3" i="2"/>
  <c r="H49" i="3"/>
  <c r="J49" i="3"/>
  <c r="H6" i="3"/>
  <c r="J105" i="3"/>
  <c r="H105" i="3"/>
  <c r="A4" i="2"/>
  <c r="A7" i="2"/>
  <c r="A6" i="2"/>
  <c r="A5" i="2"/>
  <c r="D50" i="3"/>
  <c r="A116" i="3"/>
  <c r="A50" i="3"/>
  <c r="C116" i="3"/>
  <c r="B7" i="3"/>
  <c r="D116" i="3"/>
  <c r="B50" i="3"/>
  <c r="A7" i="3"/>
  <c r="C7" i="3"/>
  <c r="C50" i="3"/>
  <c r="B116" i="3"/>
  <c r="D7" i="3"/>
  <c r="J116" i="3" l="1"/>
  <c r="H116" i="3"/>
  <c r="H50" i="3"/>
  <c r="J50" i="3"/>
  <c r="J7" i="3"/>
  <c r="H7" i="3"/>
  <c r="A8" i="3"/>
  <c r="A117" i="3"/>
  <c r="A51" i="3"/>
  <c r="D51" i="3"/>
  <c r="C8" i="3"/>
  <c r="B8" i="3"/>
  <c r="D117" i="3"/>
  <c r="B117" i="3"/>
  <c r="D8" i="3"/>
  <c r="C51" i="3"/>
  <c r="C117" i="3"/>
  <c r="B51" i="3"/>
  <c r="J117" i="3" l="1"/>
  <c r="H117" i="3"/>
  <c r="J51" i="3"/>
  <c r="H51" i="3"/>
  <c r="J8" i="3"/>
  <c r="H8" i="3"/>
  <c r="B118" i="3"/>
  <c r="B52" i="3"/>
  <c r="C118" i="3"/>
  <c r="D9" i="3"/>
  <c r="A9" i="3"/>
  <c r="D52" i="3"/>
  <c r="D118" i="3"/>
  <c r="A118" i="3"/>
  <c r="B9" i="3"/>
  <c r="A52" i="3"/>
  <c r="C52" i="3"/>
  <c r="C9" i="3"/>
  <c r="J118" i="3" l="1"/>
  <c r="H118" i="3"/>
  <c r="J52" i="3"/>
  <c r="H52" i="3"/>
  <c r="J9" i="3"/>
  <c r="H9" i="3"/>
  <c r="A53" i="3"/>
  <c r="C119" i="3"/>
  <c r="A10" i="3"/>
  <c r="B53" i="3"/>
  <c r="D53" i="3"/>
  <c r="A119" i="3"/>
  <c r="A120" i="3" s="1"/>
  <c r="A121" i="3" s="1"/>
  <c r="D119" i="3"/>
  <c r="C53" i="3"/>
  <c r="D10" i="3"/>
  <c r="B119" i="3"/>
  <c r="B10" i="3"/>
  <c r="C10" i="3"/>
  <c r="J119" i="3" l="1"/>
  <c r="H119" i="3"/>
  <c r="J53" i="3"/>
  <c r="H53" i="3"/>
  <c r="J10" i="3"/>
  <c r="H10" i="3"/>
  <c r="C54" i="3"/>
  <c r="B54" i="3"/>
  <c r="D11" i="3"/>
  <c r="C120" i="3"/>
  <c r="B120" i="3"/>
  <c r="C11" i="3"/>
  <c r="A54" i="3"/>
  <c r="B11" i="3"/>
  <c r="D54" i="3"/>
  <c r="D120" i="3"/>
  <c r="A11" i="3"/>
  <c r="J120" i="3" l="1"/>
  <c r="H120" i="3"/>
  <c r="H54" i="3"/>
  <c r="J54" i="3"/>
  <c r="J11" i="3"/>
  <c r="H11" i="3"/>
  <c r="B121" i="3"/>
  <c r="D121" i="3"/>
  <c r="B55" i="3"/>
  <c r="A55" i="3"/>
  <c r="C121" i="3"/>
  <c r="A12" i="3"/>
  <c r="D55" i="3"/>
  <c r="D12" i="3"/>
  <c r="C12" i="3"/>
  <c r="C55" i="3"/>
  <c r="B12" i="3"/>
  <c r="J121" i="3" l="1"/>
  <c r="H121" i="3"/>
  <c r="J55" i="3"/>
  <c r="H55" i="3"/>
  <c r="J12" i="3"/>
  <c r="H12" i="3"/>
  <c r="A56" i="3"/>
  <c r="D56" i="3"/>
  <c r="A13" i="3"/>
  <c r="C56" i="3"/>
  <c r="B56" i="3"/>
  <c r="B13" i="3"/>
  <c r="D13" i="3"/>
  <c r="C13" i="3"/>
  <c r="J56" i="3" l="1"/>
  <c r="H56" i="3"/>
  <c r="J13" i="3"/>
  <c r="H13" i="3"/>
  <c r="A57" i="3"/>
  <c r="B14" i="3"/>
  <c r="D14" i="3"/>
  <c r="D57" i="3"/>
  <c r="C57" i="3"/>
  <c r="C14" i="3"/>
  <c r="B57" i="3"/>
  <c r="A14" i="3"/>
  <c r="J57" i="3" l="1"/>
  <c r="H57" i="3"/>
  <c r="J14" i="3"/>
  <c r="H14" i="3"/>
  <c r="A58" i="3"/>
  <c r="B15" i="3"/>
  <c r="A59" i="3"/>
  <c r="D15" i="3"/>
  <c r="D58" i="3"/>
  <c r="A15" i="3"/>
  <c r="B58" i="3"/>
  <c r="C15" i="3"/>
  <c r="C58" i="3"/>
  <c r="J58" i="3" l="1"/>
  <c r="H58" i="3"/>
  <c r="J15" i="3"/>
  <c r="H15" i="3"/>
  <c r="B16" i="3"/>
  <c r="D16" i="3"/>
  <c r="C16" i="3"/>
  <c r="B59" i="3"/>
  <c r="A16" i="3"/>
  <c r="D59" i="3"/>
  <c r="C59" i="3"/>
  <c r="A60" i="3"/>
  <c r="J59" i="3" l="1"/>
  <c r="H59" i="3"/>
  <c r="J16" i="3"/>
  <c r="H16" i="3"/>
  <c r="D17" i="3"/>
  <c r="B17" i="3"/>
  <c r="B60" i="3"/>
  <c r="D60" i="3"/>
  <c r="A17" i="3"/>
  <c r="C17" i="3"/>
  <c r="A61" i="3"/>
  <c r="C60" i="3"/>
  <c r="J60" i="3" l="1"/>
  <c r="H60" i="3"/>
  <c r="J17" i="3"/>
  <c r="H17" i="3"/>
  <c r="B18" i="3"/>
  <c r="B19" i="3"/>
  <c r="D18" i="3"/>
  <c r="D61" i="3"/>
  <c r="A18" i="3"/>
  <c r="B61" i="3"/>
  <c r="C18" i="3"/>
  <c r="C61" i="3"/>
  <c r="A62" i="3"/>
  <c r="H61" i="3" l="1"/>
  <c r="J61" i="3"/>
  <c r="J18" i="3"/>
  <c r="H18" i="3"/>
  <c r="B20" i="3"/>
  <c r="A63" i="3"/>
  <c r="C19" i="3"/>
  <c r="C62" i="3"/>
  <c r="C20" i="3"/>
  <c r="A19" i="3"/>
  <c r="D62" i="3"/>
  <c r="B62" i="3"/>
  <c r="D19" i="3"/>
  <c r="H62" i="3" l="1"/>
  <c r="J62" i="3"/>
  <c r="J19" i="3"/>
  <c r="H19" i="3"/>
  <c r="C63" i="3"/>
  <c r="D63" i="3"/>
  <c r="C21" i="3"/>
  <c r="A64" i="3"/>
  <c r="B63" i="3"/>
  <c r="C64" i="3"/>
  <c r="B21" i="3"/>
  <c r="A20" i="3"/>
  <c r="D20" i="3"/>
  <c r="H63" i="3" l="1"/>
  <c r="J63" i="3"/>
  <c r="J20" i="3"/>
  <c r="H20" i="3"/>
  <c r="B64" i="3"/>
  <c r="A21" i="3"/>
  <c r="D21" i="3"/>
  <c r="D64" i="3"/>
  <c r="A65" i="3"/>
  <c r="A66" i="3" s="1"/>
  <c r="B22" i="3"/>
  <c r="B65" i="3"/>
  <c r="C65" i="3"/>
  <c r="D65" i="3"/>
  <c r="C22" i="3"/>
  <c r="H64" i="3" l="1"/>
  <c r="J64" i="3"/>
  <c r="J21" i="3"/>
  <c r="H65" i="3"/>
  <c r="J65" i="3"/>
  <c r="H21" i="3"/>
  <c r="B66" i="3"/>
  <c r="A22" i="3"/>
  <c r="D22" i="3"/>
  <c r="B67" i="3"/>
  <c r="A67" i="3"/>
  <c r="C66" i="3"/>
  <c r="C67" i="3" s="1"/>
  <c r="C23" i="3"/>
  <c r="B23" i="3"/>
  <c r="D66" i="3"/>
  <c r="D67" i="3" s="1"/>
  <c r="D23" i="3"/>
  <c r="J22" i="3" l="1"/>
  <c r="H66" i="3"/>
  <c r="J66" i="3"/>
  <c r="J67" i="3"/>
  <c r="H67" i="3"/>
  <c r="H22" i="3"/>
  <c r="J23" i="3"/>
  <c r="B68" i="3"/>
  <c r="B24" i="3"/>
  <c r="D24" i="3"/>
  <c r="D68" i="3"/>
  <c r="A23" i="3"/>
  <c r="C24" i="3"/>
  <c r="C68" i="3"/>
  <c r="D25" i="3"/>
  <c r="A68" i="3"/>
  <c r="J68" i="3" l="1"/>
  <c r="H68" i="3"/>
  <c r="H23" i="3"/>
  <c r="J24" i="3"/>
  <c r="C25" i="3"/>
  <c r="A24" i="3"/>
  <c r="C69" i="3"/>
  <c r="C70" i="3" s="1"/>
  <c r="B25" i="3"/>
  <c r="B69" i="3"/>
  <c r="A69" i="3"/>
  <c r="D26" i="3"/>
  <c r="D69" i="3"/>
  <c r="J69" i="3" l="1"/>
  <c r="H69" i="3"/>
  <c r="H24" i="3"/>
  <c r="J25" i="3"/>
  <c r="D27" i="3"/>
  <c r="A70" i="3"/>
  <c r="B70" i="3"/>
  <c r="C71" i="3"/>
  <c r="C26" i="3"/>
  <c r="A25" i="3"/>
  <c r="D70" i="3"/>
  <c r="B26" i="3"/>
  <c r="J70" i="3" l="1"/>
  <c r="H70" i="3"/>
  <c r="H25" i="3"/>
  <c r="J26" i="3"/>
  <c r="A26" i="3"/>
  <c r="C72" i="3"/>
  <c r="D28" i="3"/>
  <c r="B27" i="3"/>
  <c r="B28" i="3"/>
  <c r="D71" i="3"/>
  <c r="B71" i="3"/>
  <c r="A71" i="3"/>
  <c r="C27" i="3"/>
  <c r="J71" i="3" l="1"/>
  <c r="H71" i="3"/>
  <c r="H26" i="3"/>
  <c r="J27" i="3"/>
  <c r="B29" i="3"/>
  <c r="C28" i="3"/>
  <c r="A72" i="3"/>
  <c r="C73" i="3"/>
  <c r="A27" i="3"/>
  <c r="D72" i="3"/>
  <c r="D29" i="3"/>
  <c r="B72" i="3"/>
  <c r="J72" i="3" l="1"/>
  <c r="H72" i="3"/>
  <c r="H27" i="3"/>
  <c r="J28" i="3"/>
  <c r="C29" i="3"/>
  <c r="B73" i="3"/>
  <c r="D73" i="3"/>
  <c r="C74" i="3"/>
  <c r="B30" i="3"/>
  <c r="A73" i="3"/>
  <c r="A28" i="3"/>
  <c r="D30" i="3"/>
  <c r="H73" i="3" l="1"/>
  <c r="J73" i="3"/>
  <c r="H28" i="3"/>
  <c r="J29" i="3"/>
  <c r="B74" i="3"/>
  <c r="A29" i="3"/>
  <c r="D74" i="3"/>
  <c r="B75" i="3"/>
  <c r="C30" i="3"/>
  <c r="C75" i="3"/>
  <c r="C76" i="3" s="1"/>
  <c r="B31" i="3"/>
  <c r="D31" i="3"/>
  <c r="A74" i="3"/>
  <c r="H74" i="3" l="1"/>
  <c r="J74" i="3"/>
  <c r="H29" i="3"/>
  <c r="J30" i="3"/>
  <c r="A30" i="3"/>
  <c r="D32" i="3"/>
  <c r="D33" i="3" s="1"/>
  <c r="A75" i="3"/>
  <c r="D75" i="3"/>
  <c r="C31" i="3"/>
  <c r="B76" i="3"/>
  <c r="C77" i="3"/>
  <c r="B32" i="3"/>
  <c r="J75" i="3" l="1"/>
  <c r="H75" i="3"/>
  <c r="H30" i="3"/>
  <c r="J31" i="3"/>
  <c r="C78" i="3"/>
  <c r="C32" i="3"/>
  <c r="A76" i="3"/>
  <c r="A31" i="3"/>
  <c r="B33" i="3"/>
  <c r="D34" i="3"/>
  <c r="D76" i="3"/>
  <c r="D77" i="3" s="1"/>
  <c r="B77" i="3"/>
  <c r="J76" i="3" l="1"/>
  <c r="H76" i="3"/>
  <c r="J77" i="3"/>
  <c r="H31" i="3"/>
  <c r="J32" i="3"/>
  <c r="A77" i="3"/>
  <c r="C33" i="3"/>
  <c r="D35" i="3"/>
  <c r="A78" i="3"/>
  <c r="A32" i="3"/>
  <c r="B78" i="3"/>
  <c r="B34" i="3"/>
  <c r="C79" i="3"/>
  <c r="D78" i="3"/>
  <c r="H77" i="3" l="1"/>
  <c r="J78" i="3"/>
  <c r="H78" i="3"/>
  <c r="H32" i="3"/>
  <c r="J33" i="3"/>
  <c r="D36" i="3"/>
  <c r="C34" i="3"/>
  <c r="D79" i="3"/>
  <c r="C80" i="3"/>
  <c r="A79" i="3"/>
  <c r="A33" i="3"/>
  <c r="B35" i="3"/>
  <c r="B79" i="3"/>
  <c r="J79" i="3" l="1"/>
  <c r="H79" i="3"/>
  <c r="H33" i="3"/>
  <c r="J34" i="3"/>
  <c r="B36" i="3"/>
  <c r="B37" i="3" s="1"/>
  <c r="A34" i="3"/>
  <c r="C81" i="3"/>
  <c r="C35" i="3"/>
  <c r="D37" i="3"/>
  <c r="B80" i="3"/>
  <c r="B81" i="3" s="1"/>
  <c r="D80" i="3"/>
  <c r="B38" i="3"/>
  <c r="A80" i="3"/>
  <c r="J80" i="3" l="1"/>
  <c r="H80" i="3"/>
  <c r="H34" i="3"/>
  <c r="J35" i="3"/>
  <c r="A81" i="3"/>
  <c r="C36" i="3"/>
  <c r="D81" i="3"/>
  <c r="B39" i="3"/>
  <c r="D38" i="3"/>
  <c r="A35" i="3"/>
  <c r="B82" i="3"/>
  <c r="C82" i="3"/>
  <c r="J81" i="3" l="1"/>
  <c r="H81" i="3"/>
  <c r="H35" i="3"/>
  <c r="J36" i="3"/>
  <c r="A36" i="3"/>
  <c r="C83" i="3"/>
  <c r="C37" i="3"/>
  <c r="D39" i="3"/>
  <c r="B83" i="3"/>
  <c r="A82" i="3"/>
  <c r="B40" i="3"/>
  <c r="D82" i="3"/>
  <c r="J82" i="3" l="1"/>
  <c r="H82" i="3"/>
  <c r="H36" i="3"/>
  <c r="J37" i="3"/>
  <c r="D83" i="3"/>
  <c r="D84" i="3"/>
  <c r="A37" i="3"/>
  <c r="D40" i="3"/>
  <c r="A83" i="3"/>
  <c r="C38" i="3"/>
  <c r="C84" i="3"/>
  <c r="B84" i="3"/>
  <c r="J83" i="3" l="1"/>
  <c r="H83" i="3"/>
  <c r="J84" i="3"/>
  <c r="H37" i="3"/>
  <c r="J38" i="3"/>
  <c r="A84" i="3"/>
  <c r="A85" i="3"/>
  <c r="C85" i="3"/>
  <c r="B85" i="3"/>
  <c r="D85" i="3"/>
  <c r="C39" i="3"/>
  <c r="A38" i="3"/>
  <c r="H84" i="3" l="1"/>
  <c r="J85" i="3"/>
  <c r="H85" i="3"/>
  <c r="H38" i="3"/>
  <c r="J39" i="3"/>
  <c r="C86" i="3"/>
  <c r="A86" i="3"/>
  <c r="A39" i="3"/>
  <c r="C40" i="3"/>
  <c r="D86" i="3"/>
  <c r="B86" i="3"/>
  <c r="J86" i="3" l="1"/>
  <c r="H86" i="3"/>
  <c r="H39" i="3"/>
  <c r="J40" i="3"/>
  <c r="C87" i="3"/>
  <c r="A40" i="3"/>
  <c r="D87" i="3"/>
  <c r="B87" i="3"/>
  <c r="D88" i="3"/>
  <c r="A87" i="3"/>
  <c r="H87" i="3" l="1"/>
  <c r="J87" i="3"/>
  <c r="H40" i="3"/>
  <c r="B88" i="3"/>
  <c r="C88" i="3"/>
  <c r="A88" i="3"/>
  <c r="D89" i="3"/>
  <c r="J88" i="3" l="1"/>
  <c r="H88" i="3"/>
  <c r="A89" i="3"/>
  <c r="C89" i="3"/>
  <c r="D90" i="3"/>
  <c r="D91" i="3"/>
  <c r="B89" i="3"/>
  <c r="C90" i="3"/>
  <c r="J89" i="3" l="1"/>
  <c r="H89" i="3"/>
  <c r="B90" i="3"/>
  <c r="A90" i="3"/>
  <c r="A91" i="3" s="1"/>
  <c r="B91" i="3"/>
  <c r="D92" i="3"/>
  <c r="C91" i="3"/>
  <c r="J90" i="3" l="1"/>
  <c r="H90" i="3"/>
  <c r="H91" i="3"/>
  <c r="J91" i="3"/>
  <c r="D93" i="3"/>
  <c r="B92" i="3"/>
  <c r="A92" i="3"/>
  <c r="C92" i="3"/>
  <c r="C93" i="3"/>
  <c r="A93" i="3"/>
  <c r="J92" i="3" l="1"/>
  <c r="H92" i="3"/>
  <c r="B93" i="3"/>
  <c r="B94" i="3"/>
  <c r="C94" i="3"/>
  <c r="D94" i="3"/>
  <c r="A94" i="3"/>
  <c r="H93" i="3" l="1"/>
  <c r="J93" i="3"/>
  <c r="J94" i="3"/>
  <c r="H94" i="3"/>
  <c r="D95" i="3"/>
  <c r="A95" i="3"/>
  <c r="B95" i="3"/>
  <c r="C95" i="3"/>
  <c r="J95" i="3" l="1"/>
  <c r="H95" i="3"/>
  <c r="A96" i="3"/>
  <c r="D96" i="3"/>
  <c r="D97" i="3"/>
  <c r="B96" i="3"/>
  <c r="C96" i="3"/>
  <c r="A97" i="3"/>
  <c r="J96" i="3" l="1"/>
  <c r="H96" i="3"/>
  <c r="C97" i="3"/>
  <c r="B97" i="3"/>
  <c r="J97" i="3" l="1"/>
  <c r="H97" i="3"/>
</calcChain>
</file>

<file path=xl/sharedStrings.xml><?xml version="1.0" encoding="utf-8"?>
<sst xmlns="http://schemas.openxmlformats.org/spreadsheetml/2006/main" count="167" uniqueCount="110">
  <si>
    <t>https://bugzilla.houston.hpecorp.net:1181/bugzilla/buglist.cgi?bug_status=NEW&amp;bug_status=ASSIGNED&amp;bug_status=REOPENED&amp;classification=Protocols&amp;columnlist=bug_id%2Cproduct%2Ccomponent%2Cversion%2Cshort_desc%2Creporter&amp;list_id=1364867&amp;product=Protocols-AAUM&amp;product=Protocols-NFS&amp;product=Protocols-SMB&amp;query_format=advanced&amp;target_milestone=For%20Review</t>
  </si>
  <si>
    <t>Protocol "For Review" bugs</t>
  </si>
  <si>
    <t>https://bugzilla.houston.hpecorp.net:1181/bugzilla/enter_bug.cgi?product=FileSystem%20Management%20(IAS)&amp;cloned_bug_id=95151</t>
  </si>
  <si>
    <t>Atlas-1.2-Maint</t>
  </si>
  <si>
    <t>https://bugzilla.houston.hpecorp.net:1181/bugzilla/show_bug.cgi?id=</t>
  </si>
  <si>
    <t>Axion</t>
  </si>
  <si>
    <t>&amp;cloned_bug_id=</t>
  </si>
  <si>
    <t>Avitus</t>
  </si>
  <si>
    <t>https://bugzilla.houston.hpecorp.net:1181/bugzilla/enter_bug.cgi?product=</t>
  </si>
  <si>
    <t>Aurora</t>
  </si>
  <si>
    <t>Reporter</t>
  </si>
  <si>
    <t>Summary</t>
  </si>
  <si>
    <t>Version</t>
  </si>
  <si>
    <t>Component</t>
  </si>
  <si>
    <t>Product</t>
  </si>
  <si>
    <t>Bug ID</t>
  </si>
  <si>
    <t>Clone Summary</t>
  </si>
  <si>
    <t>Master Summary</t>
  </si>
  <si>
    <t>product</t>
  </si>
  <si>
    <t>bug</t>
  </si>
  <si>
    <t>Clone Link</t>
  </si>
  <si>
    <t>Atlas_1.2.3.2-20161116</t>
  </si>
  <si>
    <t>Atlas _1.2.3.1-20161031</t>
  </si>
  <si>
    <t>Atlas</t>
  </si>
  <si>
    <t>x</t>
  </si>
  <si>
    <t>Next key should be 14058</t>
  </si>
  <si>
    <t>Added one to adjust for skipped build</t>
  </si>
  <si>
    <t>Off by one because build skipped. decrementing from '56' from '55'</t>
  </si>
  <si>
    <t>Not published.</t>
  </si>
  <si>
    <t>Off by one because two builds generated in same week. Bumping to '71' from '70'</t>
  </si>
  <si>
    <t>editted</t>
  </si>
  <si>
    <t>sort key</t>
  </si>
  <si>
    <t>target build</t>
  </si>
  <si>
    <t>date</t>
  </si>
  <si>
    <t>build</t>
  </si>
  <si>
    <t>Maint</t>
  </si>
  <si>
    <t>Minor</t>
  </si>
  <si>
    <t>Major</t>
  </si>
  <si>
    <t>Release</t>
  </si>
  <si>
    <t>StoreOnce Ypsilon(SMB 6.5.x)</t>
  </si>
  <si>
    <t>CSV</t>
  </si>
  <si>
    <t>x Remove extra '0' when you get to 10</t>
  </si>
  <si>
    <t>[valgrind] leak in SrvProcessSessionSetup_SMB_V2 path found in SPECSFS runs</t>
  </si>
  <si>
    <t>&amp;target_milestone=Master&amp;no_mass_mail=no_mass_mail</t>
  </si>
  <si>
    <t>Fill in bug number</t>
  </si>
  <si>
    <t>Add master to desc</t>
  </si>
  <si>
    <t>Set TM to master</t>
  </si>
  <si>
    <t>Master</t>
  </si>
  <si>
    <t>&amp;short_desc=[Master]</t>
  </si>
  <si>
    <t>Fill in description</t>
  </si>
  <si>
    <t>Fields to edit bug into a master DO NOT DELETE</t>
  </si>
  <si>
    <t>Edit bug</t>
  </si>
  <si>
    <t>Get report on specific bugs to clone, with correct columns</t>
  </si>
  <si>
    <t>search</t>
  </si>
  <si>
    <t>https://bugzilla.houston.hpecorp.net:1181/bugzilla/buglist.cgi?bug_id=</t>
  </si>
  <si>
    <t>fill in bug number</t>
  </si>
  <si>
    <t>Columns</t>
  </si>
  <si>
    <t>&amp;bug_id_type=anyexact&amp;bug_status=NEW&amp;bug_status=ASSIGNED&amp;bug_status=REOPENED&amp;columnlist=bug_id%2Cproduct%2Ccomponent%2Cversion%2Cshort_desc%2Creporter%2Ctarget_milestone%2Ckeywords%2Ccf_waivers%2Cresolution%2Cchangeddate%2Copendate%2Cpriority%2Ccf_bedrock&amp;list_id=1410420&amp;query_format=advanced&amp;ctype=csv&amp;human=1</t>
  </si>
  <si>
    <t>4.1.0 Avengers</t>
  </si>
  <si>
    <t>mkmstr</t>
  </si>
  <si>
    <t>https://bugzilla.houston.hpecorp.net:1181/bugzilla/process_bug.cgi?id=</t>
  </si>
  <si>
    <t>^^^^^ bug ID or comma separated list</t>
  </si>
  <si>
    <t>Target Milestone</t>
  </si>
  <si>
    <t>^^^^ Drop down list of current bugs that can be mastered. WARNING "Mk Master" executes immediately.</t>
  </si>
  <si>
    <r>
      <t xml:space="preserve">           &lt;&lt;&lt;&lt;&lt;&lt;&lt;&lt; query for all </t>
    </r>
    <r>
      <rPr>
        <b/>
        <sz val="11"/>
        <color theme="1"/>
        <rFont val="Calibri"/>
        <family val="2"/>
        <scheme val="minor"/>
      </rPr>
      <t>Protocols</t>
    </r>
    <r>
      <rPr>
        <sz val="11"/>
        <color theme="1"/>
        <rFont val="Calibri"/>
        <family val="2"/>
        <scheme val="minor"/>
      </rPr>
      <t xml:space="preserve"> "For Review" bugs</t>
    </r>
  </si>
  <si>
    <t>Aurora-1.3-Maint</t>
  </si>
  <si>
    <t xml:space="preserve"> ---</t>
  </si>
  <si>
    <t>Keywords</t>
  </si>
  <si>
    <t>Waivers</t>
  </si>
  <si>
    <t>Resolution</t>
  </si>
  <si>
    <t>Changed</t>
  </si>
  <si>
    <t>Opened</t>
  </si>
  <si>
    <t>Priority</t>
  </si>
  <si>
    <t>Bedrock Value</t>
  </si>
  <si>
    <t>https://bugzilla.houston.hpecorp.net:1181/bugzilla/buglist.cgi?bug_status=NEW&amp;bug_status=ASSIGNED&amp;bug_status=REOPENED&amp;classification=Protocols&amp;columnlist=bug_id%2Cproduct%2Ccomponent%2Cversion%2Cshort_desc%2Creporter%2Ctarget_milestone%2Ckeywords%2Ccf_waivers%2Cresolution%2Cchangeddate%2Copendate%2Cpriority%2Ccf_bedrock&amp;list_id=1390288&amp;product=Protocols-AAUM&amp;product=Protocols-NFS&amp;product=Protocols-SMB&amp;query_format=advanced&amp;target_milestone=For%20Review&amp;ctype=csv&amp;human=1</t>
  </si>
  <si>
    <t>Temp Internet files</t>
  </si>
  <si>
    <t>C:\Users\mwroberts\AppData\Local\Temp\</t>
  </si>
  <si>
    <t xml:space="preserve">C:\Program Files (x86)\Mozilla Firefox\firefox.exe </t>
  </si>
  <si>
    <t>Browser path</t>
  </si>
  <si>
    <t>pass=bzg</t>
  </si>
  <si>
    <t>Protocols-SMB</t>
  </si>
  <si>
    <t>Red Zone</t>
  </si>
  <si>
    <t>3.13.7 Zirkel</t>
  </si>
  <si>
    <t>99695</t>
  </si>
  <si>
    <t>Server-SMB</t>
  </si>
  <si>
    <t>3.16.2 Cacophonix</t>
  </si>
  <si>
    <t>[Customer: Big Lots Stores] HPE-SMB crash, lwio aborts</t>
  </si>
  <si>
    <t>horvath@hpe.com</t>
  </si>
  <si>
    <t>For Review</t>
  </si>
  <si>
    <t>Escape</t>
  </si>
  <si>
    <t>P1</t>
  </si>
  <si>
    <t>Protocols-NFS</t>
  </si>
  <si>
    <t>*Unknown (Triage)-NFS</t>
  </si>
  <si>
    <t>Issue with mount NFS share "mount.nfs: Connection timed out" error during IDART setfsarchive tests</t>
  </si>
  <si>
    <t>satish.gundam@hpe.com</t>
  </si>
  <si>
    <t>P2</t>
  </si>
  <si>
    <t>Blocker</t>
  </si>
  <si>
    <t>Manageability-SMB</t>
  </si>
  <si>
    <t>Atlas-1.2.4</t>
  </si>
  <si>
    <t>[Moved from UDU 194814] [Customer Orange]removefstore fails due to old share subfolder still there</t>
  </si>
  <si>
    <t>eric.collart@hpe.com</t>
  </si>
  <si>
    <t>john.fiorillo@hpe.com</t>
  </si>
  <si>
    <t>Protocols-AAUM</t>
  </si>
  <si>
    <t>*Unknown (Triage)-AAUM</t>
  </si>
  <si>
    <t>Observed lwsmd crash on all of the 8 node chimera.</t>
  </si>
  <si>
    <t>suruchi.gondkar@hpe.com</t>
  </si>
  <si>
    <t>When SMB shares are created under fstore level on FP the permissions (ACLS) inherited should be converted to explicit to match Windows server behavior</t>
  </si>
  <si>
    <t>unspecified</t>
  </si>
  <si>
    <t>m101056</t>
  </si>
  <si>
    <t>ctrl+m to mark bug as already converted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</si>
</sst>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mmdd"/>
    <numFmt numFmtId="165" formatCode="0#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1" fillId="0" borderId="0" xfId="1"/>
    <xf numFmtId="0" fontId="0" fillId="3" borderId="0" xfId="0" applyFill="1"/>
    <xf numFmtId="164" fontId="0" fillId="0" borderId="0" xfId="0" applyNumberFormat="1"/>
    <xf numFmtId="0" fontId="0" fillId="0" borderId="0" xfId="0" applyFill="1"/>
    <xf numFmtId="0" fontId="2" fillId="0" borderId="0" xfId="0" applyFont="1"/>
    <xf numFmtId="0" fontId="0" fillId="4" borderId="0" xfId="0" applyFill="1"/>
    <xf numFmtId="164" fontId="0" fillId="4" borderId="0" xfId="0" applyNumberFormat="1" applyFill="1"/>
    <xf numFmtId="0" fontId="2" fillId="0" borderId="0" xfId="0" applyFont="1" applyAlignment="1">
      <alignment vertical="center"/>
    </xf>
    <xf numFmtId="164" fontId="0" fillId="0" borderId="0" xfId="0" applyNumberFormat="1" applyFill="1"/>
    <xf numFmtId="0" fontId="0" fillId="0" borderId="0" xfId="0" applyFill="1" applyAlignment="1">
      <alignment horizontal="right"/>
    </xf>
    <xf numFmtId="15" fontId="0" fillId="0" borderId="0" xfId="0" applyNumberFormat="1" applyFill="1"/>
    <xf numFmtId="0" fontId="0" fillId="5" borderId="0" xfId="0" applyFill="1"/>
    <xf numFmtId="0" fontId="0" fillId="6" borderId="0" xfId="0" applyFill="1"/>
    <xf numFmtId="164" fontId="0" fillId="6" borderId="0" xfId="0" applyNumberFormat="1" applyFill="1"/>
    <xf numFmtId="164" fontId="0" fillId="3" borderId="0" xfId="0" applyNumberFormat="1" applyFill="1"/>
    <xf numFmtId="165" fontId="0" fillId="0" borderId="0" xfId="0" applyNumberFormat="1"/>
    <xf numFmtId="0" fontId="0" fillId="7" borderId="0" xfId="0" applyFill="1"/>
    <xf numFmtId="0" fontId="4" fillId="8" borderId="0" xfId="0" applyFont="1" applyFill="1"/>
    <xf numFmtId="0" fontId="0" fillId="8" borderId="0" xfId="0" applyFill="1"/>
    <xf numFmtId="0" fontId="1" fillId="8" borderId="0" xfId="1" applyFill="1"/>
    <xf numFmtId="0" fontId="0" fillId="9" borderId="0" xfId="0" applyFill="1"/>
    <xf numFmtId="0" fontId="5" fillId="9" borderId="0" xfId="0" applyFont="1" applyFill="1"/>
    <xf numFmtId="0" fontId="6" fillId="9" borderId="0" xfId="1" applyFont="1" applyFill="1"/>
    <xf numFmtId="49" fontId="0" fillId="8" borderId="0" xfId="0" applyNumberFormat="1" applyFill="1"/>
    <xf numFmtId="22" fontId="0" fillId="0" borderId="0" xfId="0" applyNumberFormat="1"/>
  </cellXfs>
  <cellStyles count="2">
    <cellStyle name="Hyperlink" xfId="1" builtinId="8"/>
    <cellStyle name="Normal" xfId="0" builtinId="0"/>
  </cellStyles>
  <dxfs count="4"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26</xdr:row>
          <xdr:rowOff>15240</xdr:rowOff>
        </xdr:from>
        <xdr:to>
          <xdr:col>11</xdr:col>
          <xdr:colOff>259080</xdr:colOff>
          <xdr:row>27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CSV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525780</xdr:colOff>
          <xdr:row>30</xdr:row>
          <xdr:rowOff>0</xdr:rowOff>
        </xdr:from>
        <xdr:to>
          <xdr:col>10</xdr:col>
          <xdr:colOff>22860</xdr:colOff>
          <xdr:row>31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Query Specific bg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15</xdr:row>
          <xdr:rowOff>160020</xdr:rowOff>
        </xdr:from>
        <xdr:to>
          <xdr:col>2</xdr:col>
          <xdr:colOff>30480</xdr:colOff>
          <xdr:row>17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Mk Master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wroberts/Documents/AstraBugs_Mar201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wroberts/Documents/AstraBugs_Feb20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gs-2014-03-31"/>
      <sheetName val="bugs-2014-03-28(1)"/>
      <sheetName val="bugs-2014-03-28"/>
      <sheetName val="bugs-2014-03-27"/>
      <sheetName val="bugs-2014-03-26"/>
      <sheetName val="bugs-2014-03-25"/>
      <sheetName val="bugs-2014-03-24"/>
      <sheetName val="bugs-2014-03-18"/>
      <sheetName val="bugs-2014-03-17"/>
      <sheetName val="bugs-2014-03-14"/>
      <sheetName val="bugs-2014-03-13"/>
      <sheetName val="bugs-2014-03-12"/>
      <sheetName val="bugs-2014-03-11"/>
      <sheetName val="bugs-2014-03-10"/>
      <sheetName val="bugs-2014-03-08"/>
      <sheetName val="bugs-2014-03-07"/>
      <sheetName val="bugs-2014-03-06"/>
      <sheetName val="bugs-2014-03-05"/>
      <sheetName val="bugs-2014-03-04"/>
      <sheetName val="Assignees"/>
      <sheetName val="bugs-2014-03-0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Count</v>
          </cell>
          <cell r="B1" t="str">
            <v>Version Found</v>
          </cell>
          <cell r="C1" t="str">
            <v>Count</v>
          </cell>
          <cell r="D1" t="str">
            <v>Target</v>
          </cell>
          <cell r="E1" t="str">
            <v>Blocker</v>
          </cell>
          <cell r="F1" t="str">
            <v>Critical</v>
          </cell>
          <cell r="G1" t="str">
            <v>Major</v>
          </cell>
        </row>
        <row r="2">
          <cell r="A2">
            <v>20</v>
          </cell>
          <cell r="B2" t="str">
            <v>New Feature</v>
          </cell>
          <cell r="C2">
            <v>119</v>
          </cell>
          <cell r="D2" t="str">
            <v>Astra</v>
          </cell>
          <cell r="E2">
            <v>1</v>
          </cell>
          <cell r="F2">
            <v>4</v>
          </cell>
          <cell r="G2">
            <v>14</v>
          </cell>
        </row>
        <row r="3">
          <cell r="A3">
            <v>87</v>
          </cell>
          <cell r="B3" t="str">
            <v>Astra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</row>
        <row r="4">
          <cell r="A4">
            <v>0</v>
          </cell>
          <cell r="B4" t="e">
            <v>#REF!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0</v>
          </cell>
          <cell r="B5" t="e">
            <v>#REF!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</row>
        <row r="6">
          <cell r="A6">
            <v>28</v>
          </cell>
          <cell r="B6" t="str">
            <v>Astra-IR6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A7">
            <v>21</v>
          </cell>
          <cell r="B7" t="str">
            <v>Astra-IR7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A8">
            <v>7</v>
          </cell>
          <cell r="B8" t="str">
            <v>Astra-IR8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A9">
            <v>1</v>
          </cell>
          <cell r="B9" t="str">
            <v>Astra-IR9</v>
          </cell>
          <cell r="C9">
            <v>119</v>
          </cell>
          <cell r="D9" t="str">
            <v>TOTAL</v>
          </cell>
          <cell r="E9">
            <v>1</v>
          </cell>
          <cell r="F9">
            <v>4</v>
          </cell>
          <cell r="G9">
            <v>14</v>
          </cell>
        </row>
        <row r="10">
          <cell r="A10">
            <v>0</v>
          </cell>
          <cell r="B10" t="str">
            <v>Astra-Post IR13 06-20</v>
          </cell>
          <cell r="C10">
            <v>111</v>
          </cell>
          <cell r="D10" t="str">
            <v>TOTAL non-PML dev</v>
          </cell>
        </row>
        <row r="11">
          <cell r="A11">
            <v>5</v>
          </cell>
          <cell r="B11" t="str">
            <v>6.1 (Ensenada)</v>
          </cell>
          <cell r="C11">
            <v>-33</v>
          </cell>
          <cell r="D11" t="str">
            <v>TOTAL external found FTC owned HP-SMB bugs</v>
          </cell>
        </row>
        <row r="12">
          <cell r="A12">
            <v>6</v>
          </cell>
          <cell r="B12" t="str">
            <v>6.2 (Fiji)</v>
          </cell>
          <cell r="C12">
            <v>27</v>
          </cell>
          <cell r="D12" t="str">
            <v>[PML] NFS</v>
          </cell>
          <cell r="E12">
            <v>0</v>
          </cell>
          <cell r="F12">
            <v>0</v>
          </cell>
          <cell r="G12">
            <v>6</v>
          </cell>
        </row>
        <row r="13">
          <cell r="A13">
            <v>11</v>
          </cell>
          <cell r="B13" t="str">
            <v>6.3 (FlyingSaucer)</v>
          </cell>
          <cell r="C13">
            <v>18</v>
          </cell>
          <cell r="D13" t="str">
            <v>[PML] HP-SMB</v>
          </cell>
          <cell r="E13">
            <v>0</v>
          </cell>
          <cell r="F13">
            <v>0</v>
          </cell>
          <cell r="G13">
            <v>0</v>
          </cell>
        </row>
        <row r="14">
          <cell r="A14">
            <v>0</v>
          </cell>
          <cell r="B14" t="str">
            <v>6.5 (Ghost)</v>
          </cell>
          <cell r="C14">
            <v>72</v>
          </cell>
          <cell r="D14" t="str">
            <v>Wipro</v>
          </cell>
          <cell r="E14">
            <v>0</v>
          </cell>
          <cell r="F14">
            <v>7</v>
          </cell>
          <cell r="G14">
            <v>19</v>
          </cell>
        </row>
        <row r="15">
          <cell r="A15">
            <v>0</v>
          </cell>
          <cell r="B15" t="e">
            <v>#REF!</v>
          </cell>
          <cell r="C15">
            <v>12</v>
          </cell>
          <cell r="D15" t="str">
            <v>whitbrd</v>
          </cell>
          <cell r="E15">
            <v>0</v>
          </cell>
          <cell r="F15">
            <v>2</v>
          </cell>
          <cell r="G15">
            <v>3</v>
          </cell>
        </row>
        <row r="16">
          <cell r="A16">
            <v>0</v>
          </cell>
          <cell r="B16" t="e">
            <v>#REF!</v>
          </cell>
        </row>
        <row r="17">
          <cell r="A17">
            <v>0</v>
          </cell>
          <cell r="B17">
            <v>0</v>
          </cell>
          <cell r="C17">
            <v>53</v>
          </cell>
          <cell r="D17" t="str">
            <v>Wipro</v>
          </cell>
          <cell r="E17" t="str">
            <v>Astra</v>
          </cell>
        </row>
        <row r="18">
          <cell r="A18">
            <v>186</v>
          </cell>
          <cell r="B18" t="str">
            <v>TOTAL</v>
          </cell>
          <cell r="C18">
            <v>0</v>
          </cell>
          <cell r="D18" t="str">
            <v>Wipro</v>
          </cell>
          <cell r="E18">
            <v>0</v>
          </cell>
          <cell r="F18">
            <v>0</v>
          </cell>
          <cell r="G18">
            <v>0</v>
          </cell>
        </row>
        <row r="19">
          <cell r="C19">
            <v>0</v>
          </cell>
          <cell r="D19" t="str">
            <v>Wipro</v>
          </cell>
          <cell r="E19">
            <v>0</v>
          </cell>
        </row>
        <row r="20">
          <cell r="A20">
            <v>45</v>
          </cell>
          <cell r="B20" t="str">
            <v>integration</v>
          </cell>
          <cell r="C20">
            <v>0</v>
          </cell>
          <cell r="D20" t="str">
            <v>Wipro</v>
          </cell>
          <cell r="E20">
            <v>0</v>
          </cell>
        </row>
        <row r="21">
          <cell r="A21">
            <v>9</v>
          </cell>
          <cell r="B21" t="str">
            <v>Automated</v>
          </cell>
          <cell r="C21">
            <v>0</v>
          </cell>
          <cell r="D21" t="str">
            <v>Wipro</v>
          </cell>
          <cell r="E21">
            <v>0</v>
          </cell>
        </row>
        <row r="22">
          <cell r="A22">
            <v>54</v>
          </cell>
          <cell r="B22" t="str">
            <v>QA Found</v>
          </cell>
          <cell r="C22">
            <v>0</v>
          </cell>
          <cell r="D22" t="str">
            <v>Wipro</v>
          </cell>
          <cell r="E22">
            <v>0</v>
          </cell>
        </row>
        <row r="23">
          <cell r="C23">
            <v>0</v>
          </cell>
          <cell r="D23" t="str">
            <v>Wipro</v>
          </cell>
          <cell r="E23">
            <v>0</v>
          </cell>
        </row>
        <row r="24">
          <cell r="C24">
            <v>53</v>
          </cell>
        </row>
        <row r="25">
          <cell r="C25">
            <v>57</v>
          </cell>
          <cell r="D25" t="str">
            <v>Horizontal feature bugs</v>
          </cell>
        </row>
        <row r="26">
          <cell r="C26">
            <v>171</v>
          </cell>
          <cell r="D26" t="str">
            <v xml:space="preserve">Master </v>
          </cell>
        </row>
        <row r="27">
          <cell r="C27">
            <v>15</v>
          </cell>
          <cell r="D27" t="str">
            <v>NFS [PML]</v>
          </cell>
          <cell r="E27" t="str">
            <v>Astra</v>
          </cell>
        </row>
        <row r="28">
          <cell r="C28">
            <v>0</v>
          </cell>
          <cell r="D28" t="str">
            <v>NFS [PML]</v>
          </cell>
          <cell r="E28">
            <v>0</v>
          </cell>
        </row>
        <row r="29">
          <cell r="C29">
            <v>0</v>
          </cell>
          <cell r="D29" t="str">
            <v>NFS [PML]</v>
          </cell>
          <cell r="E29">
            <v>0</v>
          </cell>
        </row>
        <row r="30">
          <cell r="C30">
            <v>0</v>
          </cell>
          <cell r="D30" t="str">
            <v>NFS [PML]</v>
          </cell>
          <cell r="E30">
            <v>0</v>
          </cell>
        </row>
        <row r="31">
          <cell r="C31">
            <v>0</v>
          </cell>
          <cell r="D31" t="str">
            <v>NFS [PML]</v>
          </cell>
          <cell r="E31">
            <v>0</v>
          </cell>
        </row>
        <row r="32">
          <cell r="C32">
            <v>0</v>
          </cell>
          <cell r="D32" t="str">
            <v>NFS [PML]</v>
          </cell>
          <cell r="E32">
            <v>0</v>
          </cell>
        </row>
        <row r="33">
          <cell r="C33">
            <v>0</v>
          </cell>
          <cell r="D33" t="str">
            <v>NFS [PML]</v>
          </cell>
          <cell r="E33">
            <v>0</v>
          </cell>
        </row>
        <row r="34">
          <cell r="C34">
            <v>15</v>
          </cell>
        </row>
        <row r="35">
          <cell r="C35">
            <v>0</v>
          </cell>
          <cell r="D35" t="str">
            <v>NFS  core</v>
          </cell>
          <cell r="E35" t="str">
            <v>Astra</v>
          </cell>
        </row>
        <row r="36">
          <cell r="C36">
            <v>0</v>
          </cell>
          <cell r="D36" t="str">
            <v>NFS  core</v>
          </cell>
          <cell r="E36">
            <v>0</v>
          </cell>
        </row>
        <row r="37">
          <cell r="C37">
            <v>0</v>
          </cell>
          <cell r="D37" t="str">
            <v>NFS  core</v>
          </cell>
          <cell r="E37">
            <v>0</v>
          </cell>
        </row>
        <row r="38">
          <cell r="C38">
            <v>0</v>
          </cell>
          <cell r="D38" t="str">
            <v>NFS  core</v>
          </cell>
          <cell r="E38">
            <v>0</v>
          </cell>
        </row>
        <row r="39">
          <cell r="C39">
            <v>0</v>
          </cell>
          <cell r="D39" t="str">
            <v>NFS  core</v>
          </cell>
          <cell r="E39">
            <v>0</v>
          </cell>
        </row>
        <row r="40">
          <cell r="C40">
            <v>0</v>
          </cell>
          <cell r="D40" t="str">
            <v>NFS  core</v>
          </cell>
          <cell r="E40">
            <v>0</v>
          </cell>
        </row>
        <row r="41">
          <cell r="C41">
            <v>0</v>
          </cell>
          <cell r="D41" t="str">
            <v>NFS  core</v>
          </cell>
          <cell r="E41">
            <v>0</v>
          </cell>
        </row>
        <row r="42">
          <cell r="C42">
            <v>0</v>
          </cell>
        </row>
        <row r="43">
          <cell r="C43">
            <v>15</v>
          </cell>
        </row>
        <row r="45">
          <cell r="B45" t="str">
            <v>Last changed count</v>
          </cell>
          <cell r="E45" t="str">
            <v>Age count</v>
          </cell>
        </row>
        <row r="46">
          <cell r="B46">
            <v>0</v>
          </cell>
          <cell r="C46" t="str">
            <v>&lt; 30 days</v>
          </cell>
          <cell r="E46">
            <v>0</v>
          </cell>
        </row>
        <row r="47">
          <cell r="B47">
            <v>0</v>
          </cell>
          <cell r="C47" t="str">
            <v>&gt;= 30 , &lt;60 days</v>
          </cell>
          <cell r="E47">
            <v>0</v>
          </cell>
        </row>
        <row r="48">
          <cell r="B48">
            <v>0</v>
          </cell>
          <cell r="C48" t="str">
            <v>&gt;= 60 , &lt;90 days</v>
          </cell>
          <cell r="E48">
            <v>0</v>
          </cell>
        </row>
        <row r="49">
          <cell r="B49">
            <v>0</v>
          </cell>
          <cell r="C49" t="str">
            <v>&gt;= 90 , &lt;120 days</v>
          </cell>
          <cell r="E49">
            <v>0</v>
          </cell>
        </row>
        <row r="50">
          <cell r="B50">
            <v>0</v>
          </cell>
          <cell r="C50" t="str">
            <v>&gt;= 120 , &lt;150 days</v>
          </cell>
          <cell r="E50">
            <v>0</v>
          </cell>
        </row>
        <row r="51">
          <cell r="B51">
            <v>208</v>
          </cell>
          <cell r="C51" t="str">
            <v>&gt;=150 days</v>
          </cell>
          <cell r="E51">
            <v>208</v>
          </cell>
        </row>
        <row r="52">
          <cell r="B52">
            <v>208</v>
          </cell>
          <cell r="E52">
            <v>208</v>
          </cell>
        </row>
        <row r="54">
          <cell r="B54">
            <v>189.46634615384616</v>
          </cell>
          <cell r="C54" t="str">
            <v>Mean days</v>
          </cell>
          <cell r="E54">
            <v>227.88942307692307</v>
          </cell>
        </row>
        <row r="60">
          <cell r="A60">
            <v>209</v>
          </cell>
          <cell r="B60" t="str">
            <v>last row</v>
          </cell>
        </row>
        <row r="61">
          <cell r="A61">
            <v>2</v>
          </cell>
          <cell r="B61" t="str">
            <v>first row</v>
          </cell>
        </row>
        <row r="62">
          <cell r="A62" t="str">
            <v>u</v>
          </cell>
          <cell r="B62" t="str">
            <v>version found</v>
          </cell>
        </row>
        <row r="63">
          <cell r="A63" t="str">
            <v>r</v>
          </cell>
          <cell r="B63" t="str">
            <v>whiteboard</v>
          </cell>
        </row>
        <row r="64">
          <cell r="A64" t="str">
            <v>m</v>
          </cell>
          <cell r="B64" t="str">
            <v>assignee</v>
          </cell>
        </row>
        <row r="65">
          <cell r="A65" t="str">
            <v>p</v>
          </cell>
          <cell r="B65" t="str">
            <v>target milestone</v>
          </cell>
        </row>
        <row r="66">
          <cell r="A66" t="str">
            <v>n</v>
          </cell>
          <cell r="B66" t="str">
            <v>summary</v>
          </cell>
        </row>
        <row r="67">
          <cell r="A67" t="str">
            <v>o</v>
          </cell>
          <cell r="B67" t="str">
            <v>severity</v>
          </cell>
        </row>
        <row r="68">
          <cell r="A68" t="str">
            <v>i</v>
          </cell>
          <cell r="B68" t="str">
            <v>last active days</v>
          </cell>
        </row>
        <row r="69">
          <cell r="A69" t="str">
            <v>j</v>
          </cell>
          <cell r="B69" t="str">
            <v>age in days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gs-2014-02-28"/>
      <sheetName val="bugs-2014-02-27"/>
      <sheetName val="bugs-2014-02-26"/>
      <sheetName val="bugs-2014-02-25"/>
      <sheetName val="bugs-2014-02-24"/>
      <sheetName val="bugs-2014-02-20"/>
      <sheetName val="bugs-2014-02-19"/>
      <sheetName val="bugs-2014-02-14"/>
      <sheetName val="bugs-2014-02-12"/>
      <sheetName val="bugs-2014-02-11"/>
      <sheetName val="bugs-2014-02-10"/>
      <sheetName val="bugs-2014-02-06"/>
      <sheetName val="bugs-2014-02-05"/>
      <sheetName val="Assigne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Q2" t="str">
            <v>aga.shahi@hp.com</v>
          </cell>
        </row>
        <row r="3">
          <cell r="Q3" t="str">
            <v>alban-k.lyndem@hp.com</v>
          </cell>
        </row>
        <row r="4">
          <cell r="Q4" t="str">
            <v>brian.zimpfer@hp.com</v>
          </cell>
        </row>
        <row r="5">
          <cell r="Q5" t="str">
            <v>brian.zimpfer@hp.com</v>
          </cell>
        </row>
        <row r="6">
          <cell r="Q6" t="str">
            <v>thomas.jam.hromatka@hp.com</v>
          </cell>
        </row>
        <row r="7">
          <cell r="Q7" t="str">
            <v>thomas.jam.hromatka@hp.com</v>
          </cell>
        </row>
        <row r="8">
          <cell r="Q8" t="str">
            <v>john.fiorillo@hp.com</v>
          </cell>
        </row>
        <row r="9">
          <cell r="Q9" t="str">
            <v>john.fiorillo@hp.com</v>
          </cell>
        </row>
        <row r="10">
          <cell r="Q10" t="str">
            <v>thomas.jam.hromatka@hp.com</v>
          </cell>
        </row>
        <row r="11">
          <cell r="Q11" t="str">
            <v>ggupta@hp.com</v>
          </cell>
        </row>
        <row r="12">
          <cell r="Q12" t="str">
            <v>brandon.sco.schaffer@hp.com</v>
          </cell>
        </row>
        <row r="13">
          <cell r="Q13" t="str">
            <v>thomas.jam.hromatka@hp.com</v>
          </cell>
        </row>
        <row r="14">
          <cell r="Q14" t="str">
            <v>brian.zimpfer@hp.com</v>
          </cell>
        </row>
        <row r="15">
          <cell r="Q15" t="str">
            <v>brian.zimpfer@hp.com</v>
          </cell>
        </row>
        <row r="16">
          <cell r="Q16" t="str">
            <v>john.fiorillo@hp.com</v>
          </cell>
        </row>
        <row r="17">
          <cell r="Q17" t="str">
            <v>sue-pei.wang@hp.com</v>
          </cell>
        </row>
        <row r="18">
          <cell r="Q18" t="str">
            <v>sasha.epstein@hp.com</v>
          </cell>
        </row>
        <row r="19">
          <cell r="Q19" t="str">
            <v>thomas.jam.hromatka@hp.com</v>
          </cell>
        </row>
        <row r="20">
          <cell r="Q20" t="str">
            <v>brian.zimpfer@hp.com</v>
          </cell>
        </row>
        <row r="21">
          <cell r="Q21" t="str">
            <v>brian.zimpfer@hp.com</v>
          </cell>
        </row>
        <row r="22">
          <cell r="Q22" t="str">
            <v>brian.zimpfer@hp.com</v>
          </cell>
        </row>
        <row r="23">
          <cell r="Q23" t="str">
            <v>brian.zimpfer@hp.com</v>
          </cell>
        </row>
        <row r="24">
          <cell r="Q24" t="str">
            <v>brian.zimpfer@hp.com</v>
          </cell>
        </row>
        <row r="25">
          <cell r="Q25" t="str">
            <v>thomas.jam.hromatka@hp.com</v>
          </cell>
        </row>
        <row r="26">
          <cell r="Q26" t="str">
            <v>Matt.Bondurant@hp.com</v>
          </cell>
        </row>
        <row r="27">
          <cell r="Q27" t="str">
            <v>douglas.lee.potts@hp.com</v>
          </cell>
        </row>
        <row r="28">
          <cell r="Q28" t="str">
            <v>gaurav.gupta2@hp.com</v>
          </cell>
        </row>
        <row r="29">
          <cell r="Q29" t="str">
            <v>samir.raval@hp.com</v>
          </cell>
        </row>
        <row r="30">
          <cell r="Q30" t="str">
            <v>bill.kirk@hp.com</v>
          </cell>
        </row>
        <row r="31">
          <cell r="Q31" t="str">
            <v>matt.dumm@hp.com</v>
          </cell>
        </row>
        <row r="32">
          <cell r="Q32" t="str">
            <v>amartya.tagore@hp.com</v>
          </cell>
        </row>
        <row r="33">
          <cell r="Q33" t="str">
            <v>john.fiorillo@hp.com</v>
          </cell>
        </row>
        <row r="34">
          <cell r="Q34" t="str">
            <v>brian.zimpfer@hp.com</v>
          </cell>
        </row>
        <row r="35">
          <cell r="Q35" t="str">
            <v>matt.dumm@hp.com</v>
          </cell>
        </row>
        <row r="36">
          <cell r="Q36" t="str">
            <v>brian.zimpfer@hp.com</v>
          </cell>
        </row>
        <row r="37">
          <cell r="Q37" t="str">
            <v>brian.zimpfer@hp.com</v>
          </cell>
        </row>
        <row r="38">
          <cell r="Q38" t="str">
            <v>padmapraveena.vusa@hp.com</v>
          </cell>
        </row>
        <row r="39">
          <cell r="Q39" t="str">
            <v>akshay.ballal@hp.com</v>
          </cell>
        </row>
        <row r="40">
          <cell r="Q40" t="str">
            <v>padmapraveena.vusa@hp.com</v>
          </cell>
        </row>
        <row r="41">
          <cell r="Q41" t="str">
            <v>sasha.epstein@hp.com</v>
          </cell>
        </row>
        <row r="42">
          <cell r="Q42" t="str">
            <v>padmapraveena.vusa@hp.com</v>
          </cell>
        </row>
        <row r="43">
          <cell r="Q43" t="str">
            <v>tim.beaudin@hp.com</v>
          </cell>
        </row>
        <row r="44">
          <cell r="Q44" t="str">
            <v>tim.beaudin@hp.com</v>
          </cell>
        </row>
        <row r="45">
          <cell r="Q45" t="str">
            <v>sue-pei.wang@hp.com</v>
          </cell>
        </row>
        <row r="46">
          <cell r="Q46" t="str">
            <v>aga.shahi@hp.com</v>
          </cell>
        </row>
        <row r="47">
          <cell r="Q47" t="str">
            <v>suruchi.gondkar@hp.com</v>
          </cell>
        </row>
        <row r="48">
          <cell r="Q48" t="str">
            <v>padmapraveena.vusa@hp.com</v>
          </cell>
        </row>
        <row r="49">
          <cell r="Q49" t="str">
            <v>padmapraveena.vusa@hp.com</v>
          </cell>
        </row>
        <row r="50">
          <cell r="Q50" t="str">
            <v>bryan.mcdade@hp.com</v>
          </cell>
        </row>
        <row r="51">
          <cell r="Q51" t="str">
            <v>padmapraveena.vusa@hp.com</v>
          </cell>
        </row>
        <row r="52">
          <cell r="Q52" t="str">
            <v>chi-ti.chen@hp.com</v>
          </cell>
        </row>
        <row r="53">
          <cell r="Q53" t="str">
            <v>matt.dumm@hp.com</v>
          </cell>
        </row>
        <row r="54">
          <cell r="Q54" t="str">
            <v>matt.dumm@hp.com</v>
          </cell>
        </row>
        <row r="55">
          <cell r="Q55" t="str">
            <v>bryan.mcdade@hp.com</v>
          </cell>
        </row>
        <row r="56">
          <cell r="Q56" t="str">
            <v>sayan.ghosh@hp.com</v>
          </cell>
        </row>
        <row r="57">
          <cell r="Q57" t="str">
            <v>chi-ti.chen@hp.com</v>
          </cell>
        </row>
        <row r="58">
          <cell r="Q58" t="str">
            <v>chi-ti.chen@hp.com</v>
          </cell>
        </row>
        <row r="59">
          <cell r="Q59" t="str">
            <v>chi-ti.chen@hp.com</v>
          </cell>
        </row>
        <row r="60">
          <cell r="Q60" t="str">
            <v>chi-ti.chen@hp.com</v>
          </cell>
        </row>
        <row r="61">
          <cell r="Q61" t="str">
            <v>chi-ti.chen@hp.com</v>
          </cell>
        </row>
        <row r="62">
          <cell r="Q62" t="str">
            <v>arnab.das@hp.com</v>
          </cell>
        </row>
        <row r="63">
          <cell r="Q63" t="str">
            <v>chi-ti.chen@hp.com</v>
          </cell>
        </row>
        <row r="64">
          <cell r="Q64" t="str">
            <v>chi-ti.chen@hp.com</v>
          </cell>
        </row>
        <row r="65">
          <cell r="Q65" t="str">
            <v>chi-ti.chen@hp.com</v>
          </cell>
        </row>
        <row r="66">
          <cell r="Q66" t="str">
            <v>chi-ti.chen@hp.com</v>
          </cell>
        </row>
        <row r="67">
          <cell r="Q67" t="str">
            <v>chi-ti.chen@hp.com</v>
          </cell>
        </row>
        <row r="68">
          <cell r="Q68" t="str">
            <v>chi-ti.chen@hp.com</v>
          </cell>
        </row>
        <row r="69">
          <cell r="Q69" t="str">
            <v>chi-ti.chen@hp.com</v>
          </cell>
        </row>
        <row r="70">
          <cell r="Q70" t="str">
            <v>chi-ti.chen@hp.com</v>
          </cell>
        </row>
        <row r="71">
          <cell r="Q71" t="str">
            <v>chi-ti.chen@hp.com</v>
          </cell>
        </row>
        <row r="72">
          <cell r="Q72" t="str">
            <v>chi-ti.chen@hp.com</v>
          </cell>
        </row>
        <row r="73">
          <cell r="Q73" t="str">
            <v>chi-ti.chen@hp.com</v>
          </cell>
        </row>
        <row r="74">
          <cell r="Q74" t="str">
            <v>douglas.lee.potts@hp.com</v>
          </cell>
        </row>
        <row r="75">
          <cell r="Q75" t="str">
            <v>matt.dumm@hp.com</v>
          </cell>
        </row>
        <row r="76">
          <cell r="Q76" t="str">
            <v>chi-ti.chen@hp.com</v>
          </cell>
        </row>
        <row r="77">
          <cell r="Q77" t="str">
            <v>chi-ti.chen@hp.com</v>
          </cell>
        </row>
        <row r="78">
          <cell r="Q78" t="str">
            <v>chi-ti.chen@hp.com</v>
          </cell>
        </row>
        <row r="79">
          <cell r="Q79" t="str">
            <v>chi-ti.chen@hp.com</v>
          </cell>
        </row>
        <row r="80">
          <cell r="Q80" t="str">
            <v>chi-ti.chen@hp.com</v>
          </cell>
        </row>
        <row r="81">
          <cell r="Q81" t="str">
            <v>chi-ti.chen@hp.com</v>
          </cell>
        </row>
        <row r="82">
          <cell r="Q82" t="str">
            <v>john.fiorillo@hp.com</v>
          </cell>
        </row>
        <row r="83">
          <cell r="Q83" t="str">
            <v>suruchi.gondkar@hp.com</v>
          </cell>
        </row>
        <row r="84">
          <cell r="Q84" t="str">
            <v>chi-ti.chen@hp.com</v>
          </cell>
        </row>
        <row r="85">
          <cell r="Q85" t="str">
            <v>suruchi.gondkar@hp.com</v>
          </cell>
        </row>
        <row r="86">
          <cell r="Q86" t="str">
            <v>suruchi.gondkar@hp.com</v>
          </cell>
        </row>
        <row r="87">
          <cell r="Q87" t="str">
            <v>thomas.jam.hromatka@hp.com</v>
          </cell>
        </row>
        <row r="88">
          <cell r="Q88" t="str">
            <v>chi-ti.chen@hp.com</v>
          </cell>
        </row>
        <row r="89">
          <cell r="Q89" t="str">
            <v>chi-ti.chen@hp.com</v>
          </cell>
        </row>
        <row r="90">
          <cell r="Q90" t="str">
            <v>sue-pei.wang@hp.com</v>
          </cell>
        </row>
        <row r="91">
          <cell r="Q91" t="str">
            <v>chi-ti.chen@hp.com</v>
          </cell>
        </row>
        <row r="92">
          <cell r="Q92" t="str">
            <v>chi-ti.chen@hp.com</v>
          </cell>
        </row>
        <row r="93">
          <cell r="Q93" t="str">
            <v>sayan.ghosh@hp.com</v>
          </cell>
        </row>
        <row r="94">
          <cell r="Q94" t="str">
            <v>amartya.tagore@hp.com</v>
          </cell>
        </row>
        <row r="95">
          <cell r="Q95" t="str">
            <v>matt.dumm@hp.com</v>
          </cell>
        </row>
        <row r="96">
          <cell r="Q96" t="str">
            <v>chi-ti.chen@hp.com</v>
          </cell>
        </row>
        <row r="97">
          <cell r="Q97" t="str">
            <v>amartya.tagore@hp.com</v>
          </cell>
        </row>
        <row r="98">
          <cell r="Q98" t="str">
            <v>chi-ti.chen@hp.com</v>
          </cell>
        </row>
        <row r="99">
          <cell r="Q99" t="str">
            <v>john.fiorillo@hp.com</v>
          </cell>
        </row>
        <row r="100">
          <cell r="Q100" t="str">
            <v>chi-ti.chen@hp.com</v>
          </cell>
        </row>
        <row r="101">
          <cell r="Q101" t="str">
            <v>chi-ti.chen@hp.com</v>
          </cell>
        </row>
        <row r="102">
          <cell r="Q102" t="str">
            <v>akshay.ballal@hp.com</v>
          </cell>
        </row>
        <row r="103">
          <cell r="Q103" t="str">
            <v>chi-ti.chen@hp.com</v>
          </cell>
        </row>
        <row r="104">
          <cell r="Q104" t="str">
            <v>chi-ti.chen@hp.com</v>
          </cell>
        </row>
        <row r="105">
          <cell r="Q105" t="str">
            <v>ashustosh.kumar@hp.com</v>
          </cell>
        </row>
        <row r="106">
          <cell r="Q106" t="str">
            <v>john.fiorillo@hp.com</v>
          </cell>
        </row>
        <row r="107">
          <cell r="Q107" t="str">
            <v>chi-ti.chen@hp.com</v>
          </cell>
        </row>
        <row r="108">
          <cell r="Q108" t="str">
            <v>chi-ti.chen@hp.com</v>
          </cell>
        </row>
        <row r="109">
          <cell r="Q109" t="str">
            <v>ashustosh.kumar@hp.com</v>
          </cell>
        </row>
        <row r="110">
          <cell r="Q110" t="str">
            <v>prince.sharma@hp.com</v>
          </cell>
        </row>
        <row r="111">
          <cell r="Q111" t="str">
            <v>niharika.yedelli@hp.com</v>
          </cell>
        </row>
        <row r="112">
          <cell r="Q112" t="str">
            <v>ashustosh.kumar@hp.com</v>
          </cell>
        </row>
        <row r="113">
          <cell r="Q113" t="str">
            <v>prashant-kumar.pandey@hp.com</v>
          </cell>
        </row>
        <row r="114">
          <cell r="Q114" t="str">
            <v>sganta@hp.com</v>
          </cell>
        </row>
        <row r="115">
          <cell r="Q115" t="str">
            <v>chi-ti.chen@hp.com</v>
          </cell>
        </row>
        <row r="116">
          <cell r="Q116" t="str">
            <v>chi-ti.chen@hp.com</v>
          </cell>
        </row>
        <row r="117">
          <cell r="Q117" t="str">
            <v>john.fiorillo@hp.com</v>
          </cell>
        </row>
        <row r="118">
          <cell r="Q118" t="str">
            <v>jhilik.roy@hp.com</v>
          </cell>
        </row>
        <row r="119">
          <cell r="Q119" t="str">
            <v>bret.mckee@hp.com</v>
          </cell>
        </row>
        <row r="120">
          <cell r="Q120" t="str">
            <v>jose.a.sousa@hp.com</v>
          </cell>
        </row>
        <row r="121">
          <cell r="Q121" t="str">
            <v>douglas.lee.potts@hp.com</v>
          </cell>
        </row>
        <row r="122">
          <cell r="Q122" t="str">
            <v>aga.shahi@hp.com</v>
          </cell>
        </row>
        <row r="123">
          <cell r="Q123" t="str">
            <v>aga.shahi@hp.com</v>
          </cell>
        </row>
        <row r="124">
          <cell r="Q124" t="str">
            <v>john.fiorillo@hp.com</v>
          </cell>
        </row>
        <row r="125">
          <cell r="Q125" t="str">
            <v>chi-ti.chen@hp.com</v>
          </cell>
        </row>
        <row r="126">
          <cell r="Q126" t="str">
            <v>chi-ti.chen@hp.com</v>
          </cell>
        </row>
        <row r="127">
          <cell r="Q127" t="str">
            <v>john.fiorillo@hp.com</v>
          </cell>
        </row>
        <row r="128">
          <cell r="Q128" t="str">
            <v>ggupta@hp.com</v>
          </cell>
        </row>
        <row r="129">
          <cell r="Q129" t="str">
            <v>thomas.jam.hromatka@hp.com</v>
          </cell>
        </row>
        <row r="130">
          <cell r="Q130" t="str">
            <v>chi-ti.chen@hp.com</v>
          </cell>
        </row>
        <row r="131">
          <cell r="Q131" t="str">
            <v>chi-ti.chen@hp.com</v>
          </cell>
        </row>
        <row r="132">
          <cell r="Q132" t="str">
            <v>chi-ti.chen@hp.com</v>
          </cell>
        </row>
        <row r="133">
          <cell r="Q133" t="str">
            <v>prashant-kumar.pandey@hp.com</v>
          </cell>
        </row>
        <row r="134">
          <cell r="Q134" t="str">
            <v>john.fiorillo@hp.com</v>
          </cell>
        </row>
        <row r="135">
          <cell r="Q135" t="str">
            <v>nagesh.kulkarni@hp.com</v>
          </cell>
        </row>
        <row r="136">
          <cell r="Q136" t="str">
            <v>sarat-kumar.behera@hp.com</v>
          </cell>
        </row>
        <row r="137">
          <cell r="Q137" t="str">
            <v>sue-pei.wang@hp.com</v>
          </cell>
        </row>
        <row r="138">
          <cell r="Q138" t="str">
            <v>sue-pei.wang@hp.com</v>
          </cell>
        </row>
        <row r="139">
          <cell r="Q139" t="str">
            <v>sue-pei.wang@hp.com</v>
          </cell>
        </row>
        <row r="140">
          <cell r="Q140" t="str">
            <v>sue-pei.wang@hp.com</v>
          </cell>
        </row>
        <row r="141">
          <cell r="Q141" t="str">
            <v>thomas.jam.hromatka@hp.com</v>
          </cell>
        </row>
        <row r="142">
          <cell r="Q142" t="str">
            <v>suruchi.gondkar@hp.com</v>
          </cell>
        </row>
        <row r="143">
          <cell r="Q143" t="str">
            <v>sasha.epstein@hp.com</v>
          </cell>
        </row>
        <row r="144">
          <cell r="Q144" t="str">
            <v>thomas.jam.hromatka@hp.com</v>
          </cell>
        </row>
        <row r="145">
          <cell r="Q145" t="str">
            <v>thomas.jam.hromatka@hp.com</v>
          </cell>
        </row>
        <row r="146">
          <cell r="Q146" t="str">
            <v>sasha.epstein@hp.com</v>
          </cell>
        </row>
        <row r="147">
          <cell r="Q147" t="str">
            <v>sasha.epstein@hp.com</v>
          </cell>
        </row>
        <row r="148">
          <cell r="Q148" t="str">
            <v>sue-pei.wang@hp.com</v>
          </cell>
        </row>
        <row r="149">
          <cell r="Q149" t="str">
            <v>sue-pei.wang@hp.com</v>
          </cell>
        </row>
        <row r="150">
          <cell r="Q150" t="str">
            <v>samir.raval@hp.com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bugzilla.houston.hpecorp.net:1181/bugzilla/process_bug.cgi?id=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bugzilla.houston.hpecorp.net:1181/bugzilla/enter_bug.cgi?product=FileSystem%20Management%20(IAS)&amp;cloned_bug_id=95151" TargetMode="External"/><Relationship Id="rId1" Type="http://schemas.openxmlformats.org/officeDocument/2006/relationships/hyperlink" Target="https://bugzilla.houston.hpecorp.net:1181/bugzilla/enter_bug.cgi?product=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bugzilla.houston.hpecorp.net:1181/bugzilla/buglist.cgi?bug_id=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filterMode="1"/>
  <dimension ref="A1:U44"/>
  <sheetViews>
    <sheetView tabSelected="1" zoomScale="70" zoomScaleNormal="70" workbookViewId="0">
      <selection activeCell="L4" sqref="L4"/>
    </sheetView>
  </sheetViews>
  <sheetFormatPr defaultRowHeight="14.4" x14ac:dyDescent="0.3"/>
  <cols>
    <col min="1" max="1" width="10" bestFit="1" customWidth="1"/>
    <col min="2" max="2" width="9.77734375" bestFit="1" customWidth="1"/>
    <col min="4" max="4" width="14.77734375" bestFit="1" customWidth="1"/>
    <col min="5" max="5" width="10.21875" bestFit="1" customWidth="1"/>
    <col min="6" max="6" width="18" customWidth="1"/>
    <col min="7" max="7" width="57" customWidth="1"/>
    <col min="9" max="9" width="10.6640625" customWidth="1"/>
    <col min="10" max="10" width="12.6640625" customWidth="1"/>
    <col min="11" max="11" width="12.33203125" bestFit="1" customWidth="1"/>
    <col min="12" max="12" width="111.77734375" bestFit="1" customWidth="1"/>
    <col min="18" max="19" width="13.6640625" bestFit="1" customWidth="1"/>
  </cols>
  <sheetData>
    <row r="1" spans="1:21" x14ac:dyDescent="0.3">
      <c r="A1" t="s">
        <v>20</v>
      </c>
      <c r="B1" s="23" t="s">
        <v>47</v>
      </c>
      <c r="C1" t="s">
        <v>19</v>
      </c>
      <c r="D1" t="s">
        <v>18</v>
      </c>
      <c r="E1" t="s">
        <v>12</v>
      </c>
      <c r="F1" t="s">
        <v>17</v>
      </c>
      <c r="G1" t="s">
        <v>16</v>
      </c>
      <c r="H1" s="20" t="s">
        <v>15</v>
      </c>
      <c r="I1" t="s">
        <v>14</v>
      </c>
      <c r="J1" t="s">
        <v>13</v>
      </c>
      <c r="K1" t="s">
        <v>12</v>
      </c>
      <c r="L1" t="s">
        <v>11</v>
      </c>
      <c r="M1" t="s">
        <v>10</v>
      </c>
      <c r="N1" t="s">
        <v>62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73</v>
      </c>
    </row>
    <row r="2" spans="1:21" x14ac:dyDescent="0.3">
      <c r="A2" s="2">
        <f>HYPERLINK($K$20 &amp; D2 &amp; $K$21 &amp; H2, H2)</f>
        <v>99809</v>
      </c>
      <c r="B2" s="24" t="s">
        <v>59</v>
      </c>
      <c r="C2" s="2">
        <f t="shared" ref="C2:C11" si="0">HYPERLINK($K$22 &amp; H2, H2)</f>
        <v>99809</v>
      </c>
      <c r="D2" t="str">
        <f t="shared" ref="D2:D7" si="1">I2</f>
        <v>Protocols-SMB</v>
      </c>
      <c r="E2" t="str">
        <f t="shared" ref="E2:E7" si="2">K2</f>
        <v>3.16.2 Cacophonix</v>
      </c>
      <c r="F2" t="str">
        <f ca="1">CONCATENATE("[Master]",INDIRECT("L" &amp; ROW()))</f>
        <v>[Master][Customer: Big Lots Stores] HPE-SMB crash, lwio aborts</v>
      </c>
      <c r="G2" t="str">
        <f ca="1">CONCATENATE("[Master=",$H2,", ",$H$20,"]",INDIRECT("L" &amp; ROW()))</f>
        <v>[Master=99809, Axion][Customer: Big Lots Stores] HPE-SMB crash, lwio aborts</v>
      </c>
      <c r="H2">
        <v>99809</v>
      </c>
      <c r="I2" t="s">
        <v>80</v>
      </c>
      <c r="J2" t="s">
        <v>84</v>
      </c>
      <c r="K2" t="s">
        <v>85</v>
      </c>
      <c r="L2" t="s">
        <v>86</v>
      </c>
      <c r="M2" t="s">
        <v>87</v>
      </c>
      <c r="N2" t="s">
        <v>88</v>
      </c>
      <c r="O2" t="s">
        <v>89</v>
      </c>
      <c r="P2" t="s">
        <v>66</v>
      </c>
      <c r="Q2" t="s">
        <v>66</v>
      </c>
      <c r="R2" s="26">
        <v>42901.232187499998</v>
      </c>
      <c r="S2" s="26">
        <v>42877.304768518516</v>
      </c>
      <c r="T2" t="s">
        <v>90</v>
      </c>
      <c r="U2" t="s">
        <v>81</v>
      </c>
    </row>
    <row r="3" spans="1:21" hidden="1" x14ac:dyDescent="0.3">
      <c r="A3" s="2">
        <f t="shared" ref="A3:A11" si="3">HYPERLINK($K$20 &amp; D3 &amp; $K$21 &amp; C3, C3)</f>
        <v>100873</v>
      </c>
      <c r="B3" s="24" t="s">
        <v>59</v>
      </c>
      <c r="C3" s="2">
        <f t="shared" si="0"/>
        <v>100873</v>
      </c>
      <c r="D3" t="str">
        <f t="shared" si="1"/>
        <v>Protocols-NFS</v>
      </c>
      <c r="E3" t="str">
        <f t="shared" si="2"/>
        <v>Axion</v>
      </c>
      <c r="F3" t="str">
        <f t="shared" ref="F3:F11" ca="1" si="4">CONCATENATE("[Master]",INDIRECT("L" &amp; ROW()))</f>
        <v>[Master]Issue with mount NFS share "mount.nfs: Connection timed out" error during IDART setfsarchive tests</v>
      </c>
      <c r="G3" t="str">
        <f t="shared" ref="G3:G11" ca="1" si="5">CONCATENATE("[Master=",$H3,", ",$H$20,"]",INDIRECT("L" &amp; ROW()))</f>
        <v>[Master=100873, Axion]Issue with mount NFS share "mount.nfs: Connection timed out" error during IDART setfsarchive tests</v>
      </c>
      <c r="H3">
        <v>100873</v>
      </c>
      <c r="I3" t="s">
        <v>91</v>
      </c>
      <c r="J3" t="s">
        <v>92</v>
      </c>
      <c r="K3" t="s">
        <v>5</v>
      </c>
      <c r="L3" t="s">
        <v>93</v>
      </c>
      <c r="M3" t="s">
        <v>94</v>
      </c>
      <c r="N3" t="s">
        <v>88</v>
      </c>
      <c r="P3" t="s">
        <v>66</v>
      </c>
      <c r="Q3" t="s">
        <v>66</v>
      </c>
      <c r="R3" s="26">
        <v>42902.226203703707</v>
      </c>
      <c r="S3" s="26">
        <v>42899.996446759258</v>
      </c>
      <c r="T3" t="s">
        <v>95</v>
      </c>
      <c r="U3" t="s">
        <v>96</v>
      </c>
    </row>
    <row r="4" spans="1:21" x14ac:dyDescent="0.3">
      <c r="A4" s="2">
        <f t="shared" si="3"/>
        <v>100879</v>
      </c>
      <c r="B4" s="24" t="s">
        <v>59</v>
      </c>
      <c r="C4" s="2">
        <f t="shared" si="0"/>
        <v>100879</v>
      </c>
      <c r="D4" t="str">
        <f t="shared" si="1"/>
        <v>Protocols-SMB</v>
      </c>
      <c r="E4" t="str">
        <f t="shared" si="2"/>
        <v>Atlas-1.2.4</v>
      </c>
      <c r="F4" t="str">
        <f t="shared" ca="1" si="4"/>
        <v>[Master][Moved from UDU 194814] [Customer Orange]removefstore fails due to old share subfolder still there</v>
      </c>
      <c r="G4" t="str">
        <f t="shared" ca="1" si="5"/>
        <v>[Master=100879, Axion][Moved from UDU 194814] [Customer Orange]removefstore fails due to old share subfolder still there</v>
      </c>
      <c r="H4">
        <v>100879</v>
      </c>
      <c r="I4" t="s">
        <v>80</v>
      </c>
      <c r="J4" t="s">
        <v>97</v>
      </c>
      <c r="K4" t="s">
        <v>98</v>
      </c>
      <c r="L4" t="s">
        <v>99</v>
      </c>
      <c r="M4" t="s">
        <v>100</v>
      </c>
      <c r="N4" t="s">
        <v>88</v>
      </c>
      <c r="O4" t="s">
        <v>89</v>
      </c>
      <c r="P4" t="s">
        <v>66</v>
      </c>
      <c r="Q4" t="s">
        <v>66</v>
      </c>
      <c r="R4" s="26">
        <v>42901.644895833335</v>
      </c>
      <c r="S4" s="26">
        <v>42900.046053240738</v>
      </c>
      <c r="T4" t="s">
        <v>90</v>
      </c>
      <c r="U4" t="s">
        <v>81</v>
      </c>
    </row>
    <row r="5" spans="1:21" hidden="1" x14ac:dyDescent="0.3">
      <c r="A5" s="2">
        <f t="shared" si="3"/>
        <v>100945</v>
      </c>
      <c r="B5" s="24" t="s">
        <v>59</v>
      </c>
      <c r="C5" s="2">
        <f t="shared" si="0"/>
        <v>100945</v>
      </c>
      <c r="D5" t="str">
        <f t="shared" si="1"/>
        <v>Protocols-AAUM</v>
      </c>
      <c r="E5" t="str">
        <f t="shared" si="2"/>
        <v>Avitus</v>
      </c>
      <c r="F5" t="str">
        <f t="shared" ca="1" si="4"/>
        <v>[Master]Observed lwsmd crash on all of the 8 node chimera.</v>
      </c>
      <c r="G5" t="str">
        <f t="shared" ca="1" si="5"/>
        <v>[Master=100945, Axion]Observed lwsmd crash on all of the 8 node chimera.</v>
      </c>
      <c r="H5">
        <v>100945</v>
      </c>
      <c r="I5" t="s">
        <v>102</v>
      </c>
      <c r="J5" t="s">
        <v>103</v>
      </c>
      <c r="K5" t="s">
        <v>7</v>
      </c>
      <c r="L5" t="s">
        <v>104</v>
      </c>
      <c r="M5" t="s">
        <v>105</v>
      </c>
      <c r="N5" t="s">
        <v>88</v>
      </c>
      <c r="P5" t="s">
        <v>66</v>
      </c>
      <c r="Q5" t="s">
        <v>66</v>
      </c>
      <c r="R5" s="26">
        <v>42902.285219907404</v>
      </c>
      <c r="S5" s="26">
        <v>42900.689282407409</v>
      </c>
      <c r="T5" t="s">
        <v>95</v>
      </c>
      <c r="U5" t="s">
        <v>81</v>
      </c>
    </row>
    <row r="6" spans="1:21" x14ac:dyDescent="0.3">
      <c r="A6" s="2" t="str">
        <f t="shared" si="3"/>
        <v>m101056</v>
      </c>
      <c r="B6" s="24" t="s">
        <v>59</v>
      </c>
      <c r="C6" s="2" t="str">
        <f t="shared" si="0"/>
        <v>m101056</v>
      </c>
      <c r="D6" t="str">
        <f t="shared" si="1"/>
        <v>Protocols-SMB</v>
      </c>
      <c r="E6" t="str">
        <f t="shared" si="2"/>
        <v>Avitus</v>
      </c>
      <c r="F6" t="str">
        <f t="shared" ca="1" si="4"/>
        <v>[Master]When SMB shares are created under fstore level on FP the permissions (ACLS) inherited should be converted to explicit to match Windows server behavior</v>
      </c>
      <c r="G6" t="str">
        <f t="shared" ca="1" si="5"/>
        <v>[Master=m101056, Axion]When SMB shares are created under fstore level on FP the permissions (ACLS) inherited should be converted to explicit to match Windows server behavior</v>
      </c>
      <c r="H6" t="s">
        <v>108</v>
      </c>
      <c r="I6" t="s">
        <v>80</v>
      </c>
      <c r="J6" t="s">
        <v>84</v>
      </c>
      <c r="K6" t="s">
        <v>7</v>
      </c>
      <c r="L6" t="s">
        <v>106</v>
      </c>
      <c r="M6" t="s">
        <v>101</v>
      </c>
      <c r="N6" t="s">
        <v>88</v>
      </c>
      <c r="P6" t="s">
        <v>66</v>
      </c>
      <c r="Q6" t="s">
        <v>66</v>
      </c>
      <c r="R6" s="26">
        <v>42902.490451388891</v>
      </c>
      <c r="S6" s="26">
        <v>42902.473819444444</v>
      </c>
      <c r="T6" t="s">
        <v>107</v>
      </c>
      <c r="U6" t="s">
        <v>81</v>
      </c>
    </row>
    <row r="7" spans="1:21" x14ac:dyDescent="0.3">
      <c r="A7" s="2">
        <f t="shared" si="3"/>
        <v>0</v>
      </c>
      <c r="B7" s="24" t="s">
        <v>59</v>
      </c>
      <c r="C7" s="2">
        <f t="shared" si="0"/>
        <v>0</v>
      </c>
      <c r="D7">
        <f t="shared" si="1"/>
        <v>0</v>
      </c>
      <c r="E7">
        <f t="shared" si="2"/>
        <v>0</v>
      </c>
      <c r="F7" t="str">
        <f t="shared" ca="1" si="4"/>
        <v>[Master]</v>
      </c>
      <c r="G7" t="str">
        <f t="shared" ca="1" si="5"/>
        <v>[Master=, Axion]</v>
      </c>
    </row>
    <row r="8" spans="1:21" x14ac:dyDescent="0.3">
      <c r="A8" s="2">
        <f t="shared" si="3"/>
        <v>0</v>
      </c>
      <c r="B8" s="24" t="s">
        <v>59</v>
      </c>
      <c r="C8" s="2">
        <f t="shared" si="0"/>
        <v>0</v>
      </c>
      <c r="D8">
        <f t="shared" ref="D8:D11" si="6">I8</f>
        <v>0</v>
      </c>
      <c r="E8">
        <f t="shared" ref="E8:E11" si="7">K8</f>
        <v>0</v>
      </c>
      <c r="F8" t="str">
        <f t="shared" ca="1" si="4"/>
        <v>[Master]</v>
      </c>
      <c r="G8" t="str">
        <f t="shared" ca="1" si="5"/>
        <v>[Master=, Axion]</v>
      </c>
    </row>
    <row r="9" spans="1:21" x14ac:dyDescent="0.3">
      <c r="A9" s="2">
        <f t="shared" si="3"/>
        <v>0</v>
      </c>
      <c r="B9" s="24" t="s">
        <v>59</v>
      </c>
      <c r="C9" s="2">
        <f t="shared" si="0"/>
        <v>0</v>
      </c>
      <c r="D9">
        <f t="shared" si="6"/>
        <v>0</v>
      </c>
      <c r="E9">
        <f t="shared" si="7"/>
        <v>0</v>
      </c>
      <c r="F9" t="str">
        <f t="shared" ca="1" si="4"/>
        <v>[Master]</v>
      </c>
      <c r="G9" t="str">
        <f t="shared" ca="1" si="5"/>
        <v>[Master=, Axion]</v>
      </c>
    </row>
    <row r="10" spans="1:21" x14ac:dyDescent="0.3">
      <c r="A10" s="2">
        <f t="shared" si="3"/>
        <v>0</v>
      </c>
      <c r="B10" s="24" t="s">
        <v>59</v>
      </c>
      <c r="C10" s="2">
        <f t="shared" si="0"/>
        <v>0</v>
      </c>
      <c r="D10">
        <f t="shared" si="6"/>
        <v>0</v>
      </c>
      <c r="E10">
        <f t="shared" si="7"/>
        <v>0</v>
      </c>
      <c r="F10" t="str">
        <f t="shared" ca="1" si="4"/>
        <v>[Master]</v>
      </c>
      <c r="G10" t="str">
        <f t="shared" ca="1" si="5"/>
        <v>[Master=, Axion]</v>
      </c>
    </row>
    <row r="11" spans="1:21" x14ac:dyDescent="0.3">
      <c r="A11" s="2">
        <f t="shared" si="3"/>
        <v>0</v>
      </c>
      <c r="B11" s="24" t="s">
        <v>59</v>
      </c>
      <c r="C11" s="2">
        <f t="shared" si="0"/>
        <v>0</v>
      </c>
      <c r="D11">
        <f t="shared" si="6"/>
        <v>0</v>
      </c>
      <c r="E11">
        <f t="shared" si="7"/>
        <v>0</v>
      </c>
      <c r="F11" t="str">
        <f t="shared" ca="1" si="4"/>
        <v>[Master]</v>
      </c>
      <c r="G11" t="str">
        <f t="shared" ca="1" si="5"/>
        <v>[Master=, Axion]</v>
      </c>
    </row>
    <row r="12" spans="1:21" x14ac:dyDescent="0.3">
      <c r="R12" s="26"/>
      <c r="S12" s="26"/>
    </row>
    <row r="13" spans="1:21" x14ac:dyDescent="0.3">
      <c r="R13" s="26"/>
      <c r="S13" s="26"/>
    </row>
    <row r="14" spans="1:21" x14ac:dyDescent="0.3">
      <c r="R14" s="26"/>
      <c r="S14" s="26"/>
    </row>
    <row r="15" spans="1:21" x14ac:dyDescent="0.3">
      <c r="R15" s="26"/>
      <c r="S15" s="26"/>
    </row>
    <row r="17" spans="3:12" x14ac:dyDescent="0.3">
      <c r="C17" s="22">
        <v>101056</v>
      </c>
      <c r="D17" s="22" t="e">
        <f>VLOOKUP(C17,H2:L10,5,FALSE)</f>
        <v>#N/A</v>
      </c>
    </row>
    <row r="18" spans="3:12" x14ac:dyDescent="0.3">
      <c r="C18" s="22" t="s">
        <v>63</v>
      </c>
      <c r="D18" s="22"/>
    </row>
    <row r="19" spans="3:12" x14ac:dyDescent="0.3">
      <c r="D19" t="s">
        <v>109</v>
      </c>
      <c r="H19" t="s">
        <v>62</v>
      </c>
    </row>
    <row r="20" spans="3:12" x14ac:dyDescent="0.3">
      <c r="H20" s="18" t="s">
        <v>5</v>
      </c>
      <c r="I20" s="1" t="s">
        <v>58</v>
      </c>
      <c r="K20" s="2" t="s">
        <v>8</v>
      </c>
    </row>
    <row r="21" spans="3:12" x14ac:dyDescent="0.3">
      <c r="I21" s="1" t="s">
        <v>7</v>
      </c>
      <c r="K21" t="s">
        <v>6</v>
      </c>
    </row>
    <row r="22" spans="3:12" x14ac:dyDescent="0.3">
      <c r="I22" s="1" t="s">
        <v>5</v>
      </c>
      <c r="K22" t="s">
        <v>4</v>
      </c>
    </row>
    <row r="23" spans="3:12" x14ac:dyDescent="0.3">
      <c r="I23" s="1" t="s">
        <v>3</v>
      </c>
      <c r="K23" s="2" t="s">
        <v>2</v>
      </c>
    </row>
    <row r="24" spans="3:12" x14ac:dyDescent="0.3">
      <c r="I24" s="1" t="s">
        <v>82</v>
      </c>
    </row>
    <row r="25" spans="3:12" x14ac:dyDescent="0.3">
      <c r="I25" s="1" t="s">
        <v>39</v>
      </c>
      <c r="K25" s="19" t="s">
        <v>1</v>
      </c>
    </row>
    <row r="26" spans="3:12" x14ac:dyDescent="0.3">
      <c r="I26" s="1" t="s">
        <v>65</v>
      </c>
      <c r="K26" s="20" t="s">
        <v>0</v>
      </c>
    </row>
    <row r="27" spans="3:12" x14ac:dyDescent="0.3">
      <c r="K27" s="20" t="s">
        <v>40</v>
      </c>
      <c r="L27" t="s">
        <v>64</v>
      </c>
    </row>
    <row r="28" spans="3:12" x14ac:dyDescent="0.3">
      <c r="K28" s="21" t="s">
        <v>74</v>
      </c>
    </row>
    <row r="30" spans="3:12" x14ac:dyDescent="0.3">
      <c r="K30" s="2"/>
    </row>
    <row r="31" spans="3:12" x14ac:dyDescent="0.3">
      <c r="K31" s="25" t="s">
        <v>83</v>
      </c>
    </row>
    <row r="32" spans="3:12" x14ac:dyDescent="0.3">
      <c r="K32" s="20" t="s">
        <v>61</v>
      </c>
    </row>
    <row r="34" spans="6:7" x14ac:dyDescent="0.3">
      <c r="G34" t="s">
        <v>50</v>
      </c>
    </row>
    <row r="35" spans="6:7" x14ac:dyDescent="0.3">
      <c r="F35" t="s">
        <v>51</v>
      </c>
      <c r="G35" s="2" t="s">
        <v>60</v>
      </c>
    </row>
    <row r="36" spans="6:7" x14ac:dyDescent="0.3">
      <c r="F36" t="s">
        <v>44</v>
      </c>
      <c r="G36">
        <v>98611</v>
      </c>
    </row>
    <row r="37" spans="6:7" x14ac:dyDescent="0.3">
      <c r="F37" t="s">
        <v>45</v>
      </c>
      <c r="G37" t="s">
        <v>48</v>
      </c>
    </row>
    <row r="38" spans="6:7" x14ac:dyDescent="0.3">
      <c r="F38" t="s">
        <v>49</v>
      </c>
      <c r="G38" t="s">
        <v>42</v>
      </c>
    </row>
    <row r="39" spans="6:7" x14ac:dyDescent="0.3">
      <c r="F39" t="s">
        <v>46</v>
      </c>
      <c r="G39" t="s">
        <v>43</v>
      </c>
    </row>
    <row r="41" spans="6:7" x14ac:dyDescent="0.3">
      <c r="G41" t="s">
        <v>52</v>
      </c>
    </row>
    <row r="42" spans="6:7" x14ac:dyDescent="0.3">
      <c r="F42" t="s">
        <v>53</v>
      </c>
      <c r="G42" s="2" t="s">
        <v>54</v>
      </c>
    </row>
    <row r="43" spans="6:7" x14ac:dyDescent="0.3">
      <c r="F43" t="s">
        <v>55</v>
      </c>
      <c r="G43">
        <v>97956</v>
      </c>
    </row>
    <row r="44" spans="6:7" x14ac:dyDescent="0.3">
      <c r="F44" t="s">
        <v>56</v>
      </c>
      <c r="G44" t="s">
        <v>57</v>
      </c>
    </row>
  </sheetData>
  <autoFilter ref="H1:U11">
    <filterColumn colId="1">
      <filters blank="1">
        <filter val="Protocols-SMB"/>
      </filters>
    </filterColumn>
  </autoFilter>
  <conditionalFormatting sqref="C2:C11">
    <cfRule type="expression" dxfId="3" priority="2">
      <formula>IF(AND(F2="normal",OR(Q2="high",Q2="medium")),TRUE,FALSE)</formula>
    </cfRule>
    <cfRule type="expression" dxfId="2" priority="3">
      <formula>IF(AND(F2="major",Q2="low"),TRUE,FALSE)</formula>
    </cfRule>
    <cfRule type="expression" dxfId="1" priority="4">
      <formula>IF(OR(F2="blocker",F2="critical",AND(F2="major",OR(Q2="high",Q2="medium"))),TRUE,FALSE)</formula>
    </cfRule>
  </conditionalFormatting>
  <conditionalFormatting sqref="L4:L6">
    <cfRule type="expression" dxfId="0" priority="1">
      <formula>IF(LEN(L4)&gt;242,1,0)</formula>
    </cfRule>
  </conditionalFormatting>
  <dataValidations count="3">
    <dataValidation type="list" allowBlank="1" showInputMessage="1" showErrorMessage="1" sqref="H20">
      <formula1>I20:I26</formula1>
    </dataValidation>
    <dataValidation type="custom" allowBlank="1" showInputMessage="1" showErrorMessage="1" sqref="C16">
      <formula1>"bugs"</formula1>
    </dataValidation>
    <dataValidation type="list" allowBlank="1" showInputMessage="1" showErrorMessage="1" sqref="C17">
      <formula1>H2:H11</formula1>
    </dataValidation>
  </dataValidations>
  <hyperlinks>
    <hyperlink ref="K20" r:id="rId1"/>
    <hyperlink ref="K23" r:id="rId2"/>
    <hyperlink ref="G35" r:id="rId3"/>
    <hyperlink ref="G42" r:id="rId4"/>
    <hyperlink ref="K28" display="https://bugzilla.houston.hpecorp.net:1181/bugzilla/buglist.cgi?bug_status=NEW&amp;bug_status=ASSIGNED&amp;bug_status=REOPENED&amp;classification=Protocols&amp;columnlist=bug_id%2Cproduct%2Ccomponent%2Cversion%2Cshort_desc%2Creporter%2Ctarget_milestone%2Ckeywords%2Ccf_wai"/>
    <hyperlink ref="B2" location="CloneBugs!C17" display="mkmstr"/>
    <hyperlink ref="B3:B11" location="CloneBugs!C17" display="mkmstr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CloneCSVquery">
                <anchor moveWithCells="1" sizeWithCells="1">
                  <from>
                    <xdr:col>10</xdr:col>
                    <xdr:colOff>22860</xdr:colOff>
                    <xdr:row>26</xdr:row>
                    <xdr:rowOff>15240</xdr:rowOff>
                  </from>
                  <to>
                    <xdr:col>11</xdr:col>
                    <xdr:colOff>259080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SpecificBugsQuery">
                <anchor moveWithCells="1" sizeWithCells="1">
                  <from>
                    <xdr:col>7</xdr:col>
                    <xdr:colOff>525780</xdr:colOff>
                    <xdr:row>30</xdr:row>
                    <xdr:rowOff>0</xdr:rowOff>
                  </from>
                  <to>
                    <xdr:col>10</xdr:col>
                    <xdr:colOff>22860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MasterFy">
                <anchor moveWithCells="1" sizeWithCells="1">
                  <from>
                    <xdr:col>0</xdr:col>
                    <xdr:colOff>556260</xdr:colOff>
                    <xdr:row>15</xdr:row>
                    <xdr:rowOff>160020</xdr:rowOff>
                  </from>
                  <to>
                    <xdr:col>2</xdr:col>
                    <xdr:colOff>30480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121"/>
  <sheetViews>
    <sheetView workbookViewId="0">
      <pane ySplit="1" topLeftCell="A86" activePane="bottomLeft" state="frozen"/>
      <selection pane="bottomLeft" activeCell="H121" sqref="H121"/>
    </sheetView>
  </sheetViews>
  <sheetFormatPr defaultRowHeight="14.4" x14ac:dyDescent="0.3"/>
  <cols>
    <col min="1" max="1" width="7.5546875" bestFit="1" customWidth="1"/>
    <col min="2" max="2" width="5.88671875" bestFit="1" customWidth="1"/>
    <col min="3" max="3" width="8" bestFit="1" customWidth="1"/>
    <col min="4" max="4" width="5.77734375" bestFit="1" customWidth="1"/>
    <col min="5" max="5" width="4.88671875" bestFit="1" customWidth="1"/>
    <col min="6" max="6" width="9.5546875" style="4" bestFit="1" customWidth="1"/>
    <col min="8" max="8" width="23.21875" bestFit="1" customWidth="1"/>
    <col min="9" max="9" width="0" hidden="1" customWidth="1"/>
    <col min="15" max="15" width="9.6640625" bestFit="1" customWidth="1"/>
  </cols>
  <sheetData>
    <row r="1" spans="1:11" x14ac:dyDescent="0.3">
      <c r="A1" s="3" t="s">
        <v>38</v>
      </c>
      <c r="B1" s="3" t="s">
        <v>37</v>
      </c>
      <c r="C1" s="3" t="s">
        <v>36</v>
      </c>
      <c r="D1" s="3" t="s">
        <v>35</v>
      </c>
      <c r="E1" s="3" t="s">
        <v>34</v>
      </c>
      <c r="F1" s="16" t="s">
        <v>33</v>
      </c>
      <c r="G1" s="3"/>
      <c r="H1" s="3" t="s">
        <v>32</v>
      </c>
      <c r="I1" s="3"/>
      <c r="J1" s="3" t="s">
        <v>31</v>
      </c>
      <c r="K1" s="3" t="s">
        <v>30</v>
      </c>
    </row>
    <row r="2" spans="1:11" x14ac:dyDescent="0.3">
      <c r="A2" t="s">
        <v>9</v>
      </c>
      <c r="B2">
        <v>1</v>
      </c>
      <c r="C2">
        <v>3</v>
      </c>
      <c r="D2">
        <v>0</v>
      </c>
      <c r="E2">
        <v>35</v>
      </c>
      <c r="F2" s="4">
        <v>42536</v>
      </c>
      <c r="H2" t="str">
        <f t="shared" ref="H2:H40" si="0">CONCATENATE(A2,"_",B2,".",C2,".",D2,".",E2,"-",TEXT(F2,"yyyymmdd"))</f>
        <v>Aurora_1.3.0.35-20160615</v>
      </c>
      <c r="J2" t="str">
        <f t="shared" ref="J2:J40" si="1">CONCATENATE(B2,C2,D2,E2)</f>
        <v>13035</v>
      </c>
      <c r="K2" s="13"/>
    </row>
    <row r="3" spans="1:11" x14ac:dyDescent="0.3">
      <c r="A3" s="5" t="str">
        <f t="shared" ref="A3:D22" ca="1" si="2">INDIRECT(MID(ADDRESS(ROW(),COLUMN()),2,1)&amp;(ROW()-1))</f>
        <v>Aurora</v>
      </c>
      <c r="B3" s="5">
        <f t="shared" ca="1" si="2"/>
        <v>1</v>
      </c>
      <c r="C3" s="5">
        <f t="shared" ca="1" si="2"/>
        <v>3</v>
      </c>
      <c r="D3" s="5">
        <f t="shared" ca="1" si="2"/>
        <v>0</v>
      </c>
      <c r="E3" s="5">
        <f t="shared" ref="E3:E36" si="3">E2+1</f>
        <v>36</v>
      </c>
      <c r="F3" s="4">
        <f>F2+7</f>
        <v>42543</v>
      </c>
      <c r="H3" t="str">
        <f t="shared" ca="1" si="0"/>
        <v>Aurora_1.3.0.36-20160622</v>
      </c>
      <c r="J3" t="str">
        <f t="shared" ca="1" si="1"/>
        <v>13036</v>
      </c>
      <c r="K3" s="13"/>
    </row>
    <row r="4" spans="1:11" x14ac:dyDescent="0.3">
      <c r="A4" s="5" t="str">
        <f t="shared" ca="1" si="2"/>
        <v>Aurora</v>
      </c>
      <c r="B4" s="5">
        <f t="shared" ca="1" si="2"/>
        <v>1</v>
      </c>
      <c r="C4" s="5">
        <f t="shared" ca="1" si="2"/>
        <v>3</v>
      </c>
      <c r="D4" s="5">
        <f t="shared" ca="1" si="2"/>
        <v>0</v>
      </c>
      <c r="E4" s="5">
        <f t="shared" si="3"/>
        <v>37</v>
      </c>
      <c r="F4" s="4">
        <f>F3+7</f>
        <v>42550</v>
      </c>
      <c r="H4" t="str">
        <f t="shared" ca="1" si="0"/>
        <v>Aurora_1.3.0.37-20160629</v>
      </c>
      <c r="J4" t="str">
        <f t="shared" ca="1" si="1"/>
        <v>13037</v>
      </c>
      <c r="K4" s="13"/>
    </row>
    <row r="5" spans="1:11" x14ac:dyDescent="0.3">
      <c r="A5" s="5" t="str">
        <f t="shared" ca="1" si="2"/>
        <v>Aurora</v>
      </c>
      <c r="B5" s="5">
        <f t="shared" ca="1" si="2"/>
        <v>1</v>
      </c>
      <c r="C5" s="5">
        <f t="shared" ca="1" si="2"/>
        <v>3</v>
      </c>
      <c r="D5" s="5">
        <f t="shared" ca="1" si="2"/>
        <v>0</v>
      </c>
      <c r="E5" s="5">
        <f t="shared" si="3"/>
        <v>38</v>
      </c>
      <c r="F5" s="4">
        <f>F4+7</f>
        <v>42557</v>
      </c>
      <c r="H5" t="str">
        <f t="shared" ca="1" si="0"/>
        <v>Aurora_1.3.0.38-20160706</v>
      </c>
      <c r="J5" t="str">
        <f t="shared" ca="1" si="1"/>
        <v>13038</v>
      </c>
      <c r="K5" s="13"/>
    </row>
    <row r="6" spans="1:11" x14ac:dyDescent="0.3">
      <c r="A6" s="5" t="str">
        <f t="shared" ca="1" si="2"/>
        <v>Aurora</v>
      </c>
      <c r="B6" s="5">
        <f t="shared" ca="1" si="2"/>
        <v>1</v>
      </c>
      <c r="C6" s="5">
        <f t="shared" ca="1" si="2"/>
        <v>3</v>
      </c>
      <c r="D6" s="5">
        <f t="shared" ca="1" si="2"/>
        <v>0</v>
      </c>
      <c r="E6" s="5">
        <f t="shared" si="3"/>
        <v>39</v>
      </c>
      <c r="F6" s="4">
        <f>F5+7</f>
        <v>42564</v>
      </c>
      <c r="H6" t="str">
        <f t="shared" ca="1" si="0"/>
        <v>Aurora_1.3.0.39-20160713</v>
      </c>
      <c r="J6" t="str">
        <f t="shared" ca="1" si="1"/>
        <v>13039</v>
      </c>
      <c r="K6" s="13"/>
    </row>
    <row r="7" spans="1:11" x14ac:dyDescent="0.3">
      <c r="A7" s="5" t="str">
        <f t="shared" ca="1" si="2"/>
        <v>Aurora</v>
      </c>
      <c r="B7" s="5">
        <f t="shared" ca="1" si="2"/>
        <v>1</v>
      </c>
      <c r="C7" s="5">
        <f t="shared" ca="1" si="2"/>
        <v>3</v>
      </c>
      <c r="D7" s="5">
        <f t="shared" ca="1" si="2"/>
        <v>0</v>
      </c>
      <c r="E7" s="5">
        <f t="shared" si="3"/>
        <v>40</v>
      </c>
      <c r="F7" s="4">
        <f>F6+7</f>
        <v>42571</v>
      </c>
      <c r="H7" t="str">
        <f t="shared" ca="1" si="0"/>
        <v>Aurora_1.3.0.40-20160720</v>
      </c>
      <c r="J7" t="str">
        <f t="shared" ca="1" si="1"/>
        <v>13040</v>
      </c>
      <c r="K7" s="13"/>
    </row>
    <row r="8" spans="1:11" s="5" customFormat="1" x14ac:dyDescent="0.3">
      <c r="A8" s="5" t="str">
        <f t="shared" ca="1" si="2"/>
        <v>Aurora</v>
      </c>
      <c r="B8" s="5">
        <f t="shared" ca="1" si="2"/>
        <v>1</v>
      </c>
      <c r="C8" s="5">
        <f t="shared" ca="1" si="2"/>
        <v>3</v>
      </c>
      <c r="D8" s="5">
        <f t="shared" ca="1" si="2"/>
        <v>0</v>
      </c>
      <c r="E8" s="5">
        <f t="shared" si="3"/>
        <v>41</v>
      </c>
      <c r="F8" s="10">
        <v>42578</v>
      </c>
      <c r="H8" s="5" t="str">
        <f t="shared" ca="1" si="0"/>
        <v>Aurora_1.3.0.41-20160727</v>
      </c>
      <c r="J8" s="5" t="str">
        <f t="shared" ca="1" si="1"/>
        <v>13041</v>
      </c>
    </row>
    <row r="9" spans="1:11" s="5" customFormat="1" x14ac:dyDescent="0.3">
      <c r="A9" s="5" t="str">
        <f t="shared" ca="1" si="2"/>
        <v>Aurora</v>
      </c>
      <c r="B9" s="5">
        <f t="shared" ca="1" si="2"/>
        <v>1</v>
      </c>
      <c r="C9" s="5">
        <f t="shared" ca="1" si="2"/>
        <v>3</v>
      </c>
      <c r="D9" s="5">
        <f t="shared" ca="1" si="2"/>
        <v>0</v>
      </c>
      <c r="E9" s="5">
        <f t="shared" si="3"/>
        <v>42</v>
      </c>
      <c r="F9" s="10">
        <f t="shared" ref="F9:F40" si="4">F8+7</f>
        <v>42585</v>
      </c>
      <c r="H9" s="5" t="str">
        <f t="shared" ca="1" si="0"/>
        <v>Aurora_1.3.0.42-20160803</v>
      </c>
      <c r="J9" s="5" t="str">
        <f t="shared" ca="1" si="1"/>
        <v>13042</v>
      </c>
    </row>
    <row r="10" spans="1:11" s="5" customFormat="1" x14ac:dyDescent="0.3">
      <c r="A10" s="5" t="str">
        <f t="shared" ca="1" si="2"/>
        <v>Aurora</v>
      </c>
      <c r="B10" s="5">
        <f t="shared" ca="1" si="2"/>
        <v>1</v>
      </c>
      <c r="C10" s="5">
        <f t="shared" ca="1" si="2"/>
        <v>3</v>
      </c>
      <c r="D10" s="5">
        <f t="shared" ca="1" si="2"/>
        <v>0</v>
      </c>
      <c r="E10" s="5">
        <f t="shared" si="3"/>
        <v>43</v>
      </c>
      <c r="F10" s="10">
        <f t="shared" si="4"/>
        <v>42592</v>
      </c>
      <c r="H10" s="5" t="str">
        <f t="shared" ca="1" si="0"/>
        <v>Aurora_1.3.0.43-20160810</v>
      </c>
      <c r="J10" s="5" t="str">
        <f t="shared" ca="1" si="1"/>
        <v>13043</v>
      </c>
    </row>
    <row r="11" spans="1:11" s="5" customFormat="1" x14ac:dyDescent="0.3">
      <c r="A11" s="5" t="str">
        <f t="shared" ca="1" si="2"/>
        <v>Aurora</v>
      </c>
      <c r="B11" s="5">
        <f t="shared" ca="1" si="2"/>
        <v>1</v>
      </c>
      <c r="C11" s="5">
        <f t="shared" ca="1" si="2"/>
        <v>3</v>
      </c>
      <c r="D11" s="5">
        <f t="shared" ca="1" si="2"/>
        <v>0</v>
      </c>
      <c r="E11" s="5">
        <f t="shared" si="3"/>
        <v>44</v>
      </c>
      <c r="F11" s="10">
        <f t="shared" si="4"/>
        <v>42599</v>
      </c>
      <c r="H11" s="5" t="str">
        <f t="shared" ca="1" si="0"/>
        <v>Aurora_1.3.0.44-20160817</v>
      </c>
      <c r="J11" s="5" t="str">
        <f t="shared" ca="1" si="1"/>
        <v>13044</v>
      </c>
    </row>
    <row r="12" spans="1:11" s="5" customFormat="1" x14ac:dyDescent="0.3">
      <c r="A12" s="5" t="str">
        <f t="shared" ca="1" si="2"/>
        <v>Aurora</v>
      </c>
      <c r="B12" s="5">
        <f t="shared" ca="1" si="2"/>
        <v>1</v>
      </c>
      <c r="C12" s="5">
        <f t="shared" ca="1" si="2"/>
        <v>3</v>
      </c>
      <c r="D12" s="5">
        <f t="shared" ca="1" si="2"/>
        <v>0</v>
      </c>
      <c r="E12" s="5">
        <f t="shared" si="3"/>
        <v>45</v>
      </c>
      <c r="F12" s="10">
        <f t="shared" si="4"/>
        <v>42606</v>
      </c>
      <c r="H12" s="5" t="str">
        <f t="shared" ca="1" si="0"/>
        <v>Aurora_1.3.0.45-20160824</v>
      </c>
      <c r="J12" s="5" t="str">
        <f t="shared" ca="1" si="1"/>
        <v>13045</v>
      </c>
    </row>
    <row r="13" spans="1:11" s="5" customFormat="1" x14ac:dyDescent="0.3">
      <c r="A13" s="5" t="str">
        <f t="shared" ca="1" si="2"/>
        <v>Aurora</v>
      </c>
      <c r="B13" s="5">
        <f t="shared" ca="1" si="2"/>
        <v>1</v>
      </c>
      <c r="C13" s="5">
        <f t="shared" ca="1" si="2"/>
        <v>3</v>
      </c>
      <c r="D13" s="5">
        <f t="shared" ca="1" si="2"/>
        <v>0</v>
      </c>
      <c r="E13" s="5">
        <f t="shared" si="3"/>
        <v>46</v>
      </c>
      <c r="F13" s="10">
        <f t="shared" si="4"/>
        <v>42613</v>
      </c>
      <c r="H13" s="5" t="str">
        <f t="shared" ca="1" si="0"/>
        <v>Aurora_1.3.0.46-20160831</v>
      </c>
      <c r="J13" s="5" t="str">
        <f t="shared" ca="1" si="1"/>
        <v>13046</v>
      </c>
    </row>
    <row r="14" spans="1:11" s="5" customFormat="1" x14ac:dyDescent="0.3">
      <c r="A14" s="5" t="str">
        <f t="shared" ca="1" si="2"/>
        <v>Aurora</v>
      </c>
      <c r="B14" s="5">
        <f t="shared" ca="1" si="2"/>
        <v>1</v>
      </c>
      <c r="C14" s="5">
        <f t="shared" ca="1" si="2"/>
        <v>3</v>
      </c>
      <c r="D14" s="5">
        <f t="shared" ca="1" si="2"/>
        <v>0</v>
      </c>
      <c r="E14" s="5">
        <f t="shared" si="3"/>
        <v>47</v>
      </c>
      <c r="F14" s="10">
        <f t="shared" si="4"/>
        <v>42620</v>
      </c>
      <c r="H14" s="5" t="str">
        <f t="shared" ca="1" si="0"/>
        <v>Aurora_1.3.0.47-20160907</v>
      </c>
      <c r="J14" s="5" t="str">
        <f t="shared" ca="1" si="1"/>
        <v>13047</v>
      </c>
    </row>
    <row r="15" spans="1:11" s="5" customFormat="1" x14ac:dyDescent="0.3">
      <c r="A15" s="5" t="str">
        <f t="shared" ca="1" si="2"/>
        <v>Aurora</v>
      </c>
      <c r="B15" s="5">
        <f t="shared" ca="1" si="2"/>
        <v>1</v>
      </c>
      <c r="C15" s="5">
        <f t="shared" ca="1" si="2"/>
        <v>3</v>
      </c>
      <c r="D15" s="5">
        <f t="shared" ca="1" si="2"/>
        <v>0</v>
      </c>
      <c r="E15" s="5">
        <f t="shared" si="3"/>
        <v>48</v>
      </c>
      <c r="F15" s="10">
        <f t="shared" si="4"/>
        <v>42627</v>
      </c>
      <c r="H15" s="5" t="str">
        <f t="shared" ca="1" si="0"/>
        <v>Aurora_1.3.0.48-20160914</v>
      </c>
      <c r="J15" s="5" t="str">
        <f t="shared" ca="1" si="1"/>
        <v>13048</v>
      </c>
    </row>
    <row r="16" spans="1:11" s="5" customFormat="1" x14ac:dyDescent="0.3">
      <c r="A16" s="5" t="str">
        <f t="shared" ca="1" si="2"/>
        <v>Aurora</v>
      </c>
      <c r="B16" s="5">
        <f t="shared" ca="1" si="2"/>
        <v>1</v>
      </c>
      <c r="C16" s="5">
        <f t="shared" ca="1" si="2"/>
        <v>3</v>
      </c>
      <c r="D16" s="5">
        <f t="shared" ca="1" si="2"/>
        <v>0</v>
      </c>
      <c r="E16" s="5">
        <f t="shared" si="3"/>
        <v>49</v>
      </c>
      <c r="F16" s="10">
        <f t="shared" si="4"/>
        <v>42634</v>
      </c>
      <c r="H16" s="5" t="str">
        <f t="shared" ca="1" si="0"/>
        <v>Aurora_1.3.0.49-20160921</v>
      </c>
      <c r="J16" s="5" t="str">
        <f t="shared" ca="1" si="1"/>
        <v>13049</v>
      </c>
    </row>
    <row r="17" spans="1:10" s="5" customFormat="1" x14ac:dyDescent="0.3">
      <c r="A17" s="5" t="str">
        <f t="shared" ca="1" si="2"/>
        <v>Aurora</v>
      </c>
      <c r="B17" s="5">
        <f t="shared" ca="1" si="2"/>
        <v>1</v>
      </c>
      <c r="C17" s="5">
        <f t="shared" ca="1" si="2"/>
        <v>3</v>
      </c>
      <c r="D17" s="5">
        <f t="shared" ca="1" si="2"/>
        <v>0</v>
      </c>
      <c r="E17" s="5">
        <f t="shared" si="3"/>
        <v>50</v>
      </c>
      <c r="F17" s="10">
        <f t="shared" si="4"/>
        <v>42641</v>
      </c>
      <c r="H17" s="5" t="str">
        <f t="shared" ca="1" si="0"/>
        <v>Aurora_1.3.0.50-20160928</v>
      </c>
      <c r="J17" s="5" t="str">
        <f t="shared" ca="1" si="1"/>
        <v>13050</v>
      </c>
    </row>
    <row r="18" spans="1:10" s="5" customFormat="1" x14ac:dyDescent="0.3">
      <c r="A18" s="5" t="str">
        <f t="shared" ca="1" si="2"/>
        <v>Aurora</v>
      </c>
      <c r="B18" s="5">
        <f t="shared" ca="1" si="2"/>
        <v>1</v>
      </c>
      <c r="C18" s="5">
        <f t="shared" ca="1" si="2"/>
        <v>3</v>
      </c>
      <c r="D18" s="5">
        <f t="shared" ca="1" si="2"/>
        <v>0</v>
      </c>
      <c r="E18" s="5">
        <f t="shared" si="3"/>
        <v>51</v>
      </c>
      <c r="F18" s="10">
        <f t="shared" si="4"/>
        <v>42648</v>
      </c>
      <c r="H18" s="5" t="str">
        <f t="shared" ca="1" si="0"/>
        <v>Aurora_1.3.0.51-20161005</v>
      </c>
      <c r="J18" s="5" t="str">
        <f t="shared" ca="1" si="1"/>
        <v>13051</v>
      </c>
    </row>
    <row r="19" spans="1:10" s="5" customFormat="1" x14ac:dyDescent="0.3">
      <c r="A19" s="5" t="str">
        <f t="shared" ca="1" si="2"/>
        <v>Aurora</v>
      </c>
      <c r="B19" s="5">
        <f t="shared" ca="1" si="2"/>
        <v>1</v>
      </c>
      <c r="C19" s="5">
        <f t="shared" ca="1" si="2"/>
        <v>3</v>
      </c>
      <c r="D19" s="5">
        <f t="shared" ca="1" si="2"/>
        <v>0</v>
      </c>
      <c r="E19" s="5">
        <f t="shared" si="3"/>
        <v>52</v>
      </c>
      <c r="F19" s="10">
        <f t="shared" si="4"/>
        <v>42655</v>
      </c>
      <c r="H19" s="5" t="str">
        <f t="shared" ca="1" si="0"/>
        <v>Aurora_1.3.0.52-20161012</v>
      </c>
      <c r="J19" s="5" t="str">
        <f t="shared" ca="1" si="1"/>
        <v>13052</v>
      </c>
    </row>
    <row r="20" spans="1:10" s="5" customFormat="1" x14ac:dyDescent="0.3">
      <c r="A20" s="5" t="str">
        <f t="shared" ca="1" si="2"/>
        <v>Aurora</v>
      </c>
      <c r="B20" s="5">
        <f t="shared" ca="1" si="2"/>
        <v>1</v>
      </c>
      <c r="C20" s="5">
        <f t="shared" ca="1" si="2"/>
        <v>3</v>
      </c>
      <c r="D20" s="5">
        <f t="shared" ca="1" si="2"/>
        <v>0</v>
      </c>
      <c r="E20" s="5">
        <f t="shared" si="3"/>
        <v>53</v>
      </c>
      <c r="F20" s="10">
        <f t="shared" si="4"/>
        <v>42662</v>
      </c>
      <c r="H20" s="5" t="str">
        <f t="shared" ca="1" si="0"/>
        <v>Aurora_1.3.0.53-20161019</v>
      </c>
      <c r="J20" s="5" t="str">
        <f t="shared" ca="1" si="1"/>
        <v>13053</v>
      </c>
    </row>
    <row r="21" spans="1:10" s="5" customFormat="1" x14ac:dyDescent="0.3">
      <c r="A21" s="5" t="str">
        <f t="shared" ca="1" si="2"/>
        <v>Aurora</v>
      </c>
      <c r="B21" s="5">
        <f t="shared" ca="1" si="2"/>
        <v>1</v>
      </c>
      <c r="C21" s="5">
        <f t="shared" ca="1" si="2"/>
        <v>3</v>
      </c>
      <c r="D21" s="5">
        <f t="shared" ca="1" si="2"/>
        <v>0</v>
      </c>
      <c r="E21" s="5">
        <f t="shared" si="3"/>
        <v>54</v>
      </c>
      <c r="F21" s="10">
        <f t="shared" si="4"/>
        <v>42669</v>
      </c>
      <c r="H21" s="5" t="str">
        <f t="shared" ca="1" si="0"/>
        <v>Aurora_1.3.0.54-20161026</v>
      </c>
      <c r="J21" s="5" t="str">
        <f t="shared" ca="1" si="1"/>
        <v>13054</v>
      </c>
    </row>
    <row r="22" spans="1:10" s="5" customFormat="1" x14ac:dyDescent="0.3">
      <c r="A22" s="5" t="str">
        <f t="shared" ca="1" si="2"/>
        <v>Aurora</v>
      </c>
      <c r="B22" s="5">
        <f t="shared" ca="1" si="2"/>
        <v>1</v>
      </c>
      <c r="C22" s="5">
        <f t="shared" ca="1" si="2"/>
        <v>3</v>
      </c>
      <c r="D22" s="5">
        <f t="shared" ca="1" si="2"/>
        <v>0</v>
      </c>
      <c r="E22" s="5">
        <f t="shared" si="3"/>
        <v>55</v>
      </c>
      <c r="F22" s="10">
        <f t="shared" si="4"/>
        <v>42676</v>
      </c>
      <c r="H22" s="5" t="str">
        <f t="shared" ca="1" si="0"/>
        <v>Aurora_1.3.0.55-20161102</v>
      </c>
      <c r="J22" s="5" t="str">
        <f t="shared" ca="1" si="1"/>
        <v>13055</v>
      </c>
    </row>
    <row r="23" spans="1:10" s="5" customFormat="1" x14ac:dyDescent="0.3">
      <c r="A23" s="5" t="str">
        <f t="shared" ref="A23:D40" ca="1" si="5">INDIRECT(MID(ADDRESS(ROW(),COLUMN()),2,1)&amp;(ROW()-1))</f>
        <v>Aurora</v>
      </c>
      <c r="B23" s="5">
        <f t="shared" ca="1" si="5"/>
        <v>1</v>
      </c>
      <c r="C23" s="5">
        <f t="shared" ca="1" si="5"/>
        <v>3</v>
      </c>
      <c r="D23" s="5">
        <f t="shared" ca="1" si="5"/>
        <v>0</v>
      </c>
      <c r="E23" s="5">
        <f t="shared" si="3"/>
        <v>56</v>
      </c>
      <c r="F23" s="10">
        <f t="shared" si="4"/>
        <v>42683</v>
      </c>
      <c r="H23" s="5" t="str">
        <f t="shared" ca="1" si="0"/>
        <v>Aurora_1.3.0.56-20161109</v>
      </c>
      <c r="J23" s="5" t="str">
        <f t="shared" ca="1" si="1"/>
        <v>13056</v>
      </c>
    </row>
    <row r="24" spans="1:10" s="5" customFormat="1" x14ac:dyDescent="0.3">
      <c r="A24" s="5" t="str">
        <f t="shared" ca="1" si="5"/>
        <v>Aurora</v>
      </c>
      <c r="B24" s="5">
        <f t="shared" ca="1" si="5"/>
        <v>1</v>
      </c>
      <c r="C24" s="5">
        <f t="shared" ca="1" si="5"/>
        <v>3</v>
      </c>
      <c r="D24" s="5">
        <f t="shared" ca="1" si="5"/>
        <v>0</v>
      </c>
      <c r="E24" s="5">
        <f t="shared" si="3"/>
        <v>57</v>
      </c>
      <c r="F24" s="10">
        <f t="shared" si="4"/>
        <v>42690</v>
      </c>
      <c r="H24" s="5" t="str">
        <f t="shared" ca="1" si="0"/>
        <v>Aurora_1.3.0.57-20161116</v>
      </c>
      <c r="J24" s="5" t="str">
        <f t="shared" ca="1" si="1"/>
        <v>13057</v>
      </c>
    </row>
    <row r="25" spans="1:10" s="5" customFormat="1" x14ac:dyDescent="0.3">
      <c r="A25" s="5" t="str">
        <f t="shared" ca="1" si="5"/>
        <v>Aurora</v>
      </c>
      <c r="B25" s="5">
        <f t="shared" ca="1" si="5"/>
        <v>1</v>
      </c>
      <c r="C25" s="5">
        <f t="shared" ca="1" si="5"/>
        <v>3</v>
      </c>
      <c r="D25" s="5">
        <f t="shared" ca="1" si="5"/>
        <v>0</v>
      </c>
      <c r="E25" s="5">
        <f t="shared" si="3"/>
        <v>58</v>
      </c>
      <c r="F25" s="10">
        <f t="shared" si="4"/>
        <v>42697</v>
      </c>
      <c r="H25" s="5" t="str">
        <f t="shared" ca="1" si="0"/>
        <v>Aurora_1.3.0.58-20161123</v>
      </c>
      <c r="J25" s="5" t="str">
        <f t="shared" ca="1" si="1"/>
        <v>13058</v>
      </c>
    </row>
    <row r="26" spans="1:10" s="5" customFormat="1" x14ac:dyDescent="0.3">
      <c r="A26" s="5" t="str">
        <f t="shared" ca="1" si="5"/>
        <v>Aurora</v>
      </c>
      <c r="B26" s="5">
        <f t="shared" ca="1" si="5"/>
        <v>1</v>
      </c>
      <c r="C26" s="5">
        <f t="shared" ca="1" si="5"/>
        <v>3</v>
      </c>
      <c r="D26" s="5">
        <f t="shared" ca="1" si="5"/>
        <v>0</v>
      </c>
      <c r="E26" s="5">
        <f t="shared" si="3"/>
        <v>59</v>
      </c>
      <c r="F26" s="10">
        <f t="shared" si="4"/>
        <v>42704</v>
      </c>
      <c r="H26" s="5" t="str">
        <f t="shared" ca="1" si="0"/>
        <v>Aurora_1.3.0.59-20161130</v>
      </c>
      <c r="J26" s="5" t="str">
        <f t="shared" ca="1" si="1"/>
        <v>13059</v>
      </c>
    </row>
    <row r="27" spans="1:10" s="5" customFormat="1" x14ac:dyDescent="0.3">
      <c r="A27" s="5" t="str">
        <f t="shared" ca="1" si="5"/>
        <v>Aurora</v>
      </c>
      <c r="B27" s="5">
        <f t="shared" ca="1" si="5"/>
        <v>1</v>
      </c>
      <c r="C27" s="5">
        <f t="shared" ca="1" si="5"/>
        <v>3</v>
      </c>
      <c r="D27" s="5">
        <f t="shared" ca="1" si="5"/>
        <v>0</v>
      </c>
      <c r="E27" s="5">
        <f t="shared" si="3"/>
        <v>60</v>
      </c>
      <c r="F27" s="10">
        <f t="shared" si="4"/>
        <v>42711</v>
      </c>
      <c r="H27" s="5" t="str">
        <f t="shared" ca="1" si="0"/>
        <v>Aurora_1.3.0.60-20161207</v>
      </c>
      <c r="J27" s="5" t="str">
        <f t="shared" ca="1" si="1"/>
        <v>13060</v>
      </c>
    </row>
    <row r="28" spans="1:10" s="5" customFormat="1" x14ac:dyDescent="0.3">
      <c r="A28" s="5" t="str">
        <f t="shared" ca="1" si="5"/>
        <v>Aurora</v>
      </c>
      <c r="B28" s="5">
        <f t="shared" ca="1" si="5"/>
        <v>1</v>
      </c>
      <c r="C28" s="5">
        <f t="shared" ca="1" si="5"/>
        <v>3</v>
      </c>
      <c r="D28" s="5">
        <f t="shared" ca="1" si="5"/>
        <v>0</v>
      </c>
      <c r="E28" s="5">
        <f t="shared" si="3"/>
        <v>61</v>
      </c>
      <c r="F28" s="10">
        <f t="shared" si="4"/>
        <v>42718</v>
      </c>
      <c r="H28" s="5" t="str">
        <f t="shared" ca="1" si="0"/>
        <v>Aurora_1.3.0.61-20161214</v>
      </c>
      <c r="J28" s="5" t="str">
        <f t="shared" ca="1" si="1"/>
        <v>13061</v>
      </c>
    </row>
    <row r="29" spans="1:10" s="5" customFormat="1" x14ac:dyDescent="0.3">
      <c r="A29" s="5" t="str">
        <f t="shared" ca="1" si="5"/>
        <v>Aurora</v>
      </c>
      <c r="B29" s="5">
        <f t="shared" ca="1" si="5"/>
        <v>1</v>
      </c>
      <c r="C29" s="5">
        <f t="shared" ca="1" si="5"/>
        <v>3</v>
      </c>
      <c r="D29" s="5">
        <f t="shared" ca="1" si="5"/>
        <v>0</v>
      </c>
      <c r="E29" s="5">
        <f t="shared" si="3"/>
        <v>62</v>
      </c>
      <c r="F29" s="10">
        <f t="shared" si="4"/>
        <v>42725</v>
      </c>
      <c r="H29" s="5" t="str">
        <f t="shared" ca="1" si="0"/>
        <v>Aurora_1.3.0.62-20161221</v>
      </c>
      <c r="J29" s="5" t="str">
        <f t="shared" ca="1" si="1"/>
        <v>13062</v>
      </c>
    </row>
    <row r="30" spans="1:10" s="5" customFormat="1" x14ac:dyDescent="0.3">
      <c r="A30" s="5" t="str">
        <f t="shared" ca="1" si="5"/>
        <v>Aurora</v>
      </c>
      <c r="B30" s="5">
        <f t="shared" ca="1" si="5"/>
        <v>1</v>
      </c>
      <c r="C30" s="5">
        <f t="shared" ca="1" si="5"/>
        <v>3</v>
      </c>
      <c r="D30" s="5">
        <f t="shared" ca="1" si="5"/>
        <v>0</v>
      </c>
      <c r="E30" s="5">
        <f t="shared" si="3"/>
        <v>63</v>
      </c>
      <c r="F30" s="10">
        <f t="shared" si="4"/>
        <v>42732</v>
      </c>
      <c r="H30" s="5" t="str">
        <f t="shared" ca="1" si="0"/>
        <v>Aurora_1.3.0.63-20161228</v>
      </c>
      <c r="J30" s="5" t="str">
        <f t="shared" ca="1" si="1"/>
        <v>13063</v>
      </c>
    </row>
    <row r="31" spans="1:10" s="5" customFormat="1" x14ac:dyDescent="0.3">
      <c r="A31" s="5" t="str">
        <f t="shared" ca="1" si="5"/>
        <v>Aurora</v>
      </c>
      <c r="B31" s="5">
        <f t="shared" ca="1" si="5"/>
        <v>1</v>
      </c>
      <c r="C31" s="5">
        <f t="shared" ca="1" si="5"/>
        <v>3</v>
      </c>
      <c r="D31" s="5">
        <f t="shared" ca="1" si="5"/>
        <v>0</v>
      </c>
      <c r="E31" s="5">
        <f t="shared" si="3"/>
        <v>64</v>
      </c>
      <c r="F31" s="10">
        <f t="shared" si="4"/>
        <v>42739</v>
      </c>
      <c r="H31" s="5" t="str">
        <f t="shared" ca="1" si="0"/>
        <v>Aurora_1.3.0.64-20170104</v>
      </c>
      <c r="J31" s="5" t="str">
        <f t="shared" ca="1" si="1"/>
        <v>13064</v>
      </c>
    </row>
    <row r="32" spans="1:10" s="5" customFormat="1" x14ac:dyDescent="0.3">
      <c r="A32" s="5" t="str">
        <f t="shared" ca="1" si="5"/>
        <v>Aurora</v>
      </c>
      <c r="B32" s="5">
        <f t="shared" ca="1" si="5"/>
        <v>1</v>
      </c>
      <c r="C32" s="5">
        <f t="shared" ca="1" si="5"/>
        <v>3</v>
      </c>
      <c r="D32" s="5">
        <f t="shared" ca="1" si="5"/>
        <v>0</v>
      </c>
      <c r="E32" s="5">
        <f t="shared" si="3"/>
        <v>65</v>
      </c>
      <c r="F32" s="10">
        <f t="shared" si="4"/>
        <v>42746</v>
      </c>
      <c r="H32" s="5" t="str">
        <f t="shared" ca="1" si="0"/>
        <v>Aurora_1.3.0.65-20170111</v>
      </c>
      <c r="J32" s="5" t="str">
        <f t="shared" ca="1" si="1"/>
        <v>13065</v>
      </c>
    </row>
    <row r="33" spans="1:27" s="5" customFormat="1" x14ac:dyDescent="0.3">
      <c r="A33" s="5" t="str">
        <f t="shared" ca="1" si="5"/>
        <v>Aurora</v>
      </c>
      <c r="B33" s="5">
        <f t="shared" ca="1" si="5"/>
        <v>1</v>
      </c>
      <c r="C33" s="5">
        <f t="shared" ca="1" si="5"/>
        <v>3</v>
      </c>
      <c r="D33" s="5">
        <f t="shared" ca="1" si="5"/>
        <v>0</v>
      </c>
      <c r="E33" s="5">
        <f t="shared" si="3"/>
        <v>66</v>
      </c>
      <c r="F33" s="10">
        <f t="shared" si="4"/>
        <v>42753</v>
      </c>
      <c r="H33" s="5" t="str">
        <f t="shared" ca="1" si="0"/>
        <v>Aurora_1.3.0.66-20170118</v>
      </c>
      <c r="J33" s="5" t="str">
        <f t="shared" ca="1" si="1"/>
        <v>13066</v>
      </c>
    </row>
    <row r="34" spans="1:27" s="5" customFormat="1" x14ac:dyDescent="0.3">
      <c r="A34" s="5" t="str">
        <f t="shared" ca="1" si="5"/>
        <v>Aurora</v>
      </c>
      <c r="B34" s="5">
        <f t="shared" ca="1" si="5"/>
        <v>1</v>
      </c>
      <c r="C34" s="5">
        <f t="shared" ca="1" si="5"/>
        <v>3</v>
      </c>
      <c r="D34" s="5">
        <f t="shared" ca="1" si="5"/>
        <v>0</v>
      </c>
      <c r="E34" s="5">
        <f t="shared" si="3"/>
        <v>67</v>
      </c>
      <c r="F34" s="10">
        <f t="shared" si="4"/>
        <v>42760</v>
      </c>
      <c r="H34" s="5" t="str">
        <f t="shared" ca="1" si="0"/>
        <v>Aurora_1.3.0.67-20170125</v>
      </c>
      <c r="J34" s="5" t="str">
        <f t="shared" ca="1" si="1"/>
        <v>13067</v>
      </c>
    </row>
    <row r="35" spans="1:27" s="5" customFormat="1" x14ac:dyDescent="0.3">
      <c r="A35" s="5" t="str">
        <f t="shared" ca="1" si="5"/>
        <v>Aurora</v>
      </c>
      <c r="B35" s="5">
        <f t="shared" ca="1" si="5"/>
        <v>1</v>
      </c>
      <c r="C35" s="5">
        <f t="shared" ca="1" si="5"/>
        <v>3</v>
      </c>
      <c r="D35" s="5">
        <f t="shared" ca="1" si="5"/>
        <v>0</v>
      </c>
      <c r="E35" s="5">
        <f t="shared" si="3"/>
        <v>68</v>
      </c>
      <c r="F35" s="10">
        <f t="shared" si="4"/>
        <v>42767</v>
      </c>
      <c r="H35" s="5" t="str">
        <f t="shared" ca="1" si="0"/>
        <v>Aurora_1.3.0.68-20170201</v>
      </c>
      <c r="J35" s="5" t="str">
        <f t="shared" ca="1" si="1"/>
        <v>13068</v>
      </c>
    </row>
    <row r="36" spans="1:27" s="5" customFormat="1" x14ac:dyDescent="0.3">
      <c r="A36" s="5" t="str">
        <f t="shared" ca="1" si="5"/>
        <v>Aurora</v>
      </c>
      <c r="B36" s="5">
        <f t="shared" ca="1" si="5"/>
        <v>1</v>
      </c>
      <c r="C36" s="5">
        <f t="shared" ca="1" si="5"/>
        <v>3</v>
      </c>
      <c r="D36" s="5">
        <f t="shared" ca="1" si="5"/>
        <v>0</v>
      </c>
      <c r="E36" s="5">
        <f t="shared" si="3"/>
        <v>69</v>
      </c>
      <c r="F36" s="10">
        <f t="shared" si="4"/>
        <v>42774</v>
      </c>
      <c r="H36" s="5" t="str">
        <f t="shared" ca="1" si="0"/>
        <v>Aurora_1.3.0.69-20170208</v>
      </c>
      <c r="J36" s="5" t="str">
        <f t="shared" ca="1" si="1"/>
        <v>13069</v>
      </c>
    </row>
    <row r="37" spans="1:27" s="14" customFormat="1" x14ac:dyDescent="0.3">
      <c r="A37" s="14" t="str">
        <f t="shared" ca="1" si="5"/>
        <v>Aurora</v>
      </c>
      <c r="B37" s="14">
        <f t="shared" ca="1" si="5"/>
        <v>1</v>
      </c>
      <c r="C37" s="14">
        <f t="shared" ca="1" si="5"/>
        <v>3</v>
      </c>
      <c r="D37" s="14">
        <f t="shared" ca="1" si="5"/>
        <v>0</v>
      </c>
      <c r="E37" s="14">
        <v>71</v>
      </c>
      <c r="F37" s="15">
        <f t="shared" si="4"/>
        <v>42781</v>
      </c>
      <c r="H37" s="14" t="str">
        <f t="shared" ca="1" si="0"/>
        <v>Aurora_1.3.0.71-20170215</v>
      </c>
      <c r="J37" s="14" t="str">
        <f t="shared" ca="1" si="1"/>
        <v>13071</v>
      </c>
      <c r="K37" s="14" t="s">
        <v>29</v>
      </c>
    </row>
    <row r="38" spans="1:27" s="14" customFormat="1" x14ac:dyDescent="0.3">
      <c r="A38" s="14" t="str">
        <f t="shared" ca="1" si="5"/>
        <v>Aurora</v>
      </c>
      <c r="B38" s="14">
        <f t="shared" ca="1" si="5"/>
        <v>1</v>
      </c>
      <c r="C38" s="14">
        <f t="shared" ca="1" si="5"/>
        <v>3</v>
      </c>
      <c r="D38" s="14">
        <f t="shared" ca="1" si="5"/>
        <v>0</v>
      </c>
      <c r="E38" s="14">
        <f>E37+1</f>
        <v>72</v>
      </c>
      <c r="F38" s="15">
        <f t="shared" si="4"/>
        <v>42788</v>
      </c>
      <c r="H38" s="14" t="str">
        <f t="shared" ca="1" si="0"/>
        <v>Aurora_1.3.0.72-20170222</v>
      </c>
      <c r="J38" s="14" t="str">
        <f t="shared" ca="1" si="1"/>
        <v>13072</v>
      </c>
    </row>
    <row r="39" spans="1:27" s="5" customFormat="1" x14ac:dyDescent="0.3">
      <c r="A39" s="5" t="str">
        <f t="shared" ca="1" si="5"/>
        <v>Aurora</v>
      </c>
      <c r="B39" s="5">
        <f t="shared" ca="1" si="5"/>
        <v>1</v>
      </c>
      <c r="C39" s="5">
        <f t="shared" ca="1" si="5"/>
        <v>3</v>
      </c>
      <c r="D39" s="5">
        <f t="shared" ca="1" si="5"/>
        <v>0</v>
      </c>
      <c r="E39" s="5">
        <f>E38+1</f>
        <v>73</v>
      </c>
      <c r="F39" s="10">
        <f t="shared" si="4"/>
        <v>42795</v>
      </c>
      <c r="H39" s="5" t="str">
        <f t="shared" ca="1" si="0"/>
        <v>Aurora_1.3.0.73-20170301</v>
      </c>
      <c r="J39" s="5" t="str">
        <f t="shared" ca="1" si="1"/>
        <v>13073</v>
      </c>
      <c r="K39" s="5" t="s">
        <v>28</v>
      </c>
    </row>
    <row r="40" spans="1:27" s="5" customFormat="1" x14ac:dyDescent="0.3">
      <c r="A40" s="5" t="str">
        <f t="shared" ca="1" si="5"/>
        <v>Aurora</v>
      </c>
      <c r="B40" s="5">
        <f t="shared" ca="1" si="5"/>
        <v>1</v>
      </c>
      <c r="C40" s="5">
        <f t="shared" ca="1" si="5"/>
        <v>3</v>
      </c>
      <c r="D40" s="5">
        <f t="shared" ca="1" si="5"/>
        <v>0</v>
      </c>
      <c r="E40" s="5">
        <f>E39+1</f>
        <v>74</v>
      </c>
      <c r="F40" s="10">
        <f t="shared" si="4"/>
        <v>42802</v>
      </c>
      <c r="H40" s="5" t="str">
        <f t="shared" ca="1" si="0"/>
        <v>Aurora_1.3.0.74-20170308</v>
      </c>
      <c r="J40" s="5" t="str">
        <f t="shared" ca="1" si="1"/>
        <v>13074</v>
      </c>
    </row>
    <row r="41" spans="1:27" s="5" customFormat="1" x14ac:dyDescent="0.3">
      <c r="F41" s="10"/>
    </row>
    <row r="42" spans="1:27" s="5" customFormat="1" x14ac:dyDescent="0.3">
      <c r="F42" s="10"/>
    </row>
    <row r="43" spans="1:27" s="5" customFormat="1" x14ac:dyDescent="0.3">
      <c r="F43" s="10"/>
    </row>
    <row r="44" spans="1:27" x14ac:dyDescent="0.3">
      <c r="E44" s="5"/>
      <c r="J44" s="5"/>
    </row>
    <row r="45" spans="1:27" x14ac:dyDescent="0.3">
      <c r="E45" s="5"/>
      <c r="J45" s="5"/>
    </row>
    <row r="46" spans="1:27" x14ac:dyDescent="0.3">
      <c r="A46" s="5" t="s">
        <v>7</v>
      </c>
      <c r="B46" s="5">
        <v>1</v>
      </c>
      <c r="C46" s="5">
        <v>4</v>
      </c>
      <c r="D46" s="5">
        <v>0</v>
      </c>
      <c r="E46" s="5">
        <v>20</v>
      </c>
      <c r="F46" s="4">
        <v>42529</v>
      </c>
      <c r="H46" s="5" t="str">
        <f t="shared" ref="H46:H89" si="6">CONCATENATE(A46,"_",B46,".",C46,".",D46,".",E46,"-",TEXT(F46,"yyyymmdd"))</f>
        <v>Avitus_1.4.0.20-20160608</v>
      </c>
      <c r="J46" s="5" t="str">
        <f t="shared" ref="J46:J82" si="7">CONCATENATE(B46,C46,D46,E46)</f>
        <v>14020</v>
      </c>
      <c r="K46" s="13"/>
    </row>
    <row r="47" spans="1:27" x14ac:dyDescent="0.3">
      <c r="A47" s="5" t="str">
        <f t="shared" ref="A47:D66" ca="1" si="8">INDIRECT(MID(ADDRESS(ROW(),COLUMN()),2,1)&amp;(ROW()-1))</f>
        <v>Avitus</v>
      </c>
      <c r="B47" s="5">
        <f t="shared" ca="1" si="8"/>
        <v>1</v>
      </c>
      <c r="C47" s="5">
        <f t="shared" ca="1" si="8"/>
        <v>4</v>
      </c>
      <c r="D47" s="5">
        <f t="shared" ca="1" si="8"/>
        <v>0</v>
      </c>
      <c r="E47" s="5">
        <f t="shared" ref="E47:E81" si="9">E46+1</f>
        <v>21</v>
      </c>
      <c r="F47" s="10">
        <f t="shared" ref="F47:F53" si="10">F46+7</f>
        <v>42536</v>
      </c>
      <c r="H47" s="5" t="str">
        <f t="shared" ca="1" si="6"/>
        <v>Avitus_1.4.0.21-20160615</v>
      </c>
      <c r="J47" s="5" t="str">
        <f t="shared" ca="1" si="7"/>
        <v>14021</v>
      </c>
      <c r="K47" s="13"/>
      <c r="AA47" s="5"/>
    </row>
    <row r="48" spans="1:27" x14ac:dyDescent="0.3">
      <c r="A48" s="5" t="str">
        <f t="shared" ca="1" si="8"/>
        <v>Avitus</v>
      </c>
      <c r="B48" s="5">
        <f t="shared" ca="1" si="8"/>
        <v>1</v>
      </c>
      <c r="C48" s="5">
        <f t="shared" ca="1" si="8"/>
        <v>4</v>
      </c>
      <c r="D48" s="5">
        <f t="shared" ca="1" si="8"/>
        <v>0</v>
      </c>
      <c r="E48" s="5">
        <f t="shared" si="9"/>
        <v>22</v>
      </c>
      <c r="F48" s="10">
        <f t="shared" si="10"/>
        <v>42543</v>
      </c>
      <c r="H48" s="5" t="str">
        <f t="shared" ca="1" si="6"/>
        <v>Avitus_1.4.0.22-20160622</v>
      </c>
      <c r="J48" s="5" t="str">
        <f t="shared" ca="1" si="7"/>
        <v>14022</v>
      </c>
      <c r="K48" s="13"/>
    </row>
    <row r="49" spans="1:11" x14ac:dyDescent="0.3">
      <c r="A49" s="5" t="str">
        <f t="shared" ca="1" si="8"/>
        <v>Avitus</v>
      </c>
      <c r="B49" s="5">
        <f t="shared" ca="1" si="8"/>
        <v>1</v>
      </c>
      <c r="C49" s="5">
        <f t="shared" ca="1" si="8"/>
        <v>4</v>
      </c>
      <c r="D49" s="5">
        <f t="shared" ca="1" si="8"/>
        <v>0</v>
      </c>
      <c r="E49" s="5">
        <f t="shared" si="9"/>
        <v>23</v>
      </c>
      <c r="F49" s="10">
        <f t="shared" si="10"/>
        <v>42550</v>
      </c>
      <c r="H49" s="5" t="str">
        <f t="shared" ca="1" si="6"/>
        <v>Avitus_1.4.0.23-20160629</v>
      </c>
      <c r="J49" s="5" t="str">
        <f t="shared" ca="1" si="7"/>
        <v>14023</v>
      </c>
      <c r="K49" s="13"/>
    </row>
    <row r="50" spans="1:11" x14ac:dyDescent="0.3">
      <c r="A50" s="5" t="str">
        <f t="shared" ca="1" si="8"/>
        <v>Avitus</v>
      </c>
      <c r="B50" s="5">
        <f t="shared" ca="1" si="8"/>
        <v>1</v>
      </c>
      <c r="C50" s="5">
        <f t="shared" ca="1" si="8"/>
        <v>4</v>
      </c>
      <c r="D50" s="5">
        <f t="shared" ca="1" si="8"/>
        <v>0</v>
      </c>
      <c r="E50" s="5">
        <f t="shared" si="9"/>
        <v>24</v>
      </c>
      <c r="F50" s="10">
        <f t="shared" si="10"/>
        <v>42557</v>
      </c>
      <c r="H50" s="5" t="str">
        <f t="shared" ca="1" si="6"/>
        <v>Avitus_1.4.0.24-20160706</v>
      </c>
      <c r="J50" s="5" t="str">
        <f t="shared" ca="1" si="7"/>
        <v>14024</v>
      </c>
      <c r="K50" s="13"/>
    </row>
    <row r="51" spans="1:11" x14ac:dyDescent="0.3">
      <c r="A51" s="5" t="str">
        <f t="shared" ca="1" si="8"/>
        <v>Avitus</v>
      </c>
      <c r="B51" s="5">
        <f t="shared" ca="1" si="8"/>
        <v>1</v>
      </c>
      <c r="C51" s="5">
        <f t="shared" ca="1" si="8"/>
        <v>4</v>
      </c>
      <c r="D51" s="5">
        <f t="shared" ca="1" si="8"/>
        <v>0</v>
      </c>
      <c r="E51" s="5">
        <f t="shared" si="9"/>
        <v>25</v>
      </c>
      <c r="F51" s="10">
        <f t="shared" si="10"/>
        <v>42564</v>
      </c>
      <c r="H51" s="5" t="str">
        <f t="shared" ca="1" si="6"/>
        <v>Avitus_1.4.0.25-20160713</v>
      </c>
      <c r="J51" s="5" t="str">
        <f t="shared" ca="1" si="7"/>
        <v>14025</v>
      </c>
      <c r="K51" s="13"/>
    </row>
    <row r="52" spans="1:11" x14ac:dyDescent="0.3">
      <c r="A52" s="5" t="str">
        <f t="shared" ca="1" si="8"/>
        <v>Avitus</v>
      </c>
      <c r="B52" s="5">
        <f t="shared" ca="1" si="8"/>
        <v>1</v>
      </c>
      <c r="C52" s="5">
        <f t="shared" ca="1" si="8"/>
        <v>4</v>
      </c>
      <c r="D52" s="5">
        <f t="shared" ca="1" si="8"/>
        <v>0</v>
      </c>
      <c r="E52" s="5">
        <f t="shared" si="9"/>
        <v>26</v>
      </c>
      <c r="F52" s="10">
        <f t="shared" si="10"/>
        <v>42571</v>
      </c>
      <c r="H52" s="5" t="str">
        <f t="shared" ca="1" si="6"/>
        <v>Avitus_1.4.0.26-20160720</v>
      </c>
      <c r="J52" s="5" t="str">
        <f t="shared" ca="1" si="7"/>
        <v>14026</v>
      </c>
      <c r="K52" s="13"/>
    </row>
    <row r="53" spans="1:11" x14ac:dyDescent="0.3">
      <c r="A53" s="5" t="str">
        <f t="shared" ca="1" si="8"/>
        <v>Avitus</v>
      </c>
      <c r="B53" s="5">
        <f t="shared" ca="1" si="8"/>
        <v>1</v>
      </c>
      <c r="C53" s="5">
        <f t="shared" ca="1" si="8"/>
        <v>4</v>
      </c>
      <c r="D53" s="5">
        <f t="shared" ca="1" si="8"/>
        <v>0</v>
      </c>
      <c r="E53" s="5">
        <f t="shared" si="9"/>
        <v>27</v>
      </c>
      <c r="F53" s="10">
        <f t="shared" si="10"/>
        <v>42578</v>
      </c>
      <c r="H53" s="5" t="str">
        <f t="shared" ca="1" si="6"/>
        <v>Avitus_1.4.0.27-20160727</v>
      </c>
      <c r="J53" s="5" t="str">
        <f t="shared" ca="1" si="7"/>
        <v>14027</v>
      </c>
      <c r="K53" s="13"/>
    </row>
    <row r="54" spans="1:11" s="5" customFormat="1" x14ac:dyDescent="0.3">
      <c r="A54" s="5" t="str">
        <f t="shared" ca="1" si="8"/>
        <v>Avitus</v>
      </c>
      <c r="B54" s="5">
        <f t="shared" ca="1" si="8"/>
        <v>1</v>
      </c>
      <c r="C54" s="5">
        <f t="shared" ca="1" si="8"/>
        <v>4</v>
      </c>
      <c r="D54" s="5">
        <f t="shared" ca="1" si="8"/>
        <v>0</v>
      </c>
      <c r="E54" s="5">
        <f t="shared" si="9"/>
        <v>28</v>
      </c>
      <c r="F54" s="10">
        <v>42585</v>
      </c>
      <c r="H54" s="5" t="str">
        <f t="shared" ca="1" si="6"/>
        <v>Avitus_1.4.0.28-20160803</v>
      </c>
      <c r="J54" s="5" t="str">
        <f t="shared" ca="1" si="7"/>
        <v>14028</v>
      </c>
    </row>
    <row r="55" spans="1:11" s="5" customFormat="1" x14ac:dyDescent="0.3">
      <c r="A55" s="5" t="str">
        <f t="shared" ca="1" si="8"/>
        <v>Avitus</v>
      </c>
      <c r="B55" s="5">
        <f t="shared" ca="1" si="8"/>
        <v>1</v>
      </c>
      <c r="C55" s="5">
        <f t="shared" ca="1" si="8"/>
        <v>4</v>
      </c>
      <c r="D55" s="5">
        <f t="shared" ca="1" si="8"/>
        <v>0</v>
      </c>
      <c r="E55" s="5">
        <f t="shared" si="9"/>
        <v>29</v>
      </c>
      <c r="F55" s="10">
        <f t="shared" ref="F55:F97" si="11">F54+7</f>
        <v>42592</v>
      </c>
      <c r="H55" s="5" t="str">
        <f t="shared" ca="1" si="6"/>
        <v>Avitus_1.4.0.29-20160810</v>
      </c>
      <c r="J55" s="5" t="str">
        <f t="shared" ca="1" si="7"/>
        <v>14029</v>
      </c>
    </row>
    <row r="56" spans="1:11" s="5" customFormat="1" x14ac:dyDescent="0.3">
      <c r="A56" s="5" t="str">
        <f t="shared" ca="1" si="8"/>
        <v>Avitus</v>
      </c>
      <c r="B56" s="5">
        <f t="shared" ca="1" si="8"/>
        <v>1</v>
      </c>
      <c r="C56" s="5">
        <f t="shared" ca="1" si="8"/>
        <v>4</v>
      </c>
      <c r="D56" s="5">
        <f t="shared" ca="1" si="8"/>
        <v>0</v>
      </c>
      <c r="E56" s="5">
        <f t="shared" si="9"/>
        <v>30</v>
      </c>
      <c r="F56" s="10">
        <f t="shared" si="11"/>
        <v>42599</v>
      </c>
      <c r="H56" s="5" t="str">
        <f t="shared" ca="1" si="6"/>
        <v>Avitus_1.4.0.30-20160817</v>
      </c>
      <c r="J56" s="5" t="str">
        <f t="shared" ca="1" si="7"/>
        <v>14030</v>
      </c>
    </row>
    <row r="57" spans="1:11" s="5" customFormat="1" x14ac:dyDescent="0.3">
      <c r="A57" s="5" t="str">
        <f t="shared" ca="1" si="8"/>
        <v>Avitus</v>
      </c>
      <c r="B57" s="5">
        <f t="shared" ca="1" si="8"/>
        <v>1</v>
      </c>
      <c r="C57" s="5">
        <f t="shared" ca="1" si="8"/>
        <v>4</v>
      </c>
      <c r="D57" s="5">
        <f t="shared" ca="1" si="8"/>
        <v>0</v>
      </c>
      <c r="E57" s="5">
        <f t="shared" si="9"/>
        <v>31</v>
      </c>
      <c r="F57" s="10">
        <f t="shared" si="11"/>
        <v>42606</v>
      </c>
      <c r="H57" s="5" t="str">
        <f t="shared" ca="1" si="6"/>
        <v>Avitus_1.4.0.31-20160824</v>
      </c>
      <c r="J57" s="5" t="str">
        <f t="shared" ca="1" si="7"/>
        <v>14031</v>
      </c>
    </row>
    <row r="58" spans="1:11" s="5" customFormat="1" x14ac:dyDescent="0.3">
      <c r="A58" s="5" t="str">
        <f t="shared" ca="1" si="8"/>
        <v>Avitus</v>
      </c>
      <c r="B58" s="5">
        <f t="shared" ca="1" si="8"/>
        <v>1</v>
      </c>
      <c r="C58" s="5">
        <f t="shared" ca="1" si="8"/>
        <v>4</v>
      </c>
      <c r="D58" s="5">
        <f t="shared" ca="1" si="8"/>
        <v>0</v>
      </c>
      <c r="E58" s="5">
        <f t="shared" si="9"/>
        <v>32</v>
      </c>
      <c r="F58" s="10">
        <f t="shared" si="11"/>
        <v>42613</v>
      </c>
      <c r="H58" s="5" t="str">
        <f t="shared" ca="1" si="6"/>
        <v>Avitus_1.4.0.32-20160831</v>
      </c>
      <c r="J58" s="5" t="str">
        <f t="shared" ca="1" si="7"/>
        <v>14032</v>
      </c>
    </row>
    <row r="59" spans="1:11" s="5" customFormat="1" x14ac:dyDescent="0.3">
      <c r="A59" s="5" t="str">
        <f t="shared" ca="1" si="8"/>
        <v>Avitus</v>
      </c>
      <c r="B59" s="5">
        <f t="shared" ca="1" si="8"/>
        <v>1</v>
      </c>
      <c r="C59" s="5">
        <f t="shared" ca="1" si="8"/>
        <v>4</v>
      </c>
      <c r="D59" s="5">
        <f t="shared" ca="1" si="8"/>
        <v>0</v>
      </c>
      <c r="E59" s="5">
        <f t="shared" si="9"/>
        <v>33</v>
      </c>
      <c r="F59" s="10">
        <f t="shared" si="11"/>
        <v>42620</v>
      </c>
      <c r="H59" s="5" t="str">
        <f t="shared" ca="1" si="6"/>
        <v>Avitus_1.4.0.33-20160907</v>
      </c>
      <c r="J59" s="5" t="str">
        <f t="shared" ca="1" si="7"/>
        <v>14033</v>
      </c>
    </row>
    <row r="60" spans="1:11" s="5" customFormat="1" x14ac:dyDescent="0.3">
      <c r="A60" s="5" t="str">
        <f t="shared" ca="1" si="8"/>
        <v>Avitus</v>
      </c>
      <c r="B60" s="5">
        <f t="shared" ca="1" si="8"/>
        <v>1</v>
      </c>
      <c r="C60" s="5">
        <f t="shared" ca="1" si="8"/>
        <v>4</v>
      </c>
      <c r="D60" s="5">
        <f t="shared" ca="1" si="8"/>
        <v>0</v>
      </c>
      <c r="E60" s="5">
        <f t="shared" si="9"/>
        <v>34</v>
      </c>
      <c r="F60" s="10">
        <f t="shared" si="11"/>
        <v>42627</v>
      </c>
      <c r="H60" s="5" t="str">
        <f t="shared" ca="1" si="6"/>
        <v>Avitus_1.4.0.34-20160914</v>
      </c>
      <c r="J60" s="5" t="str">
        <f t="shared" ca="1" si="7"/>
        <v>14034</v>
      </c>
    </row>
    <row r="61" spans="1:11" s="5" customFormat="1" x14ac:dyDescent="0.3">
      <c r="A61" s="5" t="str">
        <f t="shared" ca="1" si="8"/>
        <v>Avitus</v>
      </c>
      <c r="B61" s="5">
        <f t="shared" ca="1" si="8"/>
        <v>1</v>
      </c>
      <c r="C61" s="5">
        <f t="shared" ca="1" si="8"/>
        <v>4</v>
      </c>
      <c r="D61" s="5">
        <f t="shared" ca="1" si="8"/>
        <v>0</v>
      </c>
      <c r="E61" s="5">
        <f t="shared" si="9"/>
        <v>35</v>
      </c>
      <c r="F61" s="10">
        <f t="shared" si="11"/>
        <v>42634</v>
      </c>
      <c r="H61" s="5" t="str">
        <f t="shared" ca="1" si="6"/>
        <v>Avitus_1.4.0.35-20160921</v>
      </c>
      <c r="J61" s="5" t="str">
        <f t="shared" ca="1" si="7"/>
        <v>14035</v>
      </c>
    </row>
    <row r="62" spans="1:11" s="5" customFormat="1" x14ac:dyDescent="0.3">
      <c r="A62" s="5" t="str">
        <f t="shared" ca="1" si="8"/>
        <v>Avitus</v>
      </c>
      <c r="B62" s="5">
        <f t="shared" ca="1" si="8"/>
        <v>1</v>
      </c>
      <c r="C62" s="5">
        <f t="shared" ca="1" si="8"/>
        <v>4</v>
      </c>
      <c r="D62" s="5">
        <f t="shared" ca="1" si="8"/>
        <v>0</v>
      </c>
      <c r="E62" s="5">
        <f t="shared" si="9"/>
        <v>36</v>
      </c>
      <c r="F62" s="10">
        <f t="shared" si="11"/>
        <v>42641</v>
      </c>
      <c r="H62" s="5" t="str">
        <f t="shared" ca="1" si="6"/>
        <v>Avitus_1.4.0.36-20160928</v>
      </c>
      <c r="J62" s="5" t="str">
        <f t="shared" ca="1" si="7"/>
        <v>14036</v>
      </c>
    </row>
    <row r="63" spans="1:11" s="5" customFormat="1" x14ac:dyDescent="0.3">
      <c r="A63" s="5" t="str">
        <f t="shared" ca="1" si="8"/>
        <v>Avitus</v>
      </c>
      <c r="B63" s="5">
        <f t="shared" ca="1" si="8"/>
        <v>1</v>
      </c>
      <c r="C63" s="5">
        <f t="shared" ca="1" si="8"/>
        <v>4</v>
      </c>
      <c r="D63" s="5">
        <f t="shared" ca="1" si="8"/>
        <v>0</v>
      </c>
      <c r="E63" s="5">
        <f t="shared" si="9"/>
        <v>37</v>
      </c>
      <c r="F63" s="10">
        <f t="shared" si="11"/>
        <v>42648</v>
      </c>
      <c r="H63" s="5" t="str">
        <f t="shared" ca="1" si="6"/>
        <v>Avitus_1.4.0.37-20161005</v>
      </c>
      <c r="J63" s="5" t="str">
        <f t="shared" ca="1" si="7"/>
        <v>14037</v>
      </c>
    </row>
    <row r="64" spans="1:11" s="5" customFormat="1" x14ac:dyDescent="0.3">
      <c r="A64" s="5" t="str">
        <f t="shared" ca="1" si="8"/>
        <v>Avitus</v>
      </c>
      <c r="B64" s="5">
        <f t="shared" ca="1" si="8"/>
        <v>1</v>
      </c>
      <c r="C64" s="5">
        <f t="shared" ca="1" si="8"/>
        <v>4</v>
      </c>
      <c r="D64" s="5">
        <f t="shared" ca="1" si="8"/>
        <v>0</v>
      </c>
      <c r="E64" s="5">
        <f t="shared" si="9"/>
        <v>38</v>
      </c>
      <c r="F64" s="10">
        <f t="shared" si="11"/>
        <v>42655</v>
      </c>
      <c r="H64" s="5" t="str">
        <f t="shared" ca="1" si="6"/>
        <v>Avitus_1.4.0.38-20161012</v>
      </c>
      <c r="J64" s="5" t="str">
        <f t="shared" ca="1" si="7"/>
        <v>14038</v>
      </c>
    </row>
    <row r="65" spans="1:10" s="5" customFormat="1" x14ac:dyDescent="0.3">
      <c r="A65" s="5" t="str">
        <f t="shared" ca="1" si="8"/>
        <v>Avitus</v>
      </c>
      <c r="B65" s="5">
        <f t="shared" ca="1" si="8"/>
        <v>1</v>
      </c>
      <c r="C65" s="5">
        <f t="shared" ca="1" si="8"/>
        <v>4</v>
      </c>
      <c r="D65" s="5">
        <f t="shared" ca="1" si="8"/>
        <v>0</v>
      </c>
      <c r="E65" s="5">
        <f t="shared" si="9"/>
        <v>39</v>
      </c>
      <c r="F65" s="10">
        <f t="shared" si="11"/>
        <v>42662</v>
      </c>
      <c r="H65" s="5" t="str">
        <f t="shared" ca="1" si="6"/>
        <v>Avitus_1.4.0.39-20161019</v>
      </c>
      <c r="J65" s="5" t="str">
        <f t="shared" ca="1" si="7"/>
        <v>14039</v>
      </c>
    </row>
    <row r="66" spans="1:10" s="5" customFormat="1" x14ac:dyDescent="0.3">
      <c r="A66" s="5" t="str">
        <f t="shared" ca="1" si="8"/>
        <v>Avitus</v>
      </c>
      <c r="B66" s="5">
        <f t="shared" ca="1" si="8"/>
        <v>1</v>
      </c>
      <c r="C66" s="5">
        <f t="shared" ca="1" si="8"/>
        <v>4</v>
      </c>
      <c r="D66" s="5">
        <f t="shared" ca="1" si="8"/>
        <v>0</v>
      </c>
      <c r="E66" s="5">
        <f t="shared" si="9"/>
        <v>40</v>
      </c>
      <c r="F66" s="10">
        <f t="shared" si="11"/>
        <v>42669</v>
      </c>
      <c r="H66" s="5" t="str">
        <f t="shared" ca="1" si="6"/>
        <v>Avitus_1.4.0.40-20161026</v>
      </c>
      <c r="J66" s="5" t="str">
        <f t="shared" ca="1" si="7"/>
        <v>14040</v>
      </c>
    </row>
    <row r="67" spans="1:10" s="5" customFormat="1" x14ac:dyDescent="0.3">
      <c r="A67" s="5" t="str">
        <f t="shared" ref="A67:D90" ca="1" si="12">INDIRECT(MID(ADDRESS(ROW(),COLUMN()),2,1)&amp;(ROW()-1))</f>
        <v>Avitus</v>
      </c>
      <c r="B67" s="5">
        <f t="shared" ca="1" si="12"/>
        <v>1</v>
      </c>
      <c r="C67" s="5">
        <f t="shared" ca="1" si="12"/>
        <v>4</v>
      </c>
      <c r="D67" s="5">
        <f t="shared" ca="1" si="12"/>
        <v>0</v>
      </c>
      <c r="E67" s="5">
        <f t="shared" si="9"/>
        <v>41</v>
      </c>
      <c r="F67" s="10">
        <f t="shared" si="11"/>
        <v>42676</v>
      </c>
      <c r="H67" s="5" t="str">
        <f t="shared" ca="1" si="6"/>
        <v>Avitus_1.4.0.41-20161102</v>
      </c>
      <c r="J67" s="5" t="str">
        <f t="shared" ca="1" si="7"/>
        <v>14041</v>
      </c>
    </row>
    <row r="68" spans="1:10" s="5" customFormat="1" x14ac:dyDescent="0.3">
      <c r="A68" s="5" t="str">
        <f t="shared" ca="1" si="12"/>
        <v>Avitus</v>
      </c>
      <c r="B68" s="5">
        <f t="shared" ca="1" si="12"/>
        <v>1</v>
      </c>
      <c r="C68" s="5">
        <f t="shared" ca="1" si="12"/>
        <v>4</v>
      </c>
      <c r="D68" s="5">
        <f t="shared" ca="1" si="12"/>
        <v>0</v>
      </c>
      <c r="E68" s="5">
        <f t="shared" si="9"/>
        <v>42</v>
      </c>
      <c r="F68" s="10">
        <f t="shared" si="11"/>
        <v>42683</v>
      </c>
      <c r="H68" s="5" t="str">
        <f t="shared" ca="1" si="6"/>
        <v>Avitus_1.4.0.42-20161109</v>
      </c>
      <c r="J68" s="5" t="str">
        <f t="shared" ca="1" si="7"/>
        <v>14042</v>
      </c>
    </row>
    <row r="69" spans="1:10" s="5" customFormat="1" x14ac:dyDescent="0.3">
      <c r="A69" s="5" t="str">
        <f t="shared" ca="1" si="12"/>
        <v>Avitus</v>
      </c>
      <c r="B69" s="5">
        <f t="shared" ca="1" si="12"/>
        <v>1</v>
      </c>
      <c r="C69" s="5">
        <f t="shared" ca="1" si="12"/>
        <v>4</v>
      </c>
      <c r="D69" s="5">
        <f t="shared" ca="1" si="12"/>
        <v>0</v>
      </c>
      <c r="E69" s="5">
        <f t="shared" si="9"/>
        <v>43</v>
      </c>
      <c r="F69" s="10">
        <f t="shared" si="11"/>
        <v>42690</v>
      </c>
      <c r="H69" s="5" t="str">
        <f t="shared" ca="1" si="6"/>
        <v>Avitus_1.4.0.43-20161116</v>
      </c>
      <c r="J69" s="5" t="str">
        <f t="shared" ca="1" si="7"/>
        <v>14043</v>
      </c>
    </row>
    <row r="70" spans="1:10" s="5" customFormat="1" x14ac:dyDescent="0.3">
      <c r="A70" s="5" t="str">
        <f t="shared" ca="1" si="12"/>
        <v>Avitus</v>
      </c>
      <c r="B70" s="5">
        <f t="shared" ca="1" si="12"/>
        <v>1</v>
      </c>
      <c r="C70" s="5">
        <f t="shared" ca="1" si="12"/>
        <v>4</v>
      </c>
      <c r="D70" s="5">
        <f t="shared" ca="1" si="12"/>
        <v>0</v>
      </c>
      <c r="E70" s="5">
        <f t="shared" si="9"/>
        <v>44</v>
      </c>
      <c r="F70" s="10">
        <f t="shared" si="11"/>
        <v>42697</v>
      </c>
      <c r="H70" s="5" t="str">
        <f t="shared" ca="1" si="6"/>
        <v>Avitus_1.4.0.44-20161123</v>
      </c>
      <c r="J70" s="5" t="str">
        <f t="shared" ca="1" si="7"/>
        <v>14044</v>
      </c>
    </row>
    <row r="71" spans="1:10" s="5" customFormat="1" x14ac:dyDescent="0.3">
      <c r="A71" s="5" t="str">
        <f t="shared" ca="1" si="12"/>
        <v>Avitus</v>
      </c>
      <c r="B71" s="5">
        <f t="shared" ca="1" si="12"/>
        <v>1</v>
      </c>
      <c r="C71" s="5">
        <f t="shared" ca="1" si="12"/>
        <v>4</v>
      </c>
      <c r="D71" s="5">
        <f t="shared" ca="1" si="12"/>
        <v>0</v>
      </c>
      <c r="E71" s="5">
        <f t="shared" si="9"/>
        <v>45</v>
      </c>
      <c r="F71" s="10">
        <f t="shared" si="11"/>
        <v>42704</v>
      </c>
      <c r="H71" s="5" t="str">
        <f t="shared" ca="1" si="6"/>
        <v>Avitus_1.4.0.45-20161130</v>
      </c>
      <c r="J71" s="5" t="str">
        <f t="shared" ca="1" si="7"/>
        <v>14045</v>
      </c>
    </row>
    <row r="72" spans="1:10" s="5" customFormat="1" x14ac:dyDescent="0.3">
      <c r="A72" s="5" t="str">
        <f t="shared" ca="1" si="12"/>
        <v>Avitus</v>
      </c>
      <c r="B72" s="5">
        <f t="shared" ca="1" si="12"/>
        <v>1</v>
      </c>
      <c r="C72" s="5">
        <f t="shared" ca="1" si="12"/>
        <v>4</v>
      </c>
      <c r="D72" s="5">
        <f t="shared" ca="1" si="12"/>
        <v>0</v>
      </c>
      <c r="E72" s="5">
        <f t="shared" si="9"/>
        <v>46</v>
      </c>
      <c r="F72" s="10">
        <f t="shared" si="11"/>
        <v>42711</v>
      </c>
      <c r="H72" s="5" t="str">
        <f t="shared" ca="1" si="6"/>
        <v>Avitus_1.4.0.46-20161207</v>
      </c>
      <c r="J72" s="5" t="str">
        <f t="shared" ca="1" si="7"/>
        <v>14046</v>
      </c>
    </row>
    <row r="73" spans="1:10" s="5" customFormat="1" x14ac:dyDescent="0.3">
      <c r="A73" s="5" t="str">
        <f t="shared" ca="1" si="12"/>
        <v>Avitus</v>
      </c>
      <c r="B73" s="5">
        <f t="shared" ca="1" si="12"/>
        <v>1</v>
      </c>
      <c r="C73" s="5">
        <f t="shared" ca="1" si="12"/>
        <v>4</v>
      </c>
      <c r="D73" s="5">
        <f t="shared" ca="1" si="12"/>
        <v>0</v>
      </c>
      <c r="E73" s="5">
        <f t="shared" si="9"/>
        <v>47</v>
      </c>
      <c r="F73" s="10">
        <f t="shared" si="11"/>
        <v>42718</v>
      </c>
      <c r="H73" s="5" t="str">
        <f t="shared" ca="1" si="6"/>
        <v>Avitus_1.4.0.47-20161214</v>
      </c>
      <c r="J73" s="5" t="str">
        <f t="shared" ca="1" si="7"/>
        <v>14047</v>
      </c>
    </row>
    <row r="74" spans="1:10" s="5" customFormat="1" x14ac:dyDescent="0.3">
      <c r="A74" s="5" t="str">
        <f t="shared" ca="1" si="12"/>
        <v>Avitus</v>
      </c>
      <c r="B74" s="5">
        <f t="shared" ca="1" si="12"/>
        <v>1</v>
      </c>
      <c r="C74" s="5">
        <f t="shared" ca="1" si="12"/>
        <v>4</v>
      </c>
      <c r="D74" s="5">
        <f t="shared" ca="1" si="12"/>
        <v>0</v>
      </c>
      <c r="E74" s="5">
        <f t="shared" si="9"/>
        <v>48</v>
      </c>
      <c r="F74" s="10">
        <f t="shared" si="11"/>
        <v>42725</v>
      </c>
      <c r="H74" s="5" t="str">
        <f t="shared" ca="1" si="6"/>
        <v>Avitus_1.4.0.48-20161221</v>
      </c>
      <c r="J74" s="5" t="str">
        <f t="shared" ca="1" si="7"/>
        <v>14048</v>
      </c>
    </row>
    <row r="75" spans="1:10" s="5" customFormat="1" x14ac:dyDescent="0.3">
      <c r="A75" s="5" t="str">
        <f t="shared" ca="1" si="12"/>
        <v>Avitus</v>
      </c>
      <c r="B75" s="5">
        <f t="shared" ca="1" si="12"/>
        <v>1</v>
      </c>
      <c r="C75" s="5">
        <f t="shared" ca="1" si="12"/>
        <v>4</v>
      </c>
      <c r="D75" s="5">
        <f t="shared" ca="1" si="12"/>
        <v>0</v>
      </c>
      <c r="E75" s="5">
        <f t="shared" si="9"/>
        <v>49</v>
      </c>
      <c r="F75" s="10">
        <f t="shared" si="11"/>
        <v>42732</v>
      </c>
      <c r="H75" s="5" t="str">
        <f t="shared" ca="1" si="6"/>
        <v>Avitus_1.4.0.49-20161228</v>
      </c>
      <c r="J75" s="5" t="str">
        <f t="shared" ca="1" si="7"/>
        <v>14049</v>
      </c>
    </row>
    <row r="76" spans="1:10" s="5" customFormat="1" x14ac:dyDescent="0.3">
      <c r="A76" s="5" t="str">
        <f t="shared" ca="1" si="12"/>
        <v>Avitus</v>
      </c>
      <c r="B76" s="5">
        <f t="shared" ca="1" si="12"/>
        <v>1</v>
      </c>
      <c r="C76" s="5">
        <f t="shared" ca="1" si="12"/>
        <v>4</v>
      </c>
      <c r="D76" s="5">
        <f t="shared" ca="1" si="12"/>
        <v>0</v>
      </c>
      <c r="E76" s="5">
        <f t="shared" si="9"/>
        <v>50</v>
      </c>
      <c r="F76" s="10">
        <f t="shared" si="11"/>
        <v>42739</v>
      </c>
      <c r="H76" s="5" t="str">
        <f t="shared" ca="1" si="6"/>
        <v>Avitus_1.4.0.50-20170104</v>
      </c>
      <c r="J76" s="5" t="str">
        <f t="shared" ca="1" si="7"/>
        <v>14050</v>
      </c>
    </row>
    <row r="77" spans="1:10" s="5" customFormat="1" x14ac:dyDescent="0.3">
      <c r="A77" s="5" t="str">
        <f t="shared" ca="1" si="12"/>
        <v>Avitus</v>
      </c>
      <c r="B77" s="5">
        <f t="shared" ca="1" si="12"/>
        <v>1</v>
      </c>
      <c r="C77" s="5">
        <f t="shared" ca="1" si="12"/>
        <v>4</v>
      </c>
      <c r="D77" s="5">
        <f t="shared" ca="1" si="12"/>
        <v>0</v>
      </c>
      <c r="E77" s="5">
        <f t="shared" si="9"/>
        <v>51</v>
      </c>
      <c r="F77" s="10">
        <f t="shared" si="11"/>
        <v>42746</v>
      </c>
      <c r="H77" s="5" t="str">
        <f t="shared" ca="1" si="6"/>
        <v>Avitus_1.4.0.51-20170111</v>
      </c>
      <c r="J77" s="5" t="str">
        <f t="shared" ca="1" si="7"/>
        <v>14051</v>
      </c>
    </row>
    <row r="78" spans="1:10" s="5" customFormat="1" x14ac:dyDescent="0.3">
      <c r="A78" s="5" t="str">
        <f t="shared" ca="1" si="12"/>
        <v>Avitus</v>
      </c>
      <c r="B78" s="5">
        <f t="shared" ca="1" si="12"/>
        <v>1</v>
      </c>
      <c r="C78" s="5">
        <f t="shared" ca="1" si="12"/>
        <v>4</v>
      </c>
      <c r="D78" s="5">
        <f t="shared" ca="1" si="12"/>
        <v>0</v>
      </c>
      <c r="E78" s="5">
        <f t="shared" si="9"/>
        <v>52</v>
      </c>
      <c r="F78" s="10">
        <f t="shared" si="11"/>
        <v>42753</v>
      </c>
      <c r="H78" s="11" t="str">
        <f t="shared" ca="1" si="6"/>
        <v>Avitus_1.4.0.52-20170118</v>
      </c>
      <c r="J78" s="5" t="str">
        <f t="shared" ca="1" si="7"/>
        <v>14052</v>
      </c>
    </row>
    <row r="79" spans="1:10" s="5" customFormat="1" x14ac:dyDescent="0.3">
      <c r="A79" s="5" t="str">
        <f t="shared" ca="1" si="12"/>
        <v>Avitus</v>
      </c>
      <c r="B79" s="5">
        <f t="shared" ca="1" si="12"/>
        <v>1</v>
      </c>
      <c r="C79" s="5">
        <f t="shared" ca="1" si="12"/>
        <v>4</v>
      </c>
      <c r="D79" s="5">
        <f t="shared" ca="1" si="12"/>
        <v>0</v>
      </c>
      <c r="E79" s="5">
        <f t="shared" si="9"/>
        <v>53</v>
      </c>
      <c r="F79" s="10">
        <f t="shared" si="11"/>
        <v>42760</v>
      </c>
      <c r="H79" s="11" t="str">
        <f t="shared" ca="1" si="6"/>
        <v>Avitus_1.4.0.53-20170125</v>
      </c>
      <c r="J79" s="5" t="str">
        <f t="shared" ca="1" si="7"/>
        <v>14053</v>
      </c>
    </row>
    <row r="80" spans="1:10" s="5" customFormat="1" x14ac:dyDescent="0.3">
      <c r="A80" s="5" t="str">
        <f t="shared" ca="1" si="12"/>
        <v>Avitus</v>
      </c>
      <c r="B80" s="5">
        <f t="shared" ca="1" si="12"/>
        <v>1</v>
      </c>
      <c r="C80" s="5">
        <f t="shared" ca="1" si="12"/>
        <v>4</v>
      </c>
      <c r="D80" s="5">
        <f t="shared" ca="1" si="12"/>
        <v>0</v>
      </c>
      <c r="E80" s="5">
        <f t="shared" si="9"/>
        <v>54</v>
      </c>
      <c r="F80" s="10">
        <f t="shared" si="11"/>
        <v>42767</v>
      </c>
      <c r="H80" s="11" t="str">
        <f t="shared" ca="1" si="6"/>
        <v>Avitus_1.4.0.54-20170201</v>
      </c>
      <c r="J80" s="5" t="str">
        <f t="shared" ca="1" si="7"/>
        <v>14054</v>
      </c>
    </row>
    <row r="81" spans="1:15" s="5" customFormat="1" x14ac:dyDescent="0.3">
      <c r="A81" s="5" t="str">
        <f t="shared" ca="1" si="12"/>
        <v>Avitus</v>
      </c>
      <c r="B81" s="5">
        <f t="shared" ca="1" si="12"/>
        <v>1</v>
      </c>
      <c r="C81" s="5">
        <f t="shared" ca="1" si="12"/>
        <v>4</v>
      </c>
      <c r="D81" s="5">
        <f t="shared" ca="1" si="12"/>
        <v>0</v>
      </c>
      <c r="E81" s="5">
        <f t="shared" si="9"/>
        <v>55</v>
      </c>
      <c r="F81" s="10">
        <f t="shared" si="11"/>
        <v>42774</v>
      </c>
      <c r="H81" s="11" t="str">
        <f t="shared" ca="1" si="6"/>
        <v>Avitus_1.4.0.55-20170208</v>
      </c>
      <c r="J81" s="5" t="str">
        <f t="shared" ca="1" si="7"/>
        <v>14055</v>
      </c>
    </row>
    <row r="82" spans="1:15" s="5" customFormat="1" x14ac:dyDescent="0.3">
      <c r="A82" s="5" t="str">
        <f t="shared" ca="1" si="12"/>
        <v>Avitus</v>
      </c>
      <c r="B82" s="5">
        <f t="shared" ca="1" si="12"/>
        <v>1</v>
      </c>
      <c r="C82" s="5">
        <f t="shared" ca="1" si="12"/>
        <v>4</v>
      </c>
      <c r="D82" s="5">
        <f t="shared" ca="1" si="12"/>
        <v>0</v>
      </c>
      <c r="E82" s="5">
        <v>55</v>
      </c>
      <c r="F82" s="10">
        <f t="shared" si="11"/>
        <v>42781</v>
      </c>
      <c r="H82" s="11" t="str">
        <f t="shared" ca="1" si="6"/>
        <v>Avitus_1.4.0.55-20170215</v>
      </c>
      <c r="J82" s="5" t="str">
        <f t="shared" ca="1" si="7"/>
        <v>14055</v>
      </c>
      <c r="L82" s="5" t="s">
        <v>27</v>
      </c>
    </row>
    <row r="83" spans="1:15" s="5" customFormat="1" x14ac:dyDescent="0.3">
      <c r="A83" s="5" t="str">
        <f t="shared" ca="1" si="12"/>
        <v>Avitus</v>
      </c>
      <c r="B83" s="5">
        <f t="shared" ca="1" si="12"/>
        <v>1</v>
      </c>
      <c r="C83" s="5">
        <f t="shared" ca="1" si="12"/>
        <v>4</v>
      </c>
      <c r="D83" s="5">
        <f t="shared" ca="1" si="12"/>
        <v>0</v>
      </c>
      <c r="E83" s="5">
        <f>E82+1</f>
        <v>56</v>
      </c>
      <c r="F83" s="10">
        <f t="shared" si="11"/>
        <v>42788</v>
      </c>
      <c r="H83" s="11" t="str">
        <f t="shared" ca="1" si="6"/>
        <v>Avitus_1.4.0.56-20170222</v>
      </c>
      <c r="J83" s="5">
        <f t="shared" ref="J83:J89" ca="1" si="13">CONCATENATE(B83,C83,D83,E83)+1</f>
        <v>14057</v>
      </c>
      <c r="L83" s="5" t="s">
        <v>26</v>
      </c>
    </row>
    <row r="84" spans="1:15" x14ac:dyDescent="0.3">
      <c r="A84" s="5" t="str">
        <f t="shared" ca="1" si="12"/>
        <v>Avitus</v>
      </c>
      <c r="B84" s="5">
        <f t="shared" ca="1" si="12"/>
        <v>1</v>
      </c>
      <c r="C84" s="5">
        <f t="shared" ca="1" si="12"/>
        <v>4</v>
      </c>
      <c r="D84" s="5">
        <f t="shared" ca="1" si="12"/>
        <v>0</v>
      </c>
      <c r="E84" s="5">
        <v>57</v>
      </c>
      <c r="F84" s="10">
        <f t="shared" si="11"/>
        <v>42795</v>
      </c>
      <c r="G84" s="5"/>
      <c r="H84" s="11" t="str">
        <f t="shared" ca="1" si="6"/>
        <v>Avitus_1.4.0.57-20170301</v>
      </c>
      <c r="I84" s="5"/>
      <c r="J84" s="5">
        <f t="shared" ca="1" si="13"/>
        <v>14058</v>
      </c>
      <c r="L84" t="s">
        <v>25</v>
      </c>
    </row>
    <row r="85" spans="1:15" x14ac:dyDescent="0.3">
      <c r="A85" s="5" t="str">
        <f t="shared" ca="1" si="12"/>
        <v>Avitus</v>
      </c>
      <c r="B85" s="5">
        <f t="shared" ca="1" si="12"/>
        <v>1</v>
      </c>
      <c r="C85" s="5">
        <f t="shared" ca="1" si="12"/>
        <v>4</v>
      </c>
      <c r="D85" s="5">
        <f t="shared" ca="1" si="12"/>
        <v>0</v>
      </c>
      <c r="E85" s="5">
        <f>E84+1</f>
        <v>58</v>
      </c>
      <c r="F85" s="10">
        <f t="shared" si="11"/>
        <v>42802</v>
      </c>
      <c r="G85" s="5"/>
      <c r="H85" s="11" t="str">
        <f t="shared" ca="1" si="6"/>
        <v>Avitus_1.4.0.58-20170308</v>
      </c>
      <c r="I85" s="5"/>
      <c r="J85" s="5">
        <f t="shared" ca="1" si="13"/>
        <v>14059</v>
      </c>
    </row>
    <row r="86" spans="1:15" x14ac:dyDescent="0.3">
      <c r="A86" s="5" t="str">
        <f t="shared" ca="1" si="12"/>
        <v>Avitus</v>
      </c>
      <c r="B86" s="5">
        <f t="shared" ca="1" si="12"/>
        <v>1</v>
      </c>
      <c r="C86" s="5">
        <f t="shared" ca="1" si="12"/>
        <v>4</v>
      </c>
      <c r="D86" s="5">
        <f t="shared" ca="1" si="12"/>
        <v>0</v>
      </c>
      <c r="E86" s="5">
        <f>E85+1</f>
        <v>59</v>
      </c>
      <c r="F86" s="10">
        <f t="shared" si="11"/>
        <v>42809</v>
      </c>
      <c r="G86" s="5"/>
      <c r="H86" s="11" t="str">
        <f t="shared" ca="1" si="6"/>
        <v>Avitus_1.4.0.59-20170315</v>
      </c>
      <c r="I86" s="5"/>
      <c r="J86" s="5">
        <f t="shared" ca="1" si="13"/>
        <v>14060</v>
      </c>
    </row>
    <row r="87" spans="1:15" x14ac:dyDescent="0.3">
      <c r="A87" s="5" t="str">
        <f t="shared" ca="1" si="12"/>
        <v>Avitus</v>
      </c>
      <c r="B87" s="5">
        <f t="shared" ca="1" si="12"/>
        <v>1</v>
      </c>
      <c r="C87" s="5">
        <f t="shared" ca="1" si="12"/>
        <v>4</v>
      </c>
      <c r="D87" s="5">
        <f t="shared" ca="1" si="12"/>
        <v>0</v>
      </c>
      <c r="E87" s="5">
        <f>E86+1</f>
        <v>60</v>
      </c>
      <c r="F87" s="10">
        <f t="shared" si="11"/>
        <v>42816</v>
      </c>
      <c r="G87" s="5"/>
      <c r="H87" s="11" t="str">
        <f t="shared" ca="1" si="6"/>
        <v>Avitus_1.4.0.60-20170322</v>
      </c>
      <c r="I87" s="5"/>
      <c r="J87" s="5">
        <f t="shared" ca="1" si="13"/>
        <v>14061</v>
      </c>
    </row>
    <row r="88" spans="1:15" x14ac:dyDescent="0.3">
      <c r="A88" s="5" t="str">
        <f t="shared" ca="1" si="12"/>
        <v>Avitus</v>
      </c>
      <c r="B88" s="5">
        <f t="shared" ca="1" si="12"/>
        <v>1</v>
      </c>
      <c r="C88" s="5">
        <f t="shared" ca="1" si="12"/>
        <v>4</v>
      </c>
      <c r="D88" s="5">
        <f t="shared" ca="1" si="12"/>
        <v>0</v>
      </c>
      <c r="E88" s="5">
        <f>E87+1</f>
        <v>61</v>
      </c>
      <c r="F88" s="10">
        <f t="shared" si="11"/>
        <v>42823</v>
      </c>
      <c r="G88" s="5"/>
      <c r="H88" s="11" t="str">
        <f t="shared" ca="1" si="6"/>
        <v>Avitus_1.4.0.61-20170329</v>
      </c>
      <c r="I88" s="5"/>
      <c r="J88" s="5">
        <f t="shared" ca="1" si="13"/>
        <v>14062</v>
      </c>
    </row>
    <row r="89" spans="1:15" x14ac:dyDescent="0.3">
      <c r="A89" s="5" t="str">
        <f t="shared" ca="1" si="12"/>
        <v>Avitus</v>
      </c>
      <c r="B89" s="5">
        <f t="shared" ca="1" si="12"/>
        <v>1</v>
      </c>
      <c r="C89" s="5">
        <f t="shared" ca="1" si="12"/>
        <v>4</v>
      </c>
      <c r="D89" s="5">
        <f t="shared" ca="1" si="12"/>
        <v>0</v>
      </c>
      <c r="E89" s="5">
        <f>E88+1</f>
        <v>62</v>
      </c>
      <c r="F89" s="10">
        <f t="shared" si="11"/>
        <v>42830</v>
      </c>
      <c r="G89" s="5"/>
      <c r="H89" s="11" t="str">
        <f t="shared" ca="1" si="6"/>
        <v>Avitus_1.4.0.62-20170405</v>
      </c>
      <c r="I89" s="5"/>
      <c r="J89" s="5">
        <f t="shared" ca="1" si="13"/>
        <v>14063</v>
      </c>
    </row>
    <row r="90" spans="1:15" s="5" customFormat="1" x14ac:dyDescent="0.3">
      <c r="A90" s="5" t="str">
        <f t="shared" ca="1" si="12"/>
        <v>Avitus</v>
      </c>
      <c r="B90" s="5">
        <f t="shared" ca="1" si="12"/>
        <v>1</v>
      </c>
      <c r="C90" s="5">
        <f t="shared" ca="1" si="12"/>
        <v>4</v>
      </c>
      <c r="D90" s="5">
        <f t="shared" ca="1" si="12"/>
        <v>0</v>
      </c>
      <c r="E90" s="5">
        <f t="shared" ref="E90:E94" si="14">E89+1</f>
        <v>63</v>
      </c>
      <c r="F90" s="10">
        <f t="shared" si="11"/>
        <v>42837</v>
      </c>
      <c r="H90" s="11" t="str">
        <f t="shared" ref="H90:H94" ca="1" si="15">CONCATENATE(A90,"_",B90,".",C90,".",D90,".",E90,"-",TEXT(F90,"yyyymmdd"))</f>
        <v>Avitus_1.4.0.63-20170412</v>
      </c>
      <c r="J90" s="5">
        <f t="shared" ref="J90:J94" ca="1" si="16">CONCATENATE(B90,C90,D90,E90)+1</f>
        <v>14064</v>
      </c>
      <c r="K90" s="5" t="s">
        <v>24</v>
      </c>
    </row>
    <row r="91" spans="1:15" s="5" customFormat="1" x14ac:dyDescent="0.3">
      <c r="A91" s="5" t="str">
        <f t="shared" ref="A91:D97" ca="1" si="17">INDIRECT(MID(ADDRESS(ROW(),COLUMN()),2,1)&amp;(ROW()-1))</f>
        <v>Avitus</v>
      </c>
      <c r="B91" s="5">
        <f t="shared" ca="1" si="17"/>
        <v>1</v>
      </c>
      <c r="C91" s="5">
        <f t="shared" ca="1" si="17"/>
        <v>4</v>
      </c>
      <c r="D91" s="5">
        <f t="shared" ca="1" si="17"/>
        <v>0</v>
      </c>
      <c r="E91" s="5">
        <f t="shared" si="14"/>
        <v>64</v>
      </c>
      <c r="F91" s="10">
        <f t="shared" si="11"/>
        <v>42844</v>
      </c>
      <c r="H91" s="11" t="str">
        <f t="shared" ca="1" si="15"/>
        <v>Avitus_1.4.0.64-20170419</v>
      </c>
      <c r="J91" s="5">
        <f t="shared" ca="1" si="16"/>
        <v>14065</v>
      </c>
      <c r="K91" s="5" t="s">
        <v>24</v>
      </c>
    </row>
    <row r="92" spans="1:15" s="5" customFormat="1" x14ac:dyDescent="0.3">
      <c r="A92" s="5" t="str">
        <f t="shared" ca="1" si="17"/>
        <v>Avitus</v>
      </c>
      <c r="B92" s="5">
        <f t="shared" ca="1" si="17"/>
        <v>1</v>
      </c>
      <c r="C92" s="5">
        <f t="shared" ca="1" si="17"/>
        <v>4</v>
      </c>
      <c r="D92" s="5">
        <f t="shared" ca="1" si="17"/>
        <v>0</v>
      </c>
      <c r="E92" s="5">
        <f t="shared" si="14"/>
        <v>65</v>
      </c>
      <c r="F92" s="10">
        <f t="shared" si="11"/>
        <v>42851</v>
      </c>
      <c r="H92" s="11" t="str">
        <f t="shared" ca="1" si="15"/>
        <v>Avitus_1.4.0.65-20170426</v>
      </c>
      <c r="J92" s="5">
        <f t="shared" ca="1" si="16"/>
        <v>14066</v>
      </c>
      <c r="K92" s="5" t="s">
        <v>24</v>
      </c>
      <c r="N92" s="12"/>
      <c r="O92" s="12"/>
    </row>
    <row r="93" spans="1:15" s="5" customFormat="1" x14ac:dyDescent="0.3">
      <c r="A93" s="5" t="str">
        <f t="shared" ca="1" si="17"/>
        <v>Avitus</v>
      </c>
      <c r="B93" s="5">
        <f t="shared" ca="1" si="17"/>
        <v>1</v>
      </c>
      <c r="C93" s="5">
        <f t="shared" ca="1" si="17"/>
        <v>4</v>
      </c>
      <c r="D93" s="5">
        <f t="shared" ca="1" si="17"/>
        <v>0</v>
      </c>
      <c r="E93" s="5">
        <f t="shared" si="14"/>
        <v>66</v>
      </c>
      <c r="F93" s="10">
        <f t="shared" si="11"/>
        <v>42858</v>
      </c>
      <c r="H93" s="11" t="str">
        <f t="shared" ca="1" si="15"/>
        <v>Avitus_1.4.0.66-20170503</v>
      </c>
      <c r="J93" s="5">
        <f t="shared" ca="1" si="16"/>
        <v>14067</v>
      </c>
      <c r="K93" s="5" t="s">
        <v>24</v>
      </c>
    </row>
    <row r="94" spans="1:15" x14ac:dyDescent="0.3">
      <c r="A94" s="5" t="str">
        <f t="shared" ca="1" si="17"/>
        <v>Avitus</v>
      </c>
      <c r="B94" s="5">
        <f t="shared" ca="1" si="17"/>
        <v>1</v>
      </c>
      <c r="C94" s="5">
        <f t="shared" ca="1" si="17"/>
        <v>4</v>
      </c>
      <c r="D94" s="5">
        <f t="shared" ca="1" si="17"/>
        <v>0</v>
      </c>
      <c r="E94" s="5">
        <f t="shared" si="14"/>
        <v>67</v>
      </c>
      <c r="F94" s="10">
        <f t="shared" si="11"/>
        <v>42865</v>
      </c>
      <c r="G94" s="5"/>
      <c r="H94" s="11" t="str">
        <f t="shared" ca="1" si="15"/>
        <v>Avitus_1.4.0.67-20170510</v>
      </c>
      <c r="I94" s="5"/>
      <c r="J94" s="5">
        <f t="shared" ca="1" si="16"/>
        <v>14068</v>
      </c>
      <c r="K94" s="5" t="s">
        <v>24</v>
      </c>
    </row>
    <row r="95" spans="1:15" x14ac:dyDescent="0.3">
      <c r="A95" s="5" t="str">
        <f t="shared" ca="1" si="17"/>
        <v>Avitus</v>
      </c>
      <c r="B95" s="5">
        <f t="shared" ca="1" si="17"/>
        <v>1</v>
      </c>
      <c r="C95" s="5">
        <f t="shared" ca="1" si="17"/>
        <v>4</v>
      </c>
      <c r="D95" s="5">
        <f t="shared" ca="1" si="17"/>
        <v>0</v>
      </c>
      <c r="E95" s="5">
        <f t="shared" ref="E95:E97" si="18">E94+1</f>
        <v>68</v>
      </c>
      <c r="F95" s="10">
        <f t="shared" si="11"/>
        <v>42872</v>
      </c>
      <c r="G95" s="5"/>
      <c r="H95" s="11" t="str">
        <f t="shared" ref="H95:H97" ca="1" si="19">CONCATENATE(A95,"_",B95,".",C95,".",D95,".",E95,"-",TEXT(F95,"yyyymmdd"))</f>
        <v>Avitus_1.4.0.68-20170517</v>
      </c>
      <c r="I95" s="5"/>
      <c r="J95" s="5">
        <f t="shared" ref="J95:J97" ca="1" si="20">CONCATENATE(B95,C95,D95,E95)+1</f>
        <v>14069</v>
      </c>
      <c r="K95" s="5" t="s">
        <v>24</v>
      </c>
    </row>
    <row r="96" spans="1:15" x14ac:dyDescent="0.3">
      <c r="A96" s="5" t="str">
        <f t="shared" ca="1" si="17"/>
        <v>Avitus</v>
      </c>
      <c r="B96" s="5">
        <f t="shared" ca="1" si="17"/>
        <v>1</v>
      </c>
      <c r="C96" s="5">
        <f t="shared" ca="1" si="17"/>
        <v>4</v>
      </c>
      <c r="D96" s="5">
        <f t="shared" ca="1" si="17"/>
        <v>0</v>
      </c>
      <c r="E96" s="5">
        <f t="shared" si="18"/>
        <v>69</v>
      </c>
      <c r="F96" s="10">
        <f t="shared" si="11"/>
        <v>42879</v>
      </c>
      <c r="G96" s="5"/>
      <c r="H96" s="11" t="str">
        <f t="shared" ca="1" si="19"/>
        <v>Avitus_1.4.0.69-20170524</v>
      </c>
      <c r="I96" s="5"/>
      <c r="J96" s="5">
        <f t="shared" ca="1" si="20"/>
        <v>14070</v>
      </c>
      <c r="K96" s="5" t="s">
        <v>24</v>
      </c>
    </row>
    <row r="97" spans="1:13" x14ac:dyDescent="0.3">
      <c r="A97" s="5" t="str">
        <f t="shared" ca="1" si="17"/>
        <v>Avitus</v>
      </c>
      <c r="B97" s="5">
        <f t="shared" ca="1" si="17"/>
        <v>1</v>
      </c>
      <c r="C97" s="5">
        <f t="shared" ca="1" si="17"/>
        <v>4</v>
      </c>
      <c r="D97" s="5">
        <f t="shared" ca="1" si="17"/>
        <v>0</v>
      </c>
      <c r="E97" s="5">
        <f t="shared" si="18"/>
        <v>70</v>
      </c>
      <c r="F97" s="10">
        <f t="shared" si="11"/>
        <v>42886</v>
      </c>
      <c r="G97" s="5"/>
      <c r="H97" s="11" t="str">
        <f t="shared" ca="1" si="19"/>
        <v>Avitus_1.4.0.70-20170531</v>
      </c>
      <c r="I97" s="5"/>
      <c r="J97" s="5">
        <f t="shared" ca="1" si="20"/>
        <v>14071</v>
      </c>
      <c r="K97" s="5" t="s">
        <v>24</v>
      </c>
    </row>
    <row r="98" spans="1:13" hidden="1" x14ac:dyDescent="0.3">
      <c r="A98" s="5"/>
      <c r="B98" s="5"/>
      <c r="C98" s="5"/>
      <c r="D98" s="5"/>
      <c r="E98" s="5"/>
      <c r="F98" s="10"/>
      <c r="G98" s="5"/>
      <c r="H98" s="11"/>
      <c r="I98" s="5"/>
      <c r="J98" s="5"/>
    </row>
    <row r="99" spans="1:13" hidden="1" x14ac:dyDescent="0.3">
      <c r="A99" s="5"/>
      <c r="B99" s="5"/>
      <c r="C99" s="5"/>
      <c r="D99" s="5"/>
      <c r="E99" s="5"/>
      <c r="F99" s="10"/>
      <c r="G99" s="5"/>
      <c r="H99" s="11"/>
      <c r="I99" s="5"/>
      <c r="J99" s="5"/>
    </row>
    <row r="100" spans="1:13" hidden="1" x14ac:dyDescent="0.3">
      <c r="A100" s="5"/>
      <c r="B100" s="5"/>
      <c r="C100" s="5"/>
      <c r="D100" s="5"/>
      <c r="E100" s="5"/>
      <c r="F100" s="10"/>
      <c r="G100" s="5"/>
      <c r="H100" s="11"/>
      <c r="I100" s="5"/>
      <c r="J100" s="5"/>
    </row>
    <row r="101" spans="1:13" hidden="1" x14ac:dyDescent="0.3">
      <c r="A101" s="5"/>
      <c r="B101" s="5"/>
      <c r="C101" s="5"/>
      <c r="D101" s="5"/>
      <c r="H101" s="5"/>
      <c r="J101" s="5"/>
    </row>
    <row r="102" spans="1:13" hidden="1" x14ac:dyDescent="0.3">
      <c r="A102" s="5"/>
      <c r="B102" s="5"/>
      <c r="C102" s="5"/>
      <c r="D102" s="5"/>
      <c r="H102" s="5"/>
      <c r="J102" s="5"/>
    </row>
    <row r="103" spans="1:13" s="5" customFormat="1" hidden="1" x14ac:dyDescent="0.3">
      <c r="A103" s="5" t="s">
        <v>23</v>
      </c>
      <c r="B103" s="5">
        <v>1</v>
      </c>
      <c r="C103" s="5">
        <v>2</v>
      </c>
      <c r="D103" s="5">
        <v>3</v>
      </c>
      <c r="E103" s="5">
        <v>1</v>
      </c>
      <c r="F103" s="10">
        <v>42676</v>
      </c>
      <c r="H103" s="5" t="str">
        <f>CONCATENATE(A103,"_",B103,".",C103,".",D103,".",E103,"-",TEXT(F103,"yyyymmdd"))</f>
        <v>Atlas_1.2.3.1-20161102</v>
      </c>
      <c r="J103" s="5" t="str">
        <f>CONCATENATE(B103,C103,D103,E103)</f>
        <v>1231</v>
      </c>
      <c r="M103" s="9" t="s">
        <v>22</v>
      </c>
    </row>
    <row r="104" spans="1:13" hidden="1" x14ac:dyDescent="0.3">
      <c r="A104" s="7" t="str">
        <f t="shared" ref="A104:D105" ca="1" si="21">INDIRECT(MID(ADDRESS(ROW(),COLUMN()),2,1)&amp;(ROW()-1))</f>
        <v>Atlas</v>
      </c>
      <c r="B104" s="7">
        <f t="shared" ca="1" si="21"/>
        <v>1</v>
      </c>
      <c r="C104" s="7">
        <f t="shared" ca="1" si="21"/>
        <v>2</v>
      </c>
      <c r="D104" s="7">
        <f t="shared" ca="1" si="21"/>
        <v>3</v>
      </c>
      <c r="E104" s="7">
        <f>E103+1</f>
        <v>2</v>
      </c>
      <c r="F104" s="8">
        <f>F103+7</f>
        <v>42683</v>
      </c>
      <c r="G104" s="7"/>
      <c r="H104" s="7" t="str">
        <f ca="1">CONCATENATE(A104,"_",B104,".",C104,".",D104,".",E104,"-",TEXT(F104,"yyyymmdd"))</f>
        <v>Atlas_1.2.3.2-20161109</v>
      </c>
      <c r="I104" s="7"/>
      <c r="J104" s="7" t="str">
        <f ca="1">CONCATENATE(B104,C104,D104,E104)</f>
        <v>1232</v>
      </c>
      <c r="M104" s="6" t="s">
        <v>21</v>
      </c>
    </row>
    <row r="105" spans="1:13" hidden="1" x14ac:dyDescent="0.3">
      <c r="A105" s="5" t="str">
        <f t="shared" ca="1" si="21"/>
        <v>Atlas</v>
      </c>
      <c r="B105" s="5">
        <f t="shared" ca="1" si="21"/>
        <v>1</v>
      </c>
      <c r="C105" s="5">
        <f t="shared" ca="1" si="21"/>
        <v>2</v>
      </c>
      <c r="D105" s="5">
        <f t="shared" ca="1" si="21"/>
        <v>3</v>
      </c>
      <c r="E105">
        <v>2</v>
      </c>
      <c r="F105" s="4">
        <f>F104+7</f>
        <v>42690</v>
      </c>
      <c r="H105" s="5" t="str">
        <f ca="1">CONCATENATE(A105,"_",B105,".",C105,".",D105,".",E105,"-",TEXT(F105,"yyyymmdd"))</f>
        <v>Atlas_1.2.3.2-20161116</v>
      </c>
      <c r="J105" s="5" t="str">
        <f ca="1">CONCATENATE(B105,C105,D105,E105)</f>
        <v>1232</v>
      </c>
    </row>
    <row r="106" spans="1:13" hidden="1" x14ac:dyDescent="0.3"/>
    <row r="107" spans="1:13" hidden="1" x14ac:dyDescent="0.3"/>
    <row r="108" spans="1:13" hidden="1" x14ac:dyDescent="0.3"/>
    <row r="109" spans="1:13" x14ac:dyDescent="0.3">
      <c r="A109" t="s">
        <v>5</v>
      </c>
      <c r="B109">
        <v>1</v>
      </c>
      <c r="C109">
        <v>5</v>
      </c>
      <c r="D109">
        <v>0</v>
      </c>
      <c r="E109" s="17">
        <v>3</v>
      </c>
      <c r="F109" s="10">
        <v>42823</v>
      </c>
      <c r="H109" s="11" t="str">
        <f t="shared" ref="H109:H110" si="22">CONCATENATE(A109,"_",B109,".",C109,".",D109,".",E109,"-",TEXT(F109,"yyyymmdd"))</f>
        <v>Axion_1.5.0.3-20170329</v>
      </c>
      <c r="I109" s="5"/>
      <c r="J109" s="5" t="str">
        <f>CONCATENATE(B109,C109,D109,0,E109)</f>
        <v>15003</v>
      </c>
      <c r="K109" t="s">
        <v>24</v>
      </c>
    </row>
    <row r="110" spans="1:13" x14ac:dyDescent="0.3">
      <c r="A110" s="5" t="str">
        <f t="shared" ref="A110:D121" ca="1" si="23">INDIRECT(MID(ADDRESS(ROW(),COLUMN()),2,1)&amp;(ROW()-1))</f>
        <v>Axion</v>
      </c>
      <c r="B110" s="5">
        <f t="shared" ca="1" si="23"/>
        <v>1</v>
      </c>
      <c r="C110" s="5">
        <f t="shared" ca="1" si="23"/>
        <v>5</v>
      </c>
      <c r="D110" s="5">
        <f t="shared" ca="1" si="23"/>
        <v>0</v>
      </c>
      <c r="E110" s="17">
        <f>E109+1</f>
        <v>4</v>
      </c>
      <c r="F110" s="4">
        <f>F109+7</f>
        <v>42830</v>
      </c>
      <c r="H110" s="11" t="str">
        <f t="shared" ca="1" si="22"/>
        <v>Axion_1.5.0.4-20170405</v>
      </c>
      <c r="J110" s="5" t="str">
        <f t="shared" ref="J110:J114" ca="1" si="24">CONCATENATE(B110,C110,D110,0,E110)</f>
        <v>15004</v>
      </c>
      <c r="K110" t="s">
        <v>24</v>
      </c>
    </row>
    <row r="111" spans="1:13" x14ac:dyDescent="0.3">
      <c r="A111" s="5" t="str">
        <f t="shared" ca="1" si="23"/>
        <v>Axion</v>
      </c>
      <c r="B111" s="5">
        <f t="shared" ca="1" si="23"/>
        <v>1</v>
      </c>
      <c r="C111" s="5">
        <f t="shared" ca="1" si="23"/>
        <v>5</v>
      </c>
      <c r="D111" s="5">
        <f t="shared" ca="1" si="23"/>
        <v>0</v>
      </c>
      <c r="E111" s="17">
        <f t="shared" ref="E111:E114" si="25">E110+1</f>
        <v>5</v>
      </c>
      <c r="F111" s="4">
        <f t="shared" ref="F111:F114" si="26">F110+7</f>
        <v>42837</v>
      </c>
      <c r="H111" s="11" t="str">
        <f t="shared" ref="H111:H114" ca="1" si="27">CONCATENATE(A111,"_",B111,".",C111,".",D111,".",E111,"-",TEXT(F111,"yyyymmdd"))</f>
        <v>Axion_1.5.0.5-20170412</v>
      </c>
      <c r="J111" s="5" t="str">
        <f t="shared" ca="1" si="24"/>
        <v>15005</v>
      </c>
      <c r="K111" t="s">
        <v>24</v>
      </c>
    </row>
    <row r="112" spans="1:13" x14ac:dyDescent="0.3">
      <c r="A112" s="5" t="str">
        <f t="shared" ca="1" si="23"/>
        <v>Axion</v>
      </c>
      <c r="B112" s="5">
        <f t="shared" ca="1" si="23"/>
        <v>1</v>
      </c>
      <c r="C112" s="5">
        <f t="shared" ca="1" si="23"/>
        <v>5</v>
      </c>
      <c r="D112" s="5">
        <f t="shared" ca="1" si="23"/>
        <v>0</v>
      </c>
      <c r="E112" s="17">
        <f t="shared" si="25"/>
        <v>6</v>
      </c>
      <c r="F112" s="4">
        <f t="shared" si="26"/>
        <v>42844</v>
      </c>
      <c r="H112" s="11" t="str">
        <f t="shared" ca="1" si="27"/>
        <v>Axion_1.5.0.6-20170419</v>
      </c>
      <c r="J112" s="5" t="str">
        <f t="shared" ca="1" si="24"/>
        <v>15006</v>
      </c>
      <c r="K112" t="s">
        <v>24</v>
      </c>
    </row>
    <row r="113" spans="1:11" x14ac:dyDescent="0.3">
      <c r="A113" s="5" t="str">
        <f t="shared" ca="1" si="23"/>
        <v>Axion</v>
      </c>
      <c r="B113" s="5">
        <f t="shared" ca="1" si="23"/>
        <v>1</v>
      </c>
      <c r="C113" s="5">
        <f t="shared" ca="1" si="23"/>
        <v>5</v>
      </c>
      <c r="D113" s="5">
        <f t="shared" ca="1" si="23"/>
        <v>0</v>
      </c>
      <c r="E113" s="17">
        <f t="shared" si="25"/>
        <v>7</v>
      </c>
      <c r="F113" s="4">
        <f t="shared" si="26"/>
        <v>42851</v>
      </c>
      <c r="H113" s="11" t="str">
        <f t="shared" ca="1" si="27"/>
        <v>Axion_1.5.0.7-20170426</v>
      </c>
      <c r="J113" s="5" t="str">
        <f t="shared" ca="1" si="24"/>
        <v>15007</v>
      </c>
      <c r="K113" t="s">
        <v>24</v>
      </c>
    </row>
    <row r="114" spans="1:11" x14ac:dyDescent="0.3">
      <c r="A114" s="5" t="str">
        <f t="shared" ca="1" si="23"/>
        <v>Axion</v>
      </c>
      <c r="B114" s="5">
        <f t="shared" ca="1" si="23"/>
        <v>1</v>
      </c>
      <c r="C114" s="5">
        <f t="shared" ca="1" si="23"/>
        <v>5</v>
      </c>
      <c r="D114" s="5">
        <f t="shared" ca="1" si="23"/>
        <v>0</v>
      </c>
      <c r="E114" s="17">
        <f t="shared" si="25"/>
        <v>8</v>
      </c>
      <c r="F114" s="4">
        <f t="shared" si="26"/>
        <v>42858</v>
      </c>
      <c r="H114" s="11" t="str">
        <f t="shared" ca="1" si="27"/>
        <v>Axion_1.5.0.8-20170503</v>
      </c>
      <c r="J114" s="5" t="str">
        <f t="shared" ca="1" si="24"/>
        <v>15008</v>
      </c>
      <c r="K114" t="s">
        <v>24</v>
      </c>
    </row>
    <row r="115" spans="1:11" x14ac:dyDescent="0.3">
      <c r="A115" s="5" t="str">
        <f t="shared" ca="1" si="23"/>
        <v>Axion</v>
      </c>
      <c r="B115" s="5">
        <f t="shared" ca="1" si="23"/>
        <v>1</v>
      </c>
      <c r="C115" s="5">
        <f t="shared" ca="1" si="23"/>
        <v>5</v>
      </c>
      <c r="D115" s="5">
        <f t="shared" ca="1" si="23"/>
        <v>0</v>
      </c>
      <c r="E115" s="17">
        <f t="shared" ref="E115:E121" si="28">E114+1</f>
        <v>9</v>
      </c>
      <c r="F115" s="4">
        <f t="shared" ref="F115:F121" si="29">F114+7</f>
        <v>42865</v>
      </c>
      <c r="H115" s="11" t="str">
        <f t="shared" ref="H115:H118" ca="1" si="30">CONCATENATE(A115,"_",B115,".",C115,".",D115,".",E115,"-",TEXT(F115,"yyyymmdd"))</f>
        <v>Axion_1.5.0.9-20170510</v>
      </c>
      <c r="J115" s="5" t="str">
        <f t="shared" ref="J115" ca="1" si="31">CONCATENATE(B115,C115,D115,0,E115)</f>
        <v>15009</v>
      </c>
      <c r="K115" t="s">
        <v>24</v>
      </c>
    </row>
    <row r="116" spans="1:11" x14ac:dyDescent="0.3">
      <c r="A116" s="5" t="str">
        <f t="shared" ca="1" si="23"/>
        <v>Axion</v>
      </c>
      <c r="B116" s="5">
        <f t="shared" ca="1" si="23"/>
        <v>1</v>
      </c>
      <c r="C116" s="5">
        <f t="shared" ca="1" si="23"/>
        <v>5</v>
      </c>
      <c r="D116" s="5">
        <f t="shared" ca="1" si="23"/>
        <v>0</v>
      </c>
      <c r="E116" s="17">
        <f t="shared" si="28"/>
        <v>10</v>
      </c>
      <c r="F116" s="4">
        <f t="shared" si="29"/>
        <v>42872</v>
      </c>
      <c r="H116" s="11" t="str">
        <f t="shared" ca="1" si="30"/>
        <v>Axion_1.5.0.10-20170517</v>
      </c>
      <c r="J116" s="5" t="str">
        <f ca="1">CONCATENATE(B116,C116,D116,E116)</f>
        <v>15010</v>
      </c>
      <c r="K116" t="s">
        <v>41</v>
      </c>
    </row>
    <row r="117" spans="1:11" x14ac:dyDescent="0.3">
      <c r="A117" s="5" t="str">
        <f t="shared" ca="1" si="23"/>
        <v>Axion</v>
      </c>
      <c r="B117" s="5">
        <f t="shared" ca="1" si="23"/>
        <v>1</v>
      </c>
      <c r="C117" s="5">
        <f t="shared" ca="1" si="23"/>
        <v>5</v>
      </c>
      <c r="D117" s="5">
        <f t="shared" ca="1" si="23"/>
        <v>0</v>
      </c>
      <c r="E117" s="17">
        <f t="shared" si="28"/>
        <v>11</v>
      </c>
      <c r="F117" s="4">
        <f t="shared" si="29"/>
        <v>42879</v>
      </c>
      <c r="H117" s="11" t="str">
        <f t="shared" ca="1" si="30"/>
        <v>Axion_1.5.0.11-20170524</v>
      </c>
      <c r="J117" s="5" t="str">
        <f t="shared" ref="J117:J118" ca="1" si="32">CONCATENATE(B117,C117,D117,E117)</f>
        <v>15011</v>
      </c>
      <c r="K117" t="s">
        <v>24</v>
      </c>
    </row>
    <row r="118" spans="1:11" x14ac:dyDescent="0.3">
      <c r="A118" s="5" t="str">
        <f t="shared" ca="1" si="23"/>
        <v>Axion</v>
      </c>
      <c r="B118" s="5">
        <f t="shared" ca="1" si="23"/>
        <v>1</v>
      </c>
      <c r="C118" s="5">
        <f t="shared" ca="1" si="23"/>
        <v>5</v>
      </c>
      <c r="D118" s="5">
        <f t="shared" ca="1" si="23"/>
        <v>0</v>
      </c>
      <c r="E118" s="17">
        <f t="shared" si="28"/>
        <v>12</v>
      </c>
      <c r="F118" s="4">
        <f t="shared" si="29"/>
        <v>42886</v>
      </c>
      <c r="H118" s="11" t="str">
        <f t="shared" ca="1" si="30"/>
        <v>Axion_1.5.0.12-20170531</v>
      </c>
      <c r="J118" s="5" t="str">
        <f t="shared" ca="1" si="32"/>
        <v>15012</v>
      </c>
      <c r="K118" t="s">
        <v>24</v>
      </c>
    </row>
    <row r="119" spans="1:11" x14ac:dyDescent="0.3">
      <c r="A119" s="5" t="str">
        <f t="shared" ca="1" si="23"/>
        <v>Axion</v>
      </c>
      <c r="B119" s="5">
        <f t="shared" ca="1" si="23"/>
        <v>1</v>
      </c>
      <c r="C119" s="5">
        <f t="shared" ca="1" si="23"/>
        <v>5</v>
      </c>
      <c r="D119" s="5">
        <f t="shared" ca="1" si="23"/>
        <v>0</v>
      </c>
      <c r="E119" s="17">
        <f t="shared" si="28"/>
        <v>13</v>
      </c>
      <c r="F119" s="4">
        <f t="shared" si="29"/>
        <v>42893</v>
      </c>
      <c r="H119" s="11" t="str">
        <f t="shared" ref="H119:H121" ca="1" si="33">CONCATENATE(A119,"_",B119,".",C119,".",D119,".",E119,"-",TEXT(F119,"yyyymmdd"))</f>
        <v>Axion_1.5.0.13-20170607</v>
      </c>
      <c r="J119" s="5" t="str">
        <f t="shared" ref="J119:J121" ca="1" si="34">CONCATENATE(B119,C119,D119,E119)</f>
        <v>15013</v>
      </c>
      <c r="K119" t="s">
        <v>24</v>
      </c>
    </row>
    <row r="120" spans="1:11" x14ac:dyDescent="0.3">
      <c r="A120" s="5" t="str">
        <f t="shared" ca="1" si="23"/>
        <v>Axion</v>
      </c>
      <c r="B120" s="5">
        <f t="shared" ca="1" si="23"/>
        <v>1</v>
      </c>
      <c r="C120" s="5">
        <f t="shared" ca="1" si="23"/>
        <v>5</v>
      </c>
      <c r="D120" s="5">
        <f t="shared" ca="1" si="23"/>
        <v>0</v>
      </c>
      <c r="E120" s="17">
        <f t="shared" si="28"/>
        <v>14</v>
      </c>
      <c r="F120" s="4">
        <f t="shared" si="29"/>
        <v>42900</v>
      </c>
      <c r="H120" s="11" t="str">
        <f t="shared" ca="1" si="33"/>
        <v>Axion_1.5.0.14-20170614</v>
      </c>
      <c r="J120" s="5" t="str">
        <f t="shared" ca="1" si="34"/>
        <v>15014</v>
      </c>
      <c r="K120" t="s">
        <v>24</v>
      </c>
    </row>
    <row r="121" spans="1:11" x14ac:dyDescent="0.3">
      <c r="A121" s="5" t="str">
        <f t="shared" ca="1" si="23"/>
        <v>Axion</v>
      </c>
      <c r="B121" s="5">
        <f t="shared" ca="1" si="23"/>
        <v>1</v>
      </c>
      <c r="C121" s="5">
        <f t="shared" ca="1" si="23"/>
        <v>5</v>
      </c>
      <c r="D121" s="5">
        <f t="shared" ca="1" si="23"/>
        <v>0</v>
      </c>
      <c r="E121" s="17">
        <f t="shared" si="28"/>
        <v>15</v>
      </c>
      <c r="F121" s="4">
        <f t="shared" si="29"/>
        <v>42907</v>
      </c>
      <c r="H121" s="11" t="str">
        <f t="shared" ca="1" si="33"/>
        <v>Axion_1.5.0.15-20170621</v>
      </c>
      <c r="J121" s="5" t="str">
        <f t="shared" ca="1" si="34"/>
        <v>15015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6" sqref="C16"/>
    </sheetView>
  </sheetViews>
  <sheetFormatPr defaultRowHeight="14.4" x14ac:dyDescent="0.3"/>
  <cols>
    <col min="1" max="1" width="16.44140625" bestFit="1" customWidth="1"/>
    <col min="2" max="2" width="42.5546875" bestFit="1" customWidth="1"/>
  </cols>
  <sheetData>
    <row r="1" spans="1:3" x14ac:dyDescent="0.3">
      <c r="A1" t="s">
        <v>75</v>
      </c>
      <c r="B1" t="s">
        <v>76</v>
      </c>
      <c r="C1" t="s">
        <v>79</v>
      </c>
    </row>
    <row r="2" spans="1:3" x14ac:dyDescent="0.3">
      <c r="A2" t="s">
        <v>78</v>
      </c>
      <c r="B2" t="s">
        <v>77</v>
      </c>
    </row>
  </sheetData>
  <sheetProtection algorithmName="SHA-512" hashValue="f6+dApiTySAHMzF9evw7s/3Hdsus0bpLRta9zIy5Y5kHDuITVwqvxkuo/tLvKUPvqqX6tWg5kTKPXS5/WT+gyg==" saltValue="wz6C5nu9VqX44hWvVFfU3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CloneBugs</vt:lpstr>
      <vt:lpstr>targbuildCalc</vt:lpstr>
      <vt:lpstr>VBAdata</vt:lpstr>
      <vt:lpstr>bugs</vt:lpstr>
      <vt:lpstr>Targets</vt:lpstr>
    </vt:vector>
  </TitlesOfParts>
  <Company>Hewlett 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W. Roberts</dc:creator>
  <cp:lastModifiedBy>Michael W. Roberts</cp:lastModifiedBy>
  <dcterms:created xsi:type="dcterms:W3CDTF">2017-03-13T15:37:56Z</dcterms:created>
  <dcterms:modified xsi:type="dcterms:W3CDTF">2017-06-16T21:01:35Z</dcterms:modified>
</cp:coreProperties>
</file>