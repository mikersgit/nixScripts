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mwroberts\Documents\bugs\"/>
    </mc:Choice>
  </mc:AlternateContent>
  <bookViews>
    <workbookView xWindow="0" yWindow="0" windowWidth="11100" windowHeight="5700" firstSheet="2" activeTab="2"/>
  </bookViews>
  <sheets>
    <sheet name="RedZone" sheetId="16" r:id="rId1"/>
    <sheet name="AuroraWaiver" sheetId="35" r:id="rId2"/>
    <sheet name="RedZoneAvitus" sheetId="27" r:id="rId3"/>
    <sheet name="Sheet6" sheetId="39" r:id="rId4"/>
    <sheet name="extractMaster" sheetId="24" r:id="rId5"/>
    <sheet name="RedZoneAtlasMaint" sheetId="29" r:id="rId6"/>
    <sheet name="mailTemplate" sheetId="28" r:id="rId7"/>
    <sheet name="Sheet2" sheetId="34" r:id="rId8"/>
    <sheet name="Sheet4" sheetId="36" r:id="rId9"/>
    <sheet name="2weekResolved" sheetId="32" r:id="rId10"/>
    <sheet name="2weekIncoming" sheetId="31" r:id="rId11"/>
    <sheet name="Waivers" sheetId="9" r:id="rId12"/>
    <sheet name="Sheet1" sheetId="33" r:id="rId13"/>
    <sheet name="Sheet3" sheetId="30" r:id="rId14"/>
    <sheet name="DevRZscrub" sheetId="26" r:id="rId15"/>
    <sheet name="RedZoneAtlas" sheetId="22" r:id="rId16"/>
    <sheet name="Atlas2Bverified" sheetId="25" r:id="rId17"/>
    <sheet name="YellowZone" sheetId="23" r:id="rId18"/>
    <sheet name="AtlasYellowZone" sheetId="6" r:id="rId19"/>
    <sheet name="WaiverCkLt" sheetId="21" r:id="rId20"/>
    <sheet name="RedZoneManchester" sheetId="5" r:id="rId21"/>
    <sheet name="AtlasWaivers" sheetId="18" r:id="rId22"/>
    <sheet name="1.1.0Maintbugs" sheetId="15" r:id="rId23"/>
    <sheet name="25JuneWaiver" sheetId="8" r:id="rId24"/>
    <sheet name="1.0.2bugs" sheetId="11" r:id="rId25"/>
    <sheet name="Waiver1.1.x" sheetId="12" r:id="rId26"/>
    <sheet name="BZurls" sheetId="37" r:id="rId27"/>
  </sheets>
  <functionGroups builtInGroupCount="18"/>
  <definedNames>
    <definedName name="_xlnm._FilterDatabase" localSheetId="24" hidden="1">'1.0.2bugs'!$A$1:$AB$9</definedName>
    <definedName name="_xlnm._FilterDatabase" localSheetId="23" hidden="1">'25JuneWaiver'!$A$1:$E$17</definedName>
    <definedName name="_xlnm._FilterDatabase" localSheetId="10" hidden="1">'2weekIncoming'!$A$1:$AE$100</definedName>
    <definedName name="_xlnm._FilterDatabase" localSheetId="9" hidden="1">'2weekResolved'!$A$1:$AF$214</definedName>
    <definedName name="_xlnm._FilterDatabase" localSheetId="16" hidden="1">Atlas2Bverified!$A$1:$J$68</definedName>
    <definedName name="_xlnm._FilterDatabase" localSheetId="21" hidden="1">AtlasWaivers!$B$1:$AF$42</definedName>
    <definedName name="_xlnm._FilterDatabase" localSheetId="18" hidden="1">AtlasYellowZone!$A$17:$AD$195</definedName>
    <definedName name="_xlnm._FilterDatabase" localSheetId="1" hidden="1">AuroraWaiver!$A$1:$AM$68</definedName>
    <definedName name="_xlnm._FilterDatabase" localSheetId="14" hidden="1">DevRZscrub!$A$1:$AH$234</definedName>
    <definedName name="_xlnm._FilterDatabase" localSheetId="4" hidden="1">extractMaster!$A$1:$H$68</definedName>
    <definedName name="_xlnm._FilterDatabase" localSheetId="0" hidden="1">RedZone!$A$17:$AH$98</definedName>
    <definedName name="_xlnm._FilterDatabase" localSheetId="15" hidden="1">RedZoneAtlas!$A$17:$AE$89</definedName>
    <definedName name="_xlnm._FilterDatabase" localSheetId="5" hidden="1">RedZoneAtlasMaint!$A$17:$AG$98</definedName>
    <definedName name="_xlnm._FilterDatabase" localSheetId="2" hidden="1">RedZoneAvitus!$A$17:$AH$110</definedName>
    <definedName name="_xlnm._FilterDatabase" localSheetId="20" hidden="1">RedZoneManchester!$A$17:$AA$61</definedName>
    <definedName name="_xlnm._FilterDatabase" localSheetId="12" hidden="1">Sheet1!$E$1:$E$8</definedName>
    <definedName name="_xlnm._FilterDatabase" localSheetId="25" hidden="1">Waiver1.1.x!$B$1:$AA$29</definedName>
    <definedName name="_xlnm._FilterDatabase" localSheetId="19" hidden="1">WaiverCkLt!$B$1:$B$29</definedName>
    <definedName name="_xlnm._FilterDatabase" localSheetId="11" hidden="1">Waivers!$B$1:$AF$42</definedName>
    <definedName name="_xlnm._FilterDatabase" localSheetId="17" hidden="1">YellowZone!$A$17:$AE$111</definedName>
    <definedName name="_Resolved" localSheetId="6">mailTemplate!$C$6</definedName>
    <definedName name="av" localSheetId="1">#REF!</definedName>
    <definedName name="av" localSheetId="5">#REF!</definedName>
    <definedName name="av">#REF!</definedName>
    <definedName name="AW" localSheetId="16">#REF!</definedName>
    <definedName name="AW" localSheetId="21">#REF!</definedName>
    <definedName name="AW" localSheetId="1">#REF!</definedName>
    <definedName name="AW" localSheetId="0">#REF!</definedName>
    <definedName name="AW" localSheetId="15">#REF!</definedName>
    <definedName name="AW" localSheetId="5">#REF!</definedName>
    <definedName name="AW" localSheetId="2">#REF!</definedName>
    <definedName name="AW">#REF!</definedName>
    <definedName name="AWa" localSheetId="16">#REF!</definedName>
    <definedName name="AWa" localSheetId="1">#REF!</definedName>
    <definedName name="AWa" localSheetId="5">#REF!</definedName>
    <definedName name="AWa" localSheetId="2">#REF!</definedName>
    <definedName name="AWa">#REF!</definedName>
    <definedName name="az" localSheetId="1">#REF!</definedName>
    <definedName name="az">#REF!</definedName>
    <definedName name="aza" localSheetId="1">#REF!</definedName>
    <definedName name="aza">#REF!</definedName>
    <definedName name="BE" localSheetId="16">#REF!</definedName>
    <definedName name="BE" localSheetId="21">#REF!</definedName>
    <definedName name="BE" localSheetId="1">#REF!</definedName>
    <definedName name="BE" localSheetId="0">#REF!</definedName>
    <definedName name="BE" localSheetId="15">#REF!</definedName>
    <definedName name="BE" localSheetId="5">#REF!</definedName>
    <definedName name="BE" localSheetId="2">#REF!</definedName>
    <definedName name="BE">#REF!</definedName>
    <definedName name="BEa" localSheetId="16">#REF!</definedName>
    <definedName name="BEa" localSheetId="1">#REF!</definedName>
    <definedName name="BEa" localSheetId="5">#REF!</definedName>
    <definedName name="BEa" localSheetId="2">#REF!</definedName>
    <definedName name="BEa">#REF!</definedName>
    <definedName name="bv" localSheetId="1">#REF!</definedName>
    <definedName name="bv" localSheetId="5">#REF!</definedName>
    <definedName name="bv">#REF!</definedName>
    <definedName name="bz" localSheetId="1">#REF!</definedName>
    <definedName name="bz">#REF!</definedName>
    <definedName name="bza" localSheetId="1">#REF!</definedName>
    <definedName name="bza">#REF!</definedName>
    <definedName name="DOC" localSheetId="16">#REF!</definedName>
    <definedName name="DOC" localSheetId="21">#REF!</definedName>
    <definedName name="DOC" localSheetId="1">#REF!</definedName>
    <definedName name="DOC" localSheetId="0">#REF!</definedName>
    <definedName name="DOC" localSheetId="15">#REF!</definedName>
    <definedName name="DOC" localSheetId="5">#REF!</definedName>
    <definedName name="DOC" localSheetId="2">#REF!</definedName>
    <definedName name="DOC">#REF!</definedName>
    <definedName name="DOCa" localSheetId="16">#REF!</definedName>
    <definedName name="DOCa" localSheetId="1">#REF!</definedName>
    <definedName name="DOCa" localSheetId="5">#REF!</definedName>
    <definedName name="DOCa" localSheetId="2">#REF!</definedName>
    <definedName name="DOCa">#REF!</definedName>
    <definedName name="docaz" localSheetId="1">#REF!</definedName>
    <definedName name="docaz">#REF!</definedName>
    <definedName name="docv" localSheetId="1">#REF!</definedName>
    <definedName name="docv" localSheetId="5">#REF!</definedName>
    <definedName name="docv">#REF!</definedName>
    <definedName name="docz" localSheetId="1">#REF!</definedName>
    <definedName name="docz">#REF!</definedName>
    <definedName name="ev" localSheetId="1">#REF!</definedName>
    <definedName name="ev" localSheetId="5">#REF!</definedName>
    <definedName name="ev">#REF!</definedName>
    <definedName name="EW" localSheetId="16">#REF!</definedName>
    <definedName name="EW" localSheetId="21">#REF!</definedName>
    <definedName name="EW" localSheetId="1">#REF!</definedName>
    <definedName name="EW" localSheetId="0">#REF!</definedName>
    <definedName name="EW" localSheetId="15">#REF!</definedName>
    <definedName name="EW" localSheetId="5">#REF!</definedName>
    <definedName name="EW" localSheetId="2">#REF!</definedName>
    <definedName name="EW">#REF!</definedName>
    <definedName name="EWa" localSheetId="16">#REF!</definedName>
    <definedName name="EWa" localSheetId="1">#REF!</definedName>
    <definedName name="EWa" localSheetId="5">#REF!</definedName>
    <definedName name="EWa" localSheetId="2">#REF!</definedName>
    <definedName name="EWa">#REF!</definedName>
    <definedName name="ewaz" localSheetId="1">#REF!</definedName>
    <definedName name="ewaz">#REF!</definedName>
    <definedName name="ez" localSheetId="1">#REF!</definedName>
    <definedName name="ez">#REF!</definedName>
    <definedName name="fixPlan" localSheetId="21">AtlasWaivers!$G$64:$G$68</definedName>
    <definedName name="fixPlan" localSheetId="1">AuroraWaiver!$G$64:$G$68</definedName>
    <definedName name="fixPlan">Waivers!$G$64:$G$68</definedName>
    <definedName name="TOC" localSheetId="0">RedZone!$A$2</definedName>
    <definedName name="TOC" localSheetId="15">RedZoneAtlas!$A$2</definedName>
    <definedName name="TOC" localSheetId="5">RedZoneAtlasMaint!$A$2</definedName>
    <definedName name="TOC" localSheetId="2">RedZoneAvitus!$A$2</definedName>
    <definedName name="TOC">RedZoneManchester!$A$2</definedName>
    <definedName name="top">'2weekIncoming'!$A$2</definedName>
    <definedName name="YZ">AtlasYellowZone!$A$17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0" i="27" l="1"/>
  <c r="C39" i="27"/>
  <c r="C38" i="27"/>
  <c r="C37" i="27"/>
  <c r="C36" i="27"/>
  <c r="C35" i="27"/>
  <c r="C34" i="27"/>
  <c r="C33" i="27"/>
  <c r="C32" i="27"/>
  <c r="C31" i="27"/>
  <c r="C30" i="27"/>
  <c r="C29" i="27"/>
  <c r="C28" i="27"/>
  <c r="C27" i="27"/>
  <c r="C26" i="27"/>
  <c r="C25" i="27"/>
  <c r="C24" i="27"/>
  <c r="C23" i="27"/>
  <c r="C22" i="27"/>
  <c r="C21" i="27"/>
  <c r="C20" i="27"/>
  <c r="C19" i="27"/>
  <c r="C18" i="27"/>
  <c r="C32" i="12" l="1"/>
  <c r="D28" i="11"/>
  <c r="D45" i="18"/>
  <c r="E76" i="5"/>
  <c r="A200" i="6"/>
  <c r="A200" i="23"/>
  <c r="B69" i="25"/>
  <c r="E100" i="22"/>
  <c r="E88" i="22"/>
  <c r="B35" i="30"/>
  <c r="D45" i="9"/>
  <c r="A264" i="32"/>
  <c r="E124" i="29"/>
  <c r="D117" i="29"/>
  <c r="E112" i="29"/>
  <c r="C69" i="24"/>
  <c r="A69" i="24"/>
  <c r="E124" i="27"/>
  <c r="D117" i="27"/>
  <c r="A116" i="27"/>
  <c r="E17" i="27"/>
  <c r="F16" i="27"/>
  <c r="D45" i="35"/>
  <c r="A45" i="35"/>
  <c r="E124" i="16"/>
  <c r="D117" i="16"/>
  <c r="A101" i="16"/>
  <c r="F16" i="16"/>
  <c r="B191" i="23" l="1"/>
  <c r="C35" i="22"/>
  <c r="B17" i="24"/>
  <c r="D151" i="29"/>
  <c r="A25" i="16"/>
  <c r="B58" i="27"/>
  <c r="B76" i="29"/>
  <c r="B9" i="8"/>
  <c r="B60" i="16"/>
  <c r="C33" i="22"/>
  <c r="C191" i="29"/>
  <c r="A77" i="23"/>
  <c r="A26" i="29"/>
  <c r="C203" i="29"/>
  <c r="C119" i="5"/>
  <c r="B139" i="6"/>
  <c r="A78" i="16"/>
  <c r="A119" i="23"/>
  <c r="A51" i="29"/>
  <c r="B42" i="23"/>
  <c r="G37" i="35"/>
  <c r="A103" i="27"/>
  <c r="A37" i="6"/>
  <c r="B120" i="6"/>
  <c r="E72" i="26"/>
  <c r="C166" i="29"/>
  <c r="B61" i="5"/>
  <c r="B28" i="24"/>
  <c r="E14" i="16"/>
  <c r="B38" i="16"/>
  <c r="E5" i="27"/>
  <c r="G4" i="9"/>
  <c r="C40" i="22"/>
  <c r="A63" i="29"/>
  <c r="E28" i="26"/>
  <c r="A67" i="6"/>
  <c r="B60" i="5"/>
  <c r="A67" i="16"/>
  <c r="B102" i="27"/>
  <c r="G5" i="9"/>
  <c r="A92" i="29"/>
  <c r="B41" i="24"/>
  <c r="D175" i="16"/>
  <c r="C66" i="25"/>
  <c r="B49" i="16"/>
  <c r="G29" i="35"/>
  <c r="B67" i="22"/>
  <c r="B94" i="16"/>
  <c r="B43" i="29"/>
  <c r="C55" i="25"/>
  <c r="A92" i="16"/>
  <c r="B74" i="27"/>
  <c r="B48" i="16"/>
  <c r="E11" i="26"/>
  <c r="A67" i="29"/>
  <c r="C52" i="25"/>
  <c r="C35" i="25"/>
  <c r="A173" i="6"/>
  <c r="A25" i="30"/>
  <c r="B95" i="29"/>
  <c r="A189" i="6"/>
  <c r="C20" i="29"/>
  <c r="A56" i="27"/>
  <c r="B94" i="23"/>
  <c r="C137" i="22"/>
  <c r="D194" i="16"/>
  <c r="C188" i="29"/>
  <c r="B97" i="27"/>
  <c r="A66" i="16"/>
  <c r="C36" i="5"/>
  <c r="B78" i="6"/>
  <c r="G8" i="9"/>
  <c r="B31" i="5"/>
  <c r="B41" i="29"/>
  <c r="A24" i="5"/>
  <c r="G3" i="18"/>
  <c r="C132" i="29"/>
  <c r="A25" i="29"/>
  <c r="A34" i="5"/>
  <c r="B72" i="29"/>
  <c r="B117" i="23"/>
  <c r="A174" i="23"/>
  <c r="G22" i="18"/>
  <c r="A33" i="22"/>
  <c r="B63" i="24"/>
  <c r="E37" i="26"/>
  <c r="E7" i="26"/>
  <c r="G59" i="9"/>
  <c r="A32" i="30"/>
  <c r="B33" i="29"/>
  <c r="B21" i="6"/>
  <c r="B103" i="27"/>
  <c r="B39" i="23"/>
  <c r="A41" i="5"/>
  <c r="B26" i="27"/>
  <c r="G39" i="35"/>
  <c r="C132" i="22"/>
  <c r="B73" i="22"/>
  <c r="A39" i="27"/>
  <c r="B47" i="29"/>
  <c r="B25" i="16"/>
  <c r="B121" i="23"/>
  <c r="B107" i="23"/>
  <c r="A23" i="16"/>
  <c r="D126" i="16"/>
  <c r="C31" i="5"/>
  <c r="A46" i="23"/>
  <c r="B60" i="6"/>
  <c r="D187" i="29"/>
  <c r="A37" i="25"/>
  <c r="B156" i="6"/>
  <c r="D180" i="29"/>
  <c r="G11" i="9"/>
  <c r="D172" i="29"/>
  <c r="D161" i="16"/>
  <c r="D168" i="29"/>
  <c r="B110" i="23"/>
  <c r="B64" i="24"/>
  <c r="B61" i="16"/>
  <c r="B89" i="6"/>
  <c r="B30" i="24"/>
  <c r="B75" i="29"/>
  <c r="G10" i="18"/>
  <c r="A179" i="23"/>
  <c r="B48" i="6"/>
  <c r="B45" i="23"/>
  <c r="B172" i="6"/>
  <c r="B37" i="29"/>
  <c r="G6" i="35"/>
  <c r="C26" i="22"/>
  <c r="B166" i="23"/>
  <c r="B125" i="23"/>
  <c r="A30" i="25"/>
  <c r="B161" i="6"/>
  <c r="G17" i="18"/>
  <c r="C156" i="31"/>
  <c r="B143" i="6"/>
  <c r="C177" i="29"/>
  <c r="E53" i="26"/>
  <c r="A51" i="23"/>
  <c r="B80" i="16"/>
  <c r="C29" i="5"/>
  <c r="B69" i="16"/>
  <c r="B115" i="23"/>
  <c r="C20" i="5"/>
  <c r="A142" i="6"/>
  <c r="A87" i="27"/>
  <c r="E4" i="16"/>
  <c r="B20" i="6"/>
  <c r="G15" i="18"/>
  <c r="A124" i="23"/>
  <c r="A34" i="16"/>
  <c r="A153" i="6"/>
  <c r="G25" i="9"/>
  <c r="D143" i="16"/>
  <c r="C29" i="25"/>
  <c r="D195" i="29"/>
  <c r="B156" i="23"/>
  <c r="A31" i="16"/>
  <c r="B49" i="6"/>
  <c r="B33" i="16"/>
  <c r="A95" i="23"/>
  <c r="B40" i="24"/>
  <c r="A35" i="23"/>
  <c r="A4" i="30"/>
  <c r="B86" i="23"/>
  <c r="B68" i="23"/>
  <c r="B67" i="24"/>
  <c r="E70" i="26"/>
  <c r="D187" i="27"/>
  <c r="D190" i="16"/>
  <c r="G85" i="35"/>
  <c r="B61" i="27"/>
  <c r="B43" i="6"/>
  <c r="A64" i="6"/>
  <c r="B2" i="24"/>
  <c r="E3" i="15"/>
  <c r="A93" i="29"/>
  <c r="B102" i="6"/>
  <c r="A175" i="23"/>
  <c r="C41" i="25"/>
  <c r="G33" i="35"/>
  <c r="B65" i="27"/>
  <c r="A68" i="27"/>
  <c r="A50" i="27"/>
  <c r="D145" i="27"/>
  <c r="A59" i="16"/>
  <c r="B169" i="6"/>
  <c r="A123" i="6"/>
  <c r="B94" i="27"/>
  <c r="A60" i="25"/>
  <c r="B58" i="24"/>
  <c r="B185" i="23"/>
  <c r="A52" i="6"/>
  <c r="A25" i="6"/>
  <c r="B42" i="22"/>
  <c r="B54" i="16"/>
  <c r="A163" i="31"/>
  <c r="B43" i="22"/>
  <c r="A84" i="23"/>
  <c r="C58" i="25"/>
  <c r="C160" i="31"/>
  <c r="B77" i="29"/>
  <c r="A138" i="6"/>
  <c r="A5" i="30"/>
  <c r="B170" i="6"/>
  <c r="A32" i="23"/>
  <c r="D142" i="16"/>
  <c r="B37" i="24"/>
  <c r="A47" i="16"/>
  <c r="E27" i="26"/>
  <c r="A144" i="6"/>
  <c r="B155" i="23"/>
  <c r="B122" i="6"/>
  <c r="E38" i="26"/>
  <c r="A161" i="23"/>
  <c r="A34" i="23"/>
  <c r="A35" i="22"/>
  <c r="B164" i="6"/>
  <c r="A182" i="23"/>
  <c r="A91" i="27"/>
  <c r="B137" i="23"/>
  <c r="B49" i="5"/>
  <c r="B186" i="23"/>
  <c r="A82" i="29"/>
  <c r="B65" i="23"/>
  <c r="B190" i="23"/>
  <c r="A125" i="23"/>
  <c r="B39" i="5"/>
  <c r="E31" i="26"/>
  <c r="D154" i="16"/>
  <c r="A48" i="27"/>
  <c r="B95" i="27"/>
  <c r="A33" i="27"/>
  <c r="G41" i="35"/>
  <c r="B32" i="29"/>
  <c r="B96" i="16"/>
  <c r="D129" i="16"/>
  <c r="B89" i="16"/>
  <c r="A52" i="27"/>
  <c r="A73" i="29"/>
  <c r="D132" i="29"/>
  <c r="A107" i="6"/>
  <c r="A143" i="23"/>
  <c r="A76" i="27"/>
  <c r="E4" i="27"/>
  <c r="D141" i="29"/>
  <c r="C16" i="25"/>
  <c r="A170" i="6"/>
  <c r="C19" i="22"/>
  <c r="G28" i="9"/>
  <c r="A34" i="27"/>
  <c r="B136" i="23"/>
  <c r="A89" i="29"/>
  <c r="D177" i="16"/>
  <c r="C143" i="29"/>
  <c r="D140" i="29"/>
  <c r="B66" i="27"/>
  <c r="A21" i="27"/>
  <c r="A184" i="23"/>
  <c r="A72" i="29"/>
  <c r="B12" i="16"/>
  <c r="B193" i="6"/>
  <c r="B44" i="29"/>
  <c r="A43" i="22"/>
  <c r="B28" i="23"/>
  <c r="B87" i="6"/>
  <c r="E7" i="27"/>
  <c r="B152" i="23"/>
  <c r="A95" i="6"/>
  <c r="B21" i="22"/>
  <c r="A55" i="27"/>
  <c r="D194" i="27"/>
  <c r="B193" i="23"/>
  <c r="B101" i="27"/>
  <c r="A72" i="27"/>
  <c r="C121" i="5"/>
  <c r="G60" i="9"/>
  <c r="D8" i="11"/>
  <c r="A29" i="5"/>
  <c r="A175" i="6"/>
  <c r="B112" i="23"/>
  <c r="C42" i="25"/>
  <c r="A50" i="29"/>
  <c r="B19" i="5"/>
  <c r="A38" i="6"/>
  <c r="B72" i="22"/>
  <c r="G18" i="35"/>
  <c r="C45" i="22"/>
  <c r="B51" i="6"/>
  <c r="B31" i="24"/>
  <c r="B50" i="29"/>
  <c r="C30" i="22"/>
  <c r="B59" i="23"/>
  <c r="C47" i="25"/>
  <c r="C155" i="22"/>
  <c r="A31" i="30"/>
  <c r="B68" i="27"/>
  <c r="D193" i="29"/>
  <c r="D150" i="29"/>
  <c r="D153" i="29"/>
  <c r="B65" i="22"/>
  <c r="A48" i="5"/>
  <c r="B43" i="24"/>
  <c r="C136" i="29"/>
  <c r="A75" i="16"/>
  <c r="B79" i="23"/>
  <c r="D185" i="16"/>
  <c r="A147" i="23"/>
  <c r="A40" i="5"/>
  <c r="B36" i="6"/>
  <c r="B49" i="29"/>
  <c r="B151" i="6"/>
  <c r="B116" i="6"/>
  <c r="B34" i="5"/>
  <c r="B47" i="23"/>
  <c r="B149" i="23"/>
  <c r="A101" i="6"/>
  <c r="A39" i="6"/>
  <c r="B24" i="27"/>
  <c r="B57" i="5"/>
  <c r="D143" i="27"/>
  <c r="A41" i="23"/>
  <c r="C173" i="29"/>
  <c r="B194" i="6"/>
  <c r="A29" i="16"/>
  <c r="A53" i="23"/>
  <c r="A131" i="6"/>
  <c r="A177" i="6"/>
  <c r="A148" i="23"/>
  <c r="B168" i="23"/>
  <c r="A61" i="6"/>
  <c r="A83" i="23"/>
  <c r="B43" i="5"/>
  <c r="A77" i="29"/>
  <c r="B75" i="27"/>
  <c r="B123" i="6"/>
  <c r="C180" i="29"/>
  <c r="B86" i="27"/>
  <c r="A66" i="29"/>
  <c r="B34" i="27"/>
  <c r="B26" i="22"/>
  <c r="A46" i="27"/>
  <c r="A31" i="6"/>
  <c r="B54" i="22"/>
  <c r="A97" i="29"/>
  <c r="A61" i="16"/>
  <c r="A127" i="6"/>
  <c r="C28" i="25"/>
  <c r="C3" i="25"/>
  <c r="A166" i="6"/>
  <c r="B151" i="23"/>
  <c r="B139" i="23"/>
  <c r="D200" i="27"/>
  <c r="A80" i="27"/>
  <c r="D199" i="27"/>
  <c r="C63" i="25"/>
  <c r="D192" i="16"/>
  <c r="A87" i="29"/>
  <c r="B91" i="29"/>
  <c r="B114" i="6"/>
  <c r="B44" i="5"/>
  <c r="G33" i="9"/>
  <c r="B27" i="24"/>
  <c r="B91" i="23"/>
  <c r="D197" i="27"/>
  <c r="D166" i="16"/>
  <c r="B99" i="27"/>
  <c r="A67" i="25"/>
  <c r="B61" i="24"/>
  <c r="B55" i="6"/>
  <c r="D131" i="29"/>
  <c r="A31" i="27"/>
  <c r="A186" i="23"/>
  <c r="C179" i="29"/>
  <c r="B60" i="27"/>
  <c r="D156" i="16"/>
  <c r="A45" i="5"/>
  <c r="B31" i="29"/>
  <c r="A130" i="6"/>
  <c r="B57" i="23"/>
  <c r="B76" i="6"/>
  <c r="D5" i="11"/>
  <c r="B76" i="27"/>
  <c r="B18" i="24"/>
  <c r="D132" i="16"/>
  <c r="C27" i="25"/>
  <c r="B162" i="6"/>
  <c r="C133" i="22"/>
  <c r="A22" i="5"/>
  <c r="D146" i="16"/>
  <c r="G31" i="18"/>
  <c r="B73" i="23"/>
  <c r="A143" i="6"/>
  <c r="B185" i="6"/>
  <c r="A139" i="23"/>
  <c r="B80" i="29"/>
  <c r="E26" i="26"/>
  <c r="B63" i="27"/>
  <c r="B56" i="23"/>
  <c r="D159" i="16"/>
  <c r="D158" i="29"/>
  <c r="A68" i="23"/>
  <c r="C152" i="29"/>
  <c r="C22" i="29"/>
  <c r="B19" i="6"/>
  <c r="A68" i="16"/>
  <c r="C170" i="29"/>
  <c r="B27" i="5"/>
  <c r="B30" i="6"/>
  <c r="C24" i="5"/>
  <c r="A49" i="23"/>
  <c r="A79" i="16"/>
  <c r="D197" i="16"/>
  <c r="C160" i="29"/>
  <c r="B37" i="5"/>
  <c r="A181" i="23"/>
  <c r="C117" i="5"/>
  <c r="A29" i="6"/>
  <c r="A46" i="29"/>
  <c r="D183" i="27"/>
  <c r="A149" i="23"/>
  <c r="B4" i="24"/>
  <c r="B138" i="6"/>
  <c r="C139" i="29"/>
  <c r="A41" i="25"/>
  <c r="A80" i="6"/>
  <c r="D159" i="29"/>
  <c r="A161" i="6"/>
  <c r="G58" i="9"/>
  <c r="C38" i="5"/>
  <c r="C176" i="29"/>
  <c r="A60" i="6"/>
  <c r="B77" i="23"/>
  <c r="A65" i="16"/>
  <c r="A61" i="5"/>
  <c r="D165" i="16"/>
  <c r="C19" i="5"/>
  <c r="A163" i="23"/>
  <c r="D189" i="16"/>
  <c r="B4" i="8"/>
  <c r="E13" i="16"/>
  <c r="A31" i="5"/>
  <c r="B26" i="29"/>
  <c r="D137" i="29"/>
  <c r="G19" i="18"/>
  <c r="D164" i="16"/>
  <c r="A71" i="27"/>
  <c r="A133" i="6"/>
  <c r="C134" i="29"/>
  <c r="D196" i="27"/>
  <c r="G26" i="35"/>
  <c r="A83" i="29"/>
  <c r="B89" i="29"/>
  <c r="A26" i="6"/>
  <c r="A24" i="30"/>
  <c r="A172" i="23"/>
  <c r="B96" i="23"/>
  <c r="C19" i="29"/>
  <c r="D127" i="29"/>
  <c r="C156" i="29"/>
  <c r="E36" i="26"/>
  <c r="A19" i="29"/>
  <c r="B75" i="16"/>
  <c r="D182" i="29"/>
  <c r="C44" i="22"/>
  <c r="D153" i="27"/>
  <c r="G41" i="18"/>
  <c r="A25" i="5"/>
  <c r="B129" i="6"/>
  <c r="A39" i="22"/>
  <c r="B66" i="24"/>
  <c r="G39" i="18"/>
  <c r="E5" i="26"/>
  <c r="B133" i="6"/>
  <c r="A113" i="6"/>
  <c r="A190" i="6"/>
  <c r="B20" i="16"/>
  <c r="B61" i="6"/>
  <c r="G55" i="35"/>
  <c r="B71" i="27"/>
  <c r="B12" i="24"/>
  <c r="E9" i="16"/>
  <c r="A178" i="23"/>
  <c r="D142" i="29"/>
  <c r="C40" i="25"/>
  <c r="A44" i="22"/>
  <c r="A152" i="31"/>
  <c r="A37" i="27"/>
  <c r="B18" i="23"/>
  <c r="D195" i="16"/>
  <c r="B59" i="16"/>
  <c r="D172" i="27"/>
  <c r="A86" i="27"/>
  <c r="A107" i="27"/>
  <c r="A65" i="6"/>
  <c r="D170" i="29"/>
  <c r="A88" i="27"/>
  <c r="A48" i="22"/>
  <c r="B25" i="6"/>
  <c r="C23" i="29"/>
  <c r="D192" i="27"/>
  <c r="B25" i="5"/>
  <c r="B46" i="23"/>
  <c r="D164" i="27"/>
  <c r="B88" i="29"/>
  <c r="B109" i="23"/>
  <c r="A41" i="29"/>
  <c r="A12" i="30"/>
  <c r="A87" i="16"/>
  <c r="A22" i="30"/>
  <c r="A74" i="27"/>
  <c r="D188" i="29"/>
  <c r="A75" i="23"/>
  <c r="A109" i="27"/>
  <c r="D148" i="29"/>
  <c r="A37" i="22"/>
  <c r="C155" i="29"/>
  <c r="D169" i="29"/>
  <c r="A193" i="23"/>
  <c r="B21" i="5"/>
  <c r="B86" i="29"/>
  <c r="A65" i="27"/>
  <c r="E46" i="26"/>
  <c r="B42" i="29"/>
  <c r="B35" i="23"/>
  <c r="B19" i="16"/>
  <c r="A90" i="29"/>
  <c r="B6" i="8"/>
  <c r="B162" i="23"/>
  <c r="B92" i="29"/>
  <c r="B49" i="22"/>
  <c r="A52" i="16"/>
  <c r="E9" i="15"/>
  <c r="B36" i="24"/>
  <c r="D7" i="11"/>
  <c r="A49" i="5"/>
  <c r="B19" i="27"/>
  <c r="A104" i="23"/>
  <c r="A35" i="27"/>
  <c r="C161" i="29"/>
  <c r="A68" i="6"/>
  <c r="A105" i="27"/>
  <c r="A66" i="27"/>
  <c r="B46" i="29"/>
  <c r="B119" i="6"/>
  <c r="A145" i="23"/>
  <c r="B37" i="23"/>
  <c r="A27" i="16"/>
  <c r="D180" i="27"/>
  <c r="B13" i="27"/>
  <c r="C61" i="25"/>
  <c r="A26" i="23"/>
  <c r="A49" i="22"/>
  <c r="A180" i="23"/>
  <c r="A57" i="22"/>
  <c r="A182" i="6"/>
  <c r="C32" i="5"/>
  <c r="A22" i="22"/>
  <c r="A124" i="6"/>
  <c r="B5" i="16"/>
  <c r="E40" i="26"/>
  <c r="E6" i="16"/>
  <c r="A157" i="23"/>
  <c r="B22" i="6"/>
  <c r="B6" i="24"/>
  <c r="G55" i="9"/>
  <c r="C20" i="25"/>
  <c r="A141" i="23"/>
  <c r="B68" i="29"/>
  <c r="D144" i="16"/>
  <c r="B23" i="5"/>
  <c r="B35" i="16"/>
  <c r="A21" i="22"/>
  <c r="E4" i="15"/>
  <c r="C64" i="25"/>
  <c r="A60" i="29"/>
  <c r="B56" i="22"/>
  <c r="B16" i="16"/>
  <c r="B56" i="6"/>
  <c r="G2" i="18"/>
  <c r="A16" i="30"/>
  <c r="D185" i="29"/>
  <c r="A42" i="16"/>
  <c r="G30" i="9"/>
  <c r="A100" i="27"/>
  <c r="B84" i="23"/>
  <c r="B111" i="6"/>
  <c r="A92" i="27"/>
  <c r="B39" i="16"/>
  <c r="B55" i="29"/>
  <c r="B78" i="16"/>
  <c r="A28" i="27"/>
  <c r="B93" i="6"/>
  <c r="A74" i="29"/>
  <c r="C137" i="29"/>
  <c r="A140" i="6"/>
  <c r="D189" i="29"/>
  <c r="C178" i="29"/>
  <c r="B22" i="24"/>
  <c r="G19" i="35"/>
  <c r="B46" i="6"/>
  <c r="B65" i="29"/>
  <c r="B130" i="6"/>
  <c r="C169" i="29"/>
  <c r="C140" i="29"/>
  <c r="E29" i="26"/>
  <c r="D168" i="16"/>
  <c r="A116" i="6"/>
  <c r="A120" i="23"/>
  <c r="A73" i="27"/>
  <c r="B140" i="23"/>
  <c r="A62" i="23"/>
  <c r="B56" i="5"/>
  <c r="G8" i="18"/>
  <c r="B55" i="24"/>
  <c r="D178" i="16"/>
  <c r="C175" i="29"/>
  <c r="B99" i="6"/>
  <c r="B62" i="22"/>
  <c r="B30" i="23"/>
  <c r="D171" i="27"/>
  <c r="E6" i="15"/>
  <c r="B172" i="23"/>
  <c r="C22" i="25"/>
  <c r="C26" i="25"/>
  <c r="C128" i="5"/>
  <c r="B29" i="16"/>
  <c r="A94" i="29"/>
  <c r="A102" i="27"/>
  <c r="D181" i="27"/>
  <c r="D181" i="29"/>
  <c r="B27" i="6"/>
  <c r="A27" i="5"/>
  <c r="B11" i="24"/>
  <c r="B78" i="27"/>
  <c r="B18" i="16"/>
  <c r="E9" i="26"/>
  <c r="B50" i="5"/>
  <c r="A61" i="27"/>
  <c r="A55" i="6"/>
  <c r="A82" i="23"/>
  <c r="A23" i="22"/>
  <c r="B112" i="6"/>
  <c r="B14" i="24"/>
  <c r="A74" i="6"/>
  <c r="A38" i="23"/>
  <c r="D151" i="27"/>
  <c r="C34" i="5"/>
  <c r="B81" i="23"/>
  <c r="C26" i="5"/>
  <c r="G23" i="9"/>
  <c r="A140" i="23"/>
  <c r="A38" i="29"/>
  <c r="D189" i="27"/>
  <c r="B22" i="27"/>
  <c r="C162" i="31"/>
  <c r="B143" i="23"/>
  <c r="A160" i="6"/>
  <c r="D160" i="27"/>
  <c r="A91" i="16"/>
  <c r="B20" i="27"/>
  <c r="D152" i="27"/>
  <c r="B80" i="6"/>
  <c r="B78" i="23"/>
  <c r="C22" i="22"/>
  <c r="D148" i="27"/>
  <c r="B77" i="16"/>
  <c r="B35" i="22"/>
  <c r="B8" i="24"/>
  <c r="A117" i="6"/>
  <c r="A30" i="27"/>
  <c r="B180" i="23"/>
  <c r="E64" i="26"/>
  <c r="C97" i="29"/>
  <c r="E79" i="26"/>
  <c r="A88" i="29"/>
  <c r="D152" i="29"/>
  <c r="A74" i="16"/>
  <c r="B46" i="16"/>
  <c r="B42" i="6"/>
  <c r="E10" i="26"/>
  <c r="A51" i="16"/>
  <c r="B27" i="29"/>
  <c r="E12" i="27"/>
  <c r="A98" i="23"/>
  <c r="D156" i="29"/>
  <c r="A25" i="23"/>
  <c r="B93" i="27"/>
  <c r="A84" i="16"/>
  <c r="A164" i="23"/>
  <c r="A18" i="29"/>
  <c r="A43" i="27"/>
  <c r="A13" i="30"/>
  <c r="A121" i="6"/>
  <c r="A55" i="23"/>
  <c r="B36" i="16"/>
  <c r="A85" i="16"/>
  <c r="B70" i="29"/>
  <c r="A109" i="6"/>
  <c r="D168" i="27"/>
  <c r="B31" i="16"/>
  <c r="E14" i="26"/>
  <c r="A61" i="22"/>
  <c r="B108" i="27"/>
  <c r="C130" i="29"/>
  <c r="B24" i="16"/>
  <c r="B77" i="6"/>
  <c r="A98" i="27"/>
  <c r="B173" i="23"/>
  <c r="B188" i="6"/>
  <c r="A136" i="6"/>
  <c r="G23" i="18"/>
  <c r="A103" i="23"/>
  <c r="C201" i="29"/>
  <c r="B72" i="16"/>
  <c r="E73" i="26"/>
  <c r="D160" i="29"/>
  <c r="B89" i="23"/>
  <c r="E21" i="26"/>
  <c r="C33" i="5"/>
  <c r="B27" i="23"/>
  <c r="A28" i="16"/>
  <c r="B177" i="6"/>
  <c r="B28" i="6"/>
  <c r="A57" i="6"/>
  <c r="B14" i="27"/>
  <c r="C59" i="25"/>
  <c r="B18" i="5"/>
  <c r="B101" i="23"/>
  <c r="G30" i="35"/>
  <c r="A165" i="23"/>
  <c r="B93" i="29"/>
  <c r="G6" i="18"/>
  <c r="A9" i="30"/>
  <c r="D157" i="16"/>
  <c r="B58" i="6"/>
  <c r="C123" i="5"/>
  <c r="A19" i="30"/>
  <c r="A33" i="6"/>
  <c r="B133" i="23"/>
  <c r="A96" i="29"/>
  <c r="B61" i="29"/>
  <c r="A41" i="22"/>
  <c r="A85" i="27"/>
  <c r="E75" i="26"/>
  <c r="C37" i="25"/>
  <c r="G12" i="18"/>
  <c r="B50" i="27"/>
  <c r="B175" i="23"/>
  <c r="A195" i="23"/>
  <c r="B51" i="16"/>
  <c r="B32" i="23"/>
  <c r="B166" i="6"/>
  <c r="B46" i="24"/>
  <c r="B23" i="27"/>
  <c r="A132" i="23"/>
  <c r="A46" i="16"/>
  <c r="D144" i="27"/>
  <c r="A149" i="6"/>
  <c r="C25" i="22"/>
  <c r="A40" i="22"/>
  <c r="C28" i="22"/>
  <c r="C120" i="5"/>
  <c r="B26" i="23"/>
  <c r="A135" i="6"/>
  <c r="A171" i="23"/>
  <c r="B105" i="6"/>
  <c r="D198" i="29"/>
  <c r="E48" i="26"/>
  <c r="D187" i="16"/>
  <c r="B20" i="23"/>
  <c r="A106" i="6"/>
  <c r="B167" i="23"/>
  <c r="A42" i="23"/>
  <c r="B31" i="22"/>
  <c r="A24" i="22"/>
  <c r="G21" i="35"/>
  <c r="A35" i="5"/>
  <c r="A62" i="29"/>
  <c r="A27" i="25"/>
  <c r="D195" i="27"/>
  <c r="A35" i="25"/>
  <c r="A22" i="29"/>
  <c r="A19" i="22"/>
  <c r="D198" i="27"/>
  <c r="E16" i="26"/>
  <c r="C10" i="25"/>
  <c r="E24" i="26"/>
  <c r="B13" i="8"/>
  <c r="B31" i="23"/>
  <c r="B52" i="5"/>
  <c r="B63" i="6"/>
  <c r="D167" i="27"/>
  <c r="A22" i="16"/>
  <c r="A39" i="29"/>
  <c r="A61" i="23"/>
  <c r="A24" i="23"/>
  <c r="A14" i="30"/>
  <c r="A71" i="23"/>
  <c r="A43" i="25"/>
  <c r="A27" i="27"/>
  <c r="B128" i="23"/>
  <c r="B48" i="23"/>
  <c r="A136" i="23"/>
  <c r="G34" i="9"/>
  <c r="B44" i="24"/>
  <c r="B68" i="6"/>
  <c r="A34" i="6"/>
  <c r="D169" i="27"/>
  <c r="A68" i="29"/>
  <c r="C42" i="22"/>
  <c r="A194" i="23"/>
  <c r="B173" i="6"/>
  <c r="C60" i="25"/>
  <c r="D182" i="27"/>
  <c r="C158" i="29"/>
  <c r="G16" i="35"/>
  <c r="B16" i="8"/>
  <c r="C44" i="25"/>
  <c r="C35" i="5"/>
  <c r="D149" i="29"/>
  <c r="B41" i="16"/>
  <c r="A42" i="6"/>
  <c r="B184" i="23"/>
  <c r="G17" i="9"/>
  <c r="A82" i="16"/>
  <c r="B66" i="22"/>
  <c r="C118" i="5"/>
  <c r="C32" i="25"/>
  <c r="B103" i="6"/>
  <c r="A86" i="29"/>
  <c r="A23" i="29"/>
  <c r="B26" i="5"/>
  <c r="B131" i="23"/>
  <c r="B52" i="23"/>
  <c r="C145" i="29"/>
  <c r="B11" i="16"/>
  <c r="B1" i="23"/>
  <c r="B97" i="6"/>
  <c r="A103" i="6"/>
  <c r="C131" i="5"/>
  <c r="C61" i="5" s="1"/>
  <c r="A83" i="6"/>
  <c r="A18" i="27"/>
  <c r="C193" i="29"/>
  <c r="A73" i="22"/>
  <c r="A150" i="31"/>
  <c r="A22" i="6"/>
  <c r="A178" i="6"/>
  <c r="B121" i="6"/>
  <c r="A111" i="23"/>
  <c r="B109" i="6"/>
  <c r="A56" i="16"/>
  <c r="B50" i="23"/>
  <c r="A75" i="27"/>
  <c r="C27" i="22"/>
  <c r="C4" i="25"/>
  <c r="D197" i="29"/>
  <c r="D193" i="27"/>
  <c r="A24" i="6"/>
  <c r="G36" i="35"/>
  <c r="B15" i="8"/>
  <c r="A94" i="16"/>
  <c r="B108" i="23"/>
  <c r="G40" i="35"/>
  <c r="B64" i="29"/>
  <c r="B1" i="16"/>
  <c r="A162" i="23"/>
  <c r="A36" i="22"/>
  <c r="B54" i="23"/>
  <c r="B165" i="6"/>
  <c r="B67" i="23"/>
  <c r="A91" i="29"/>
  <c r="D174" i="29"/>
  <c r="B103" i="23"/>
  <c r="D125" i="16"/>
  <c r="B53" i="27"/>
  <c r="D177" i="27"/>
  <c r="B104" i="27"/>
  <c r="B17" i="8"/>
  <c r="A45" i="23"/>
  <c r="B58" i="16"/>
  <c r="B91" i="16"/>
  <c r="A128" i="23"/>
  <c r="A135" i="23"/>
  <c r="B82" i="27"/>
  <c r="C22" i="5"/>
  <c r="B120" i="23"/>
  <c r="A38" i="27"/>
  <c r="D158" i="16"/>
  <c r="C162" i="29"/>
  <c r="B69" i="6"/>
  <c r="B34" i="16"/>
  <c r="A37" i="29"/>
  <c r="E5" i="16"/>
  <c r="B63" i="23"/>
  <c r="B55" i="27"/>
  <c r="A158" i="31"/>
  <c r="A66" i="25"/>
  <c r="G9" i="18"/>
  <c r="A28" i="6"/>
  <c r="A69" i="29"/>
  <c r="D173" i="27"/>
  <c r="A6" i="30"/>
  <c r="A62" i="22"/>
  <c r="A102" i="23"/>
  <c r="D156" i="27"/>
  <c r="A21" i="29"/>
  <c r="A87" i="6"/>
  <c r="B78" i="29"/>
  <c r="B32" i="22"/>
  <c r="B134" i="23"/>
  <c r="A58" i="5"/>
  <c r="D157" i="29"/>
  <c r="A89" i="23"/>
  <c r="B169" i="23"/>
  <c r="B92" i="6"/>
  <c r="A40" i="6"/>
  <c r="G57" i="9"/>
  <c r="B32" i="16"/>
  <c r="A37" i="5"/>
  <c r="A95" i="27"/>
  <c r="B22" i="16"/>
  <c r="B36" i="23"/>
  <c r="A51" i="22"/>
  <c r="A97" i="27"/>
  <c r="B29" i="5"/>
  <c r="B50" i="22"/>
  <c r="C155" i="31"/>
  <c r="B37" i="27"/>
  <c r="B126" i="23"/>
  <c r="B81" i="6"/>
  <c r="G36" i="9"/>
  <c r="B74" i="6"/>
  <c r="B22" i="29"/>
  <c r="G24" i="9"/>
  <c r="B56" i="27"/>
  <c r="B34" i="29"/>
  <c r="A47" i="5"/>
  <c r="A96" i="27"/>
  <c r="B45" i="5"/>
  <c r="C43" i="22"/>
  <c r="A32" i="6"/>
  <c r="A36" i="27"/>
  <c r="B167" i="6"/>
  <c r="A64" i="23"/>
  <c r="B5" i="27"/>
  <c r="G26" i="9"/>
  <c r="D184" i="29"/>
  <c r="A93" i="6"/>
  <c r="B6" i="16"/>
  <c r="B28" i="16"/>
  <c r="C142" i="29"/>
  <c r="B57" i="29"/>
  <c r="E8" i="16"/>
  <c r="A78" i="29"/>
  <c r="D194" i="29"/>
  <c r="E55" i="26"/>
  <c r="C39" i="22"/>
  <c r="E23" i="26"/>
  <c r="A56" i="25"/>
  <c r="A93" i="27"/>
  <c r="A56" i="6"/>
  <c r="A76" i="16"/>
  <c r="B74" i="23"/>
  <c r="B83" i="29"/>
  <c r="B97" i="23"/>
  <c r="A20" i="5"/>
  <c r="B68" i="24"/>
  <c r="A31" i="22"/>
  <c r="A81" i="23"/>
  <c r="A70" i="22"/>
  <c r="B15" i="16"/>
  <c r="D145" i="16"/>
  <c r="E42" i="26"/>
  <c r="D128" i="29"/>
  <c r="D160" i="16"/>
  <c r="B21" i="24"/>
  <c r="C6" i="25"/>
  <c r="A54" i="5"/>
  <c r="D166" i="27"/>
  <c r="B98" i="27"/>
  <c r="B70" i="23"/>
  <c r="A68" i="22"/>
  <c r="A28" i="30"/>
  <c r="A63" i="27"/>
  <c r="B135" i="23"/>
  <c r="E74" i="26"/>
  <c r="B24" i="22"/>
  <c r="B83" i="27"/>
  <c r="A60" i="27"/>
  <c r="D166" i="29"/>
  <c r="A80" i="16"/>
  <c r="D155" i="29"/>
  <c r="B24" i="5"/>
  <c r="D186" i="29"/>
  <c r="A81" i="27"/>
  <c r="A128" i="6"/>
  <c r="B39" i="6"/>
  <c r="A34" i="22"/>
  <c r="A62" i="16"/>
  <c r="A29" i="22"/>
  <c r="A104" i="6"/>
  <c r="B64" i="6"/>
  <c r="A77" i="16"/>
  <c r="A196" i="23"/>
  <c r="A47" i="22"/>
  <c r="A24" i="16"/>
  <c r="B158" i="6"/>
  <c r="A24" i="27"/>
  <c r="C19" i="25"/>
  <c r="A115" i="23"/>
  <c r="A44" i="27"/>
  <c r="A7" i="30"/>
  <c r="A18" i="30"/>
  <c r="G3" i="35"/>
  <c r="A166" i="23"/>
  <c r="B83" i="6"/>
  <c r="E35" i="26"/>
  <c r="B74" i="29"/>
  <c r="B182" i="23"/>
  <c r="B26" i="16"/>
  <c r="C34" i="25"/>
  <c r="A88" i="16"/>
  <c r="A97" i="16"/>
  <c r="D139" i="29"/>
  <c r="C24" i="25"/>
  <c r="A43" i="23"/>
  <c r="B27" i="27"/>
  <c r="A54" i="16"/>
  <c r="D133" i="16"/>
  <c r="B85" i="6"/>
  <c r="A27" i="6"/>
  <c r="A18" i="23"/>
  <c r="A118" i="23"/>
  <c r="B49" i="24"/>
  <c r="A155" i="6"/>
  <c r="A41" i="6"/>
  <c r="G14" i="35"/>
  <c r="B10" i="24"/>
  <c r="D164" i="29"/>
  <c r="C85" i="29"/>
  <c r="A63" i="6"/>
  <c r="A54" i="27"/>
  <c r="A35" i="6"/>
  <c r="B18" i="6"/>
  <c r="A24" i="25"/>
  <c r="B65" i="6"/>
  <c r="B125" i="6"/>
  <c r="B82" i="23"/>
  <c r="C31" i="25"/>
  <c r="A21" i="23"/>
  <c r="B197" i="23"/>
  <c r="C157" i="31"/>
  <c r="B113" i="6"/>
  <c r="B29" i="22"/>
  <c r="B129" i="23"/>
  <c r="B57" i="16"/>
  <c r="A63" i="25"/>
  <c r="G35" i="35"/>
  <c r="C186" i="29"/>
  <c r="B154" i="6"/>
  <c r="B59" i="27"/>
  <c r="A177" i="23"/>
  <c r="B178" i="6"/>
  <c r="A40" i="29"/>
  <c r="A34" i="29"/>
  <c r="A66" i="23"/>
  <c r="C131" i="29"/>
  <c r="D134" i="29"/>
  <c r="B171" i="23"/>
  <c r="B21" i="29"/>
  <c r="A30" i="22"/>
  <c r="B43" i="16"/>
  <c r="B10" i="8"/>
  <c r="B182" i="6"/>
  <c r="A42" i="22"/>
  <c r="D145" i="29"/>
  <c r="D162" i="29"/>
  <c r="A137" i="6"/>
  <c r="A152" i="6"/>
  <c r="A27" i="23"/>
  <c r="D184" i="27"/>
  <c r="B88" i="23"/>
  <c r="E12" i="16"/>
  <c r="E7" i="15"/>
  <c r="A104" i="27"/>
  <c r="B67" i="16"/>
  <c r="B58" i="5"/>
  <c r="A45" i="29"/>
  <c r="B178" i="23"/>
  <c r="E22" i="26"/>
  <c r="B46" i="5"/>
  <c r="A114" i="6"/>
  <c r="B194" i="23"/>
  <c r="C21" i="5"/>
  <c r="G42" i="9"/>
  <c r="A55" i="29"/>
  <c r="B106" i="23"/>
  <c r="D126" i="29"/>
  <c r="B161" i="23"/>
  <c r="B152" i="6"/>
  <c r="A63" i="23"/>
  <c r="B15" i="27"/>
  <c r="A105" i="6"/>
  <c r="B154" i="23"/>
  <c r="B44" i="27"/>
  <c r="E61" i="26"/>
  <c r="A112" i="23"/>
  <c r="B45" i="29"/>
  <c r="G28" i="35"/>
  <c r="E63" i="26"/>
  <c r="G90" i="35"/>
  <c r="A47" i="6"/>
  <c r="C29" i="22"/>
  <c r="C48" i="25"/>
  <c r="A20" i="16"/>
  <c r="A110" i="6"/>
  <c r="A59" i="23"/>
  <c r="B30" i="16"/>
  <c r="A189" i="23"/>
  <c r="B66" i="23"/>
  <c r="A39" i="16"/>
  <c r="B39" i="24"/>
  <c r="D142" i="27"/>
  <c r="G31" i="9"/>
  <c r="B77" i="27"/>
  <c r="A85" i="6"/>
  <c r="E6" i="27"/>
  <c r="D163" i="27"/>
  <c r="A33" i="16"/>
  <c r="A192" i="6"/>
  <c r="G5" i="18"/>
  <c r="B157" i="6"/>
  <c r="D183" i="29"/>
  <c r="G18" i="9"/>
  <c r="G19" i="9"/>
  <c r="G86" i="35"/>
  <c r="B87" i="16"/>
  <c r="B47" i="27"/>
  <c r="B69" i="23"/>
  <c r="B8" i="8"/>
  <c r="C14" i="25"/>
  <c r="A101" i="23"/>
  <c r="B85" i="27"/>
  <c r="G30" i="18"/>
  <c r="G27" i="35"/>
  <c r="C71" i="29"/>
  <c r="A77" i="27"/>
  <c r="A38" i="16"/>
  <c r="C150" i="29"/>
  <c r="B34" i="23"/>
  <c r="A27" i="29"/>
  <c r="B35" i="27"/>
  <c r="B33" i="5"/>
  <c r="A26" i="16"/>
  <c r="A8" i="30"/>
  <c r="D191" i="27"/>
  <c r="A10" i="30"/>
  <c r="A168" i="6"/>
  <c r="G10" i="35"/>
  <c r="G16" i="9"/>
  <c r="B4" i="16"/>
  <c r="C34" i="22"/>
  <c r="B127" i="23"/>
  <c r="B25" i="29"/>
  <c r="A56" i="29"/>
  <c r="B130" i="23"/>
  <c r="A22" i="27"/>
  <c r="B24" i="6"/>
  <c r="A156" i="6"/>
  <c r="A90" i="23"/>
  <c r="D199" i="16"/>
  <c r="D134" i="16"/>
  <c r="G28" i="18"/>
  <c r="E15" i="26"/>
  <c r="A176" i="6"/>
  <c r="B73" i="27"/>
  <c r="E77" i="26"/>
  <c r="A63" i="22"/>
  <c r="A181" i="6"/>
  <c r="A191" i="23"/>
  <c r="G32" i="35"/>
  <c r="A31" i="23"/>
  <c r="C43" i="25"/>
  <c r="D161" i="29"/>
  <c r="C165" i="29"/>
  <c r="A33" i="5"/>
  <c r="B64" i="16"/>
  <c r="A29" i="23"/>
  <c r="A165" i="6"/>
  <c r="C172" i="29"/>
  <c r="A73" i="16"/>
  <c r="A77" i="6"/>
  <c r="C69" i="29"/>
  <c r="A72" i="22"/>
  <c r="C189" i="29"/>
  <c r="A167" i="23"/>
  <c r="B40" i="23"/>
  <c r="D175" i="29"/>
  <c r="B176" i="6"/>
  <c r="B38" i="5"/>
  <c r="A52" i="22"/>
  <c r="B144" i="6"/>
  <c r="E13" i="26"/>
  <c r="B11" i="8"/>
  <c r="D138" i="16"/>
  <c r="B23" i="22"/>
  <c r="A150" i="6"/>
  <c r="C67" i="25"/>
  <c r="G38" i="9"/>
  <c r="A57" i="27"/>
  <c r="A108" i="27"/>
  <c r="B76" i="16"/>
  <c r="B174" i="23"/>
  <c r="A93" i="23"/>
  <c r="B140" i="6"/>
  <c r="D196" i="29"/>
  <c r="C195" i="29"/>
  <c r="A96" i="23"/>
  <c r="A100" i="23"/>
  <c r="G2" i="9"/>
  <c r="A53" i="16"/>
  <c r="A25" i="22"/>
  <c r="A67" i="23"/>
  <c r="B90" i="6"/>
  <c r="B36" i="27"/>
  <c r="B21" i="27"/>
  <c r="B48" i="27"/>
  <c r="A71" i="16"/>
  <c r="C164" i="29"/>
  <c r="B84" i="16"/>
  <c r="C192" i="29"/>
  <c r="C199" i="29"/>
  <c r="C73" i="29"/>
  <c r="C171" i="29"/>
  <c r="A19" i="6"/>
  <c r="A70" i="6"/>
  <c r="A62" i="27"/>
  <c r="B81" i="27"/>
  <c r="A52" i="23"/>
  <c r="B6" i="23"/>
  <c r="C260" i="32"/>
  <c r="E8" i="6"/>
  <c r="C70" i="29"/>
  <c r="B5" i="23"/>
  <c r="B8" i="16"/>
  <c r="C258" i="32"/>
  <c r="B22" i="5"/>
  <c r="B105" i="27"/>
  <c r="A164" i="6"/>
  <c r="A105" i="23"/>
  <c r="A28" i="22"/>
  <c r="A115" i="6"/>
  <c r="B3" i="8"/>
  <c r="A64" i="27"/>
  <c r="A96" i="6"/>
  <c r="B96" i="6"/>
  <c r="B104" i="6"/>
  <c r="A82" i="27"/>
  <c r="D155" i="27"/>
  <c r="B19" i="23"/>
  <c r="C65" i="25"/>
  <c r="B54" i="5"/>
  <c r="B53" i="16"/>
  <c r="B36" i="5"/>
  <c r="B73" i="16"/>
  <c r="A83" i="27"/>
  <c r="B38" i="22"/>
  <c r="A9" i="25"/>
  <c r="G12" i="35"/>
  <c r="B39" i="27"/>
  <c r="B190" i="6"/>
  <c r="G32" i="18"/>
  <c r="C126" i="5"/>
  <c r="B187" i="6"/>
  <c r="E49" i="26"/>
  <c r="B70" i="16"/>
  <c r="G13" i="35"/>
  <c r="B37" i="22"/>
  <c r="D129" i="29"/>
  <c r="A64" i="16"/>
  <c r="A94" i="27"/>
  <c r="B180" i="6"/>
  <c r="A50" i="5"/>
  <c r="A100" i="6"/>
  <c r="A158" i="23"/>
  <c r="B36" i="22"/>
  <c r="C183" i="29"/>
  <c r="C77" i="29" s="1"/>
  <c r="B137" i="6"/>
  <c r="B69" i="22"/>
  <c r="B116" i="23"/>
  <c r="B58" i="22"/>
  <c r="G10" i="9"/>
  <c r="B75" i="23"/>
  <c r="D169" i="16"/>
  <c r="B57" i="22"/>
  <c r="B12" i="27"/>
  <c r="A93" i="16"/>
  <c r="A53" i="6"/>
  <c r="B62" i="24"/>
  <c r="B86" i="6"/>
  <c r="B179" i="6"/>
  <c r="B90" i="27"/>
  <c r="B174" i="6"/>
  <c r="C25" i="5"/>
  <c r="A21" i="30"/>
  <c r="A70" i="23"/>
  <c r="A21" i="5"/>
  <c r="B33" i="24"/>
  <c r="E50" i="26"/>
  <c r="D136" i="29"/>
  <c r="A66" i="6"/>
  <c r="B21" i="16"/>
  <c r="C141" i="29"/>
  <c r="D200" i="16"/>
  <c r="B95" i="16"/>
  <c r="A18" i="5"/>
  <c r="D135" i="16"/>
  <c r="B19" i="24"/>
  <c r="A27" i="22"/>
  <c r="A40" i="16"/>
  <c r="G22" i="35"/>
  <c r="B55" i="22"/>
  <c r="D157" i="27"/>
  <c r="B79" i="6"/>
  <c r="E71" i="26"/>
  <c r="A72" i="16"/>
  <c r="A112" i="6"/>
  <c r="B61" i="23"/>
  <c r="G3" i="9"/>
  <c r="B51" i="29"/>
  <c r="A49" i="29"/>
  <c r="A59" i="6"/>
  <c r="B11" i="27"/>
  <c r="A95" i="29"/>
  <c r="C36" i="25"/>
  <c r="A169" i="6"/>
  <c r="A30" i="16"/>
  <c r="B196" i="23"/>
  <c r="B85" i="29"/>
  <c r="B74" i="16"/>
  <c r="C159" i="31"/>
  <c r="C167" i="31"/>
  <c r="A32" i="5"/>
  <c r="B92" i="23"/>
  <c r="D153" i="16"/>
  <c r="A23" i="5"/>
  <c r="A21" i="6"/>
  <c r="D179" i="27"/>
  <c r="B93" i="23"/>
  <c r="B32" i="24"/>
  <c r="A20" i="23"/>
  <c r="C167" i="29"/>
  <c r="A23" i="30"/>
  <c r="A58" i="23"/>
  <c r="A28" i="5"/>
  <c r="B40" i="29"/>
  <c r="B32" i="27"/>
  <c r="B81" i="29"/>
  <c r="E17" i="26"/>
  <c r="A146" i="23"/>
  <c r="G36" i="18"/>
  <c r="B80" i="27"/>
  <c r="C174" i="29"/>
  <c r="A61" i="29"/>
  <c r="D138" i="29"/>
  <c r="B66" i="29"/>
  <c r="C17" i="25"/>
  <c r="A36" i="6"/>
  <c r="A109" i="23"/>
  <c r="C166" i="31"/>
  <c r="C46" i="25"/>
  <c r="G27" i="18"/>
  <c r="A67" i="22"/>
  <c r="E54" i="26"/>
  <c r="B38" i="29"/>
  <c r="B45" i="6"/>
  <c r="G7" i="35"/>
  <c r="B4" i="27"/>
  <c r="A146" i="6"/>
  <c r="C135" i="29"/>
  <c r="C29" i="29" s="1"/>
  <c r="A129" i="23"/>
  <c r="A29" i="27"/>
  <c r="D200" i="29"/>
  <c r="B20" i="24"/>
  <c r="B53" i="29"/>
  <c r="C12" i="25"/>
  <c r="B22" i="23"/>
  <c r="A56" i="22"/>
  <c r="A69" i="22"/>
  <c r="B57" i="24"/>
  <c r="B147" i="6"/>
  <c r="D179" i="29"/>
  <c r="E9" i="27"/>
  <c r="B115" i="6"/>
  <c r="A52" i="5"/>
  <c r="B179" i="23"/>
  <c r="A78" i="6"/>
  <c r="E11" i="27"/>
  <c r="E41" i="26"/>
  <c r="A54" i="6"/>
  <c r="B181" i="23"/>
  <c r="B83" i="23"/>
  <c r="A36" i="5"/>
  <c r="G21" i="18"/>
  <c r="A26" i="27"/>
  <c r="A81" i="16"/>
  <c r="B3" i="24"/>
  <c r="E47" i="26"/>
  <c r="B71" i="29"/>
  <c r="A98" i="16"/>
  <c r="B95" i="6"/>
  <c r="B98" i="29"/>
  <c r="A171" i="6"/>
  <c r="A59" i="22"/>
  <c r="B53" i="24"/>
  <c r="B191" i="6"/>
  <c r="A11" i="25"/>
  <c r="B13" i="24"/>
  <c r="B1" i="27"/>
  <c r="D182" i="16"/>
  <c r="D188" i="16"/>
  <c r="B15" i="24"/>
  <c r="G20" i="9"/>
  <c r="B90" i="29"/>
  <c r="B124" i="23"/>
  <c r="D185" i="27"/>
  <c r="A49" i="6"/>
  <c r="A89" i="16"/>
  <c r="G6" i="9"/>
  <c r="A32" i="22"/>
  <c r="G38" i="35"/>
  <c r="C62" i="25"/>
  <c r="G21" i="9"/>
  <c r="B52" i="16"/>
  <c r="A42" i="27"/>
  <c r="A48" i="25"/>
  <c r="C49" i="25"/>
  <c r="A69" i="23"/>
  <c r="B62" i="23"/>
  <c r="A101" i="27"/>
  <c r="C261" i="32"/>
  <c r="B163" i="6"/>
  <c r="A73" i="6"/>
  <c r="D170" i="16"/>
  <c r="C154" i="31"/>
  <c r="D146" i="29"/>
  <c r="C168" i="29"/>
  <c r="A90" i="27"/>
  <c r="C50" i="25"/>
  <c r="A29" i="30"/>
  <c r="D167" i="16"/>
  <c r="D155" i="16"/>
  <c r="G37" i="9"/>
  <c r="C157" i="29"/>
  <c r="C25" i="25"/>
  <c r="B84" i="6"/>
  <c r="C187" i="29"/>
  <c r="C24" i="29"/>
  <c r="B41" i="5"/>
  <c r="E14" i="27"/>
  <c r="B65" i="24"/>
  <c r="E12" i="26"/>
  <c r="A54" i="29"/>
  <c r="A188" i="23"/>
  <c r="B39" i="29"/>
  <c r="A18" i="6"/>
  <c r="B106" i="27"/>
  <c r="G7" i="9"/>
  <c r="A91" i="23"/>
  <c r="D147" i="16"/>
  <c r="D141" i="16"/>
  <c r="A90" i="16"/>
  <c r="A152" i="23"/>
  <c r="B89" i="27"/>
  <c r="A55" i="16"/>
  <c r="B170" i="23"/>
  <c r="D144" i="29"/>
  <c r="C45" i="25"/>
  <c r="B160" i="23"/>
  <c r="E4" i="26"/>
  <c r="A92" i="6"/>
  <c r="D174" i="27"/>
  <c r="D186" i="16"/>
  <c r="B31" i="27"/>
  <c r="A197" i="23"/>
  <c r="C164" i="31"/>
  <c r="A38" i="22"/>
  <c r="C64" i="29"/>
  <c r="B29" i="27"/>
  <c r="A43" i="29"/>
  <c r="A42" i="5"/>
  <c r="A99" i="23"/>
  <c r="C202" i="29"/>
  <c r="B40" i="27"/>
  <c r="A108" i="6"/>
  <c r="B147" i="23"/>
  <c r="B52" i="24"/>
  <c r="A47" i="29"/>
  <c r="D2" i="11"/>
  <c r="B176" i="23"/>
  <c r="A188" i="6"/>
  <c r="A151" i="23"/>
  <c r="B42" i="16"/>
  <c r="C72" i="29"/>
  <c r="D171" i="16"/>
  <c r="B58" i="23"/>
  <c r="B160" i="6"/>
  <c r="A79" i="23"/>
  <c r="C49" i="5"/>
  <c r="B23" i="24"/>
  <c r="A80" i="23"/>
  <c r="G11" i="18"/>
  <c r="A82" i="6"/>
  <c r="B114" i="23"/>
  <c r="C54" i="25"/>
  <c r="B28" i="27"/>
  <c r="A59" i="29"/>
  <c r="B51" i="27"/>
  <c r="B49" i="27"/>
  <c r="B35" i="6"/>
  <c r="A35" i="29"/>
  <c r="B184" i="6"/>
  <c r="A48" i="29"/>
  <c r="A32" i="16"/>
  <c r="C55" i="29"/>
  <c r="B15" i="23"/>
  <c r="C25" i="29"/>
  <c r="E8" i="23"/>
  <c r="B13" i="23"/>
  <c r="E5" i="6"/>
  <c r="C58" i="5"/>
  <c r="B15" i="6"/>
  <c r="E4" i="23"/>
  <c r="E10" i="23"/>
  <c r="C81" i="29"/>
  <c r="B84" i="27"/>
  <c r="A76" i="29"/>
  <c r="A131" i="23"/>
  <c r="D173" i="29"/>
  <c r="G26" i="18"/>
  <c r="A28" i="29"/>
  <c r="B150" i="23"/>
  <c r="A79" i="6"/>
  <c r="E68" i="26"/>
  <c r="A130" i="23"/>
  <c r="C23" i="22"/>
  <c r="B113" i="23"/>
  <c r="A65" i="29"/>
  <c r="B60" i="29"/>
  <c r="B7" i="24"/>
  <c r="B62" i="29"/>
  <c r="C184" i="29"/>
  <c r="A121" i="23"/>
  <c r="B57" i="27"/>
  <c r="C51" i="25"/>
  <c r="A86" i="23"/>
  <c r="A85" i="23"/>
  <c r="D174" i="16"/>
  <c r="A75" i="29"/>
  <c r="A88" i="6"/>
  <c r="G15" i="9"/>
  <c r="A30" i="30"/>
  <c r="A91" i="6"/>
  <c r="A107" i="23"/>
  <c r="G31" i="35"/>
  <c r="B23" i="23"/>
  <c r="D192" i="29"/>
  <c r="B67" i="29"/>
  <c r="D154" i="27"/>
  <c r="E65" i="26"/>
  <c r="C53" i="25"/>
  <c r="B132" i="6"/>
  <c r="A106" i="23"/>
  <c r="D133" i="29"/>
  <c r="A60" i="5"/>
  <c r="B47" i="22"/>
  <c r="B87" i="27"/>
  <c r="B192" i="6"/>
  <c r="B22" i="22"/>
  <c r="A154" i="23"/>
  <c r="B69" i="29"/>
  <c r="B63" i="22"/>
  <c r="C23" i="5"/>
  <c r="A185" i="6"/>
  <c r="B14" i="8"/>
  <c r="D139" i="16"/>
  <c r="C5" i="25"/>
  <c r="B45" i="24"/>
  <c r="B29" i="24"/>
  <c r="B23" i="6"/>
  <c r="B59" i="6"/>
  <c r="D124" i="29"/>
  <c r="B88" i="16"/>
  <c r="B40" i="5"/>
  <c r="G89" i="35"/>
  <c r="A40" i="23"/>
  <c r="D162" i="27"/>
  <c r="A191" i="6"/>
  <c r="A127" i="23"/>
  <c r="B62" i="27"/>
  <c r="B84" i="29"/>
  <c r="E6" i="26"/>
  <c r="E8" i="15"/>
  <c r="G87" i="35"/>
  <c r="A24" i="29"/>
  <c r="G2" i="35"/>
  <c r="B159" i="23"/>
  <c r="A158" i="6"/>
  <c r="A58" i="29"/>
  <c r="B46" i="27"/>
  <c r="G17" i="35"/>
  <c r="G38" i="18"/>
  <c r="A84" i="27"/>
  <c r="A76" i="23"/>
  <c r="B98" i="16"/>
  <c r="B93" i="16"/>
  <c r="B51" i="22"/>
  <c r="B20" i="29"/>
  <c r="A52" i="29"/>
  <c r="D151" i="16"/>
  <c r="A129" i="6"/>
  <c r="E25" i="26"/>
  <c r="E8" i="26"/>
  <c r="B59" i="22"/>
  <c r="D172" i="16"/>
  <c r="B50" i="24"/>
  <c r="A176" i="23"/>
  <c r="B63" i="29"/>
  <c r="A69" i="6"/>
  <c r="A90" i="6"/>
  <c r="B6" i="27"/>
  <c r="A60" i="23"/>
  <c r="B79" i="27"/>
  <c r="C55" i="22"/>
  <c r="B5" i="6"/>
  <c r="B6" i="6"/>
  <c r="B1" i="6"/>
  <c r="C254" i="32"/>
  <c r="C262" i="32"/>
  <c r="C63" i="29"/>
  <c r="B149" i="6"/>
  <c r="B96" i="27"/>
  <c r="B47" i="16"/>
  <c r="B51" i="23"/>
  <c r="A60" i="16"/>
  <c r="A62" i="6"/>
  <c r="B86" i="16"/>
  <c r="B62" i="6"/>
  <c r="D128" i="16"/>
  <c r="C38" i="25"/>
  <c r="A97" i="6"/>
  <c r="B50" i="6"/>
  <c r="D149" i="16"/>
  <c r="B11" i="23"/>
  <c r="A71" i="6"/>
  <c r="C21" i="29"/>
  <c r="B92" i="27"/>
  <c r="B21" i="23"/>
  <c r="B62" i="16"/>
  <c r="B56" i="16"/>
  <c r="B51" i="5"/>
  <c r="E34" i="26"/>
  <c r="B171" i="6"/>
  <c r="B42" i="27"/>
  <c r="A26" i="22"/>
  <c r="A89" i="6"/>
  <c r="D146" i="27"/>
  <c r="B101" i="6"/>
  <c r="B43" i="27"/>
  <c r="C24" i="22"/>
  <c r="A155" i="23"/>
  <c r="A53" i="22"/>
  <c r="A6" i="25"/>
  <c r="B148" i="6"/>
  <c r="B60" i="24"/>
  <c r="B28" i="29"/>
  <c r="B26" i="6"/>
  <c r="E5" i="23"/>
  <c r="C18" i="5"/>
  <c r="A23" i="23"/>
  <c r="C153" i="22"/>
  <c r="A167" i="6"/>
  <c r="A183" i="6"/>
  <c r="A89" i="27"/>
  <c r="A46" i="6"/>
  <c r="E32" i="26"/>
  <c r="A153" i="23"/>
  <c r="A39" i="23"/>
  <c r="A122" i="23"/>
  <c r="C62" i="29"/>
  <c r="C36" i="29"/>
  <c r="E7" i="6"/>
  <c r="E6" i="23"/>
  <c r="E6" i="6"/>
  <c r="B144" i="23"/>
  <c r="B79" i="29"/>
  <c r="B135" i="6"/>
  <c r="A53" i="29"/>
  <c r="C134" i="22"/>
  <c r="A179" i="6"/>
  <c r="C154" i="29"/>
  <c r="D193" i="16"/>
  <c r="B5" i="8"/>
  <c r="A123" i="23"/>
  <c r="D176" i="27"/>
  <c r="B146" i="23"/>
  <c r="C135" i="22"/>
  <c r="A80" i="29"/>
  <c r="B42" i="24"/>
  <c r="B105" i="23"/>
  <c r="B48" i="24"/>
  <c r="A44" i="23"/>
  <c r="D147" i="27"/>
  <c r="A81" i="29"/>
  <c r="B53" i="22"/>
  <c r="G14" i="18"/>
  <c r="A156" i="23"/>
  <c r="A122" i="6"/>
  <c r="A84" i="29"/>
  <c r="B34" i="24"/>
  <c r="C200" i="29"/>
  <c r="C94" i="29" s="1"/>
  <c r="A142" i="23"/>
  <c r="A35" i="16"/>
  <c r="D136" i="16"/>
  <c r="B96" i="29"/>
  <c r="A180" i="6"/>
  <c r="B45" i="22"/>
  <c r="B49" i="23"/>
  <c r="A36" i="23"/>
  <c r="D165" i="27"/>
  <c r="D196" i="16"/>
  <c r="D131" i="16"/>
  <c r="G11" i="35"/>
  <c r="C154" i="22"/>
  <c r="B48" i="29"/>
  <c r="A51" i="6"/>
  <c r="B54" i="24"/>
  <c r="B42" i="5"/>
  <c r="B87" i="29"/>
  <c r="A148" i="6"/>
  <c r="B29" i="6"/>
  <c r="B85" i="23"/>
  <c r="B91" i="6"/>
  <c r="C46" i="22"/>
  <c r="E57" i="26"/>
  <c r="A2" i="30"/>
  <c r="A70" i="16"/>
  <c r="A110" i="27"/>
  <c r="D180" i="16"/>
  <c r="A38" i="5"/>
  <c r="G15" i="35"/>
  <c r="E44" i="26"/>
  <c r="C40" i="5"/>
  <c r="A86" i="16"/>
  <c r="B99" i="23"/>
  <c r="B9" i="24"/>
  <c r="A32" i="27"/>
  <c r="B158" i="23"/>
  <c r="A99" i="6"/>
  <c r="E62" i="26"/>
  <c r="D177" i="29"/>
  <c r="B5" i="24"/>
  <c r="B41" i="27"/>
  <c r="E52" i="26"/>
  <c r="C50" i="5"/>
  <c r="B48" i="5"/>
  <c r="C127" i="5"/>
  <c r="B20" i="5"/>
  <c r="A65" i="22"/>
  <c r="B19" i="29"/>
  <c r="A36" i="29"/>
  <c r="A15" i="30"/>
  <c r="A60" i="22"/>
  <c r="A76" i="6"/>
  <c r="A69" i="27"/>
  <c r="B44" i="22"/>
  <c r="B71" i="6"/>
  <c r="B164" i="23"/>
  <c r="A139" i="6"/>
  <c r="A86" i="6"/>
  <c r="A54" i="23"/>
  <c r="C8" i="25"/>
  <c r="A194" i="6"/>
  <c r="A58" i="6"/>
  <c r="A10" i="25"/>
  <c r="A42" i="29"/>
  <c r="B104" i="23"/>
  <c r="B14" i="16"/>
  <c r="B187" i="23"/>
  <c r="A27" i="30"/>
  <c r="A53" i="5"/>
  <c r="B67" i="6"/>
  <c r="B142" i="6"/>
  <c r="A172" i="6"/>
  <c r="E78" i="26"/>
  <c r="A102" i="6"/>
  <c r="B177" i="23"/>
  <c r="B141" i="6"/>
  <c r="A74" i="23"/>
  <c r="B131" i="6"/>
  <c r="B18" i="22"/>
  <c r="G33" i="18"/>
  <c r="A79" i="27"/>
  <c r="A45" i="22"/>
  <c r="G35" i="9"/>
  <c r="C125" i="5"/>
  <c r="C55" i="5" s="1"/>
  <c r="B189" i="23"/>
  <c r="A18" i="16"/>
  <c r="B175" i="6"/>
  <c r="G88" i="35"/>
  <c r="A20" i="6"/>
  <c r="A88" i="23"/>
  <c r="G37" i="18"/>
  <c r="D130" i="16"/>
  <c r="A20" i="22"/>
  <c r="B109" i="27"/>
  <c r="B51" i="24"/>
  <c r="A72" i="23"/>
  <c r="B159" i="6"/>
  <c r="G25" i="35"/>
  <c r="D127" i="16"/>
  <c r="D165" i="29"/>
  <c r="B72" i="6"/>
  <c r="B71" i="16"/>
  <c r="A54" i="22"/>
  <c r="A154" i="6"/>
  <c r="B54" i="29"/>
  <c r="A19" i="23"/>
  <c r="A69" i="16"/>
  <c r="B64" i="27"/>
  <c r="B25" i="27"/>
  <c r="D137" i="16"/>
  <c r="C54" i="29"/>
  <c r="C34" i="29"/>
  <c r="C48" i="5"/>
  <c r="C56" i="5"/>
  <c r="B14" i="23"/>
  <c r="C48" i="29"/>
  <c r="A22" i="23"/>
  <c r="D162" i="16"/>
  <c r="B183" i="23"/>
  <c r="E80" i="26"/>
  <c r="B2" i="8"/>
  <c r="B70" i="22"/>
  <c r="E13" i="27"/>
  <c r="A55" i="5"/>
  <c r="A73" i="23"/>
  <c r="D149" i="27"/>
  <c r="C49" i="29"/>
  <c r="B41" i="6"/>
  <c r="D171" i="29"/>
  <c r="A78" i="23"/>
  <c r="A174" i="6"/>
  <c r="A94" i="23"/>
  <c r="B25" i="22"/>
  <c r="B29" i="29"/>
  <c r="B146" i="6"/>
  <c r="E67" i="26"/>
  <c r="B29" i="23"/>
  <c r="A58" i="27"/>
  <c r="A71" i="29"/>
  <c r="D135" i="29"/>
  <c r="A29" i="29"/>
  <c r="B24" i="23"/>
  <c r="A23" i="27"/>
  <c r="C32" i="22"/>
  <c r="B124" i="6"/>
  <c r="B41" i="22"/>
  <c r="A99" i="27"/>
  <c r="A87" i="23"/>
  <c r="B48" i="22"/>
  <c r="A150" i="23"/>
  <c r="B53" i="6"/>
  <c r="B108" i="6"/>
  <c r="A125" i="6"/>
  <c r="B59" i="5"/>
  <c r="A186" i="6"/>
  <c r="B118" i="6"/>
  <c r="A33" i="29"/>
  <c r="A98" i="6"/>
  <c r="A58" i="25"/>
  <c r="A50" i="23"/>
  <c r="G23" i="35"/>
  <c r="A159" i="6"/>
  <c r="B59" i="29"/>
  <c r="C30" i="25"/>
  <c r="A187" i="23"/>
  <c r="D176" i="29"/>
  <c r="B12" i="6"/>
  <c r="B14" i="6"/>
  <c r="E12" i="6"/>
  <c r="C21" i="25"/>
  <c r="G18" i="18"/>
  <c r="C181" i="29"/>
  <c r="C75" i="29" s="1"/>
  <c r="B20" i="22"/>
  <c r="A163" i="6"/>
  <c r="D191" i="29"/>
  <c r="B28" i="22"/>
  <c r="A3" i="30"/>
  <c r="G32" i="9"/>
  <c r="D154" i="29"/>
  <c r="B92" i="16"/>
  <c r="C30" i="5"/>
  <c r="A44" i="29"/>
  <c r="C159" i="29"/>
  <c r="C53" i="29" s="1"/>
  <c r="B136" i="6"/>
  <c r="A126" i="23"/>
  <c r="A132" i="6"/>
  <c r="B30" i="22"/>
  <c r="B163" i="23"/>
  <c r="A118" i="6"/>
  <c r="A19" i="16"/>
  <c r="E30" i="26"/>
  <c r="A137" i="23"/>
  <c r="B18" i="27"/>
  <c r="G34" i="35"/>
  <c r="A116" i="23"/>
  <c r="C144" i="29"/>
  <c r="C38" i="29" s="1"/>
  <c r="D125" i="29"/>
  <c r="B61" i="22"/>
  <c r="G24" i="35"/>
  <c r="A37" i="16"/>
  <c r="B72" i="23"/>
  <c r="B30" i="29"/>
  <c r="C129" i="5"/>
  <c r="C37" i="22"/>
  <c r="C18" i="29"/>
  <c r="D147" i="29"/>
  <c r="B33" i="22"/>
  <c r="B128" i="6"/>
  <c r="B110" i="6"/>
  <c r="A20" i="30"/>
  <c r="A96" i="16"/>
  <c r="A144" i="23"/>
  <c r="C161" i="31"/>
  <c r="A79" i="29"/>
  <c r="B7" i="8"/>
  <c r="A59" i="5"/>
  <c r="C9" i="25"/>
  <c r="G29" i="18"/>
  <c r="B70" i="27"/>
  <c r="A49" i="16"/>
  <c r="A169" i="23"/>
  <c r="B132" i="23"/>
  <c r="B117" i="6"/>
  <c r="G35" i="18"/>
  <c r="A65" i="23"/>
  <c r="A47" i="27"/>
  <c r="A58" i="16"/>
  <c r="B23" i="16"/>
  <c r="A3" i="25"/>
  <c r="B88" i="6"/>
  <c r="A30" i="29"/>
  <c r="C36" i="22"/>
  <c r="E8" i="27"/>
  <c r="B75" i="6"/>
  <c r="B30" i="5"/>
  <c r="B47" i="6"/>
  <c r="A183" i="23"/>
  <c r="C28" i="5"/>
  <c r="B45" i="27"/>
  <c r="B148" i="23"/>
  <c r="B82" i="6"/>
  <c r="A30" i="5"/>
  <c r="B39" i="22"/>
  <c r="A70" i="29"/>
  <c r="A20" i="29"/>
  <c r="C20" i="22"/>
  <c r="G20" i="35"/>
  <c r="G9" i="35"/>
  <c r="A64" i="22"/>
  <c r="A119" i="6"/>
  <c r="B66" i="16"/>
  <c r="B111" i="23"/>
  <c r="B34" i="22"/>
  <c r="A26" i="30"/>
  <c r="B45" i="16"/>
  <c r="D198" i="16"/>
  <c r="B16" i="24"/>
  <c r="B142" i="23"/>
  <c r="A120" i="6"/>
  <c r="B107" i="6"/>
  <c r="B134" i="6"/>
  <c r="A21" i="16"/>
  <c r="D173" i="16"/>
  <c r="B188" i="23"/>
  <c r="A43" i="5"/>
  <c r="B82" i="16"/>
  <c r="B186" i="6"/>
  <c r="A190" i="23"/>
  <c r="A64" i="29"/>
  <c r="A59" i="27"/>
  <c r="C136" i="22"/>
  <c r="C54" i="22" s="1"/>
  <c r="B13" i="16"/>
  <c r="B44" i="16"/>
  <c r="B63" i="16"/>
  <c r="A134" i="23"/>
  <c r="B95" i="23"/>
  <c r="A185" i="23"/>
  <c r="A159" i="23"/>
  <c r="B73" i="29"/>
  <c r="A20" i="27"/>
  <c r="D152" i="16"/>
  <c r="A94" i="6"/>
  <c r="A117" i="23"/>
  <c r="D191" i="16"/>
  <c r="G8" i="35"/>
  <c r="C122" i="5"/>
  <c r="B30" i="27"/>
  <c r="A106" i="27"/>
  <c r="B31" i="6"/>
  <c r="B37" i="6"/>
  <c r="E15" i="16"/>
  <c r="G7" i="18"/>
  <c r="G24" i="18"/>
  <c r="B16" i="27"/>
  <c r="G41" i="9"/>
  <c r="B36" i="29"/>
  <c r="B40" i="16"/>
  <c r="A66" i="22"/>
  <c r="E2" i="15"/>
  <c r="E33" i="26"/>
  <c r="A134" i="6"/>
  <c r="A58" i="22"/>
  <c r="B55" i="16"/>
  <c r="B38" i="23"/>
  <c r="A75" i="6"/>
  <c r="A11" i="30"/>
  <c r="B68" i="16"/>
  <c r="E11" i="6"/>
  <c r="C257" i="32"/>
  <c r="C30" i="29"/>
  <c r="E7" i="23"/>
  <c r="C60" i="29"/>
  <c r="C51" i="29"/>
  <c r="C47" i="5"/>
  <c r="B11" i="6"/>
  <c r="B80" i="23"/>
  <c r="B64" i="23"/>
  <c r="D190" i="27"/>
  <c r="B90" i="16"/>
  <c r="A70" i="27"/>
  <c r="B97" i="29"/>
  <c r="A78" i="27"/>
  <c r="B56" i="29"/>
  <c r="G40" i="9"/>
  <c r="C7" i="25"/>
  <c r="B83" i="16"/>
  <c r="A168" i="23"/>
  <c r="A56" i="23"/>
  <c r="D190" i="29"/>
  <c r="C198" i="29"/>
  <c r="C92" i="29" s="1"/>
  <c r="C31" i="29"/>
  <c r="B40" i="6"/>
  <c r="B54" i="6"/>
  <c r="B24" i="24"/>
  <c r="B91" i="27"/>
  <c r="A160" i="23"/>
  <c r="A157" i="6"/>
  <c r="B71" i="23"/>
  <c r="G39" i="9"/>
  <c r="E20" i="26"/>
  <c r="B59" i="24"/>
  <c r="B168" i="6"/>
  <c r="B60" i="22"/>
  <c r="C53" i="5"/>
  <c r="G13" i="9"/>
  <c r="E69" i="26"/>
  <c r="D161" i="27"/>
  <c r="D170" i="27"/>
  <c r="B38" i="27"/>
  <c r="B52" i="22"/>
  <c r="A19" i="27"/>
  <c r="B65" i="16"/>
  <c r="B38" i="24"/>
  <c r="G22" i="9"/>
  <c r="B157" i="23"/>
  <c r="B181" i="6"/>
  <c r="B88" i="27"/>
  <c r="C153" i="29"/>
  <c r="C47" i="29" s="1"/>
  <c r="G12" i="9"/>
  <c r="B153" i="6"/>
  <c r="A57" i="16"/>
  <c r="D163" i="16"/>
  <c r="A151" i="6"/>
  <c r="B40" i="22"/>
  <c r="B153" i="23"/>
  <c r="D163" i="29"/>
  <c r="A47" i="23"/>
  <c r="A46" i="5"/>
  <c r="B126" i="6"/>
  <c r="B145" i="6"/>
  <c r="A62" i="25"/>
  <c r="B47" i="24"/>
  <c r="C18" i="22"/>
  <c r="A51" i="5"/>
  <c r="B98" i="23"/>
  <c r="D140" i="16"/>
  <c r="B60" i="23"/>
  <c r="C38" i="22"/>
  <c r="B138" i="23"/>
  <c r="B54" i="27"/>
  <c r="B67" i="27"/>
  <c r="B35" i="29"/>
  <c r="G9" i="9"/>
  <c r="A126" i="6"/>
  <c r="C146" i="29"/>
  <c r="C196" i="29"/>
  <c r="C90" i="29" s="1"/>
  <c r="B19" i="22"/>
  <c r="B23" i="29"/>
  <c r="B195" i="23"/>
  <c r="A141" i="6"/>
  <c r="D150" i="27"/>
  <c r="D130" i="29"/>
  <c r="B141" i="23"/>
  <c r="E76" i="26"/>
  <c r="G14" i="9"/>
  <c r="A26" i="5"/>
  <c r="D159" i="27"/>
  <c r="E56" i="26"/>
  <c r="A19" i="5"/>
  <c r="A45" i="16"/>
  <c r="C37" i="5"/>
  <c r="B41" i="23"/>
  <c r="D184" i="16"/>
  <c r="A18" i="22"/>
  <c r="B90" i="23"/>
  <c r="A51" i="27"/>
  <c r="A85" i="29"/>
  <c r="A67" i="27"/>
  <c r="E60" i="26"/>
  <c r="B94" i="6"/>
  <c r="B76" i="23"/>
  <c r="C56" i="25"/>
  <c r="G5" i="35"/>
  <c r="C61" i="29"/>
  <c r="C72" i="22"/>
  <c r="C35" i="29"/>
  <c r="E11" i="23"/>
  <c r="B4" i="6"/>
  <c r="B4" i="23"/>
  <c r="C95" i="29"/>
  <c r="A250" i="32"/>
  <c r="C89" i="29"/>
  <c r="C165" i="31"/>
  <c r="A55" i="22"/>
  <c r="A49" i="27"/>
  <c r="A31" i="29"/>
  <c r="B25" i="24"/>
  <c r="B33" i="23"/>
  <c r="D183" i="16"/>
  <c r="B58" i="29"/>
  <c r="C27" i="5"/>
  <c r="A193" i="6"/>
  <c r="E19" i="26"/>
  <c r="E66" i="26"/>
  <c r="A40" i="27"/>
  <c r="A111" i="6"/>
  <c r="B72" i="27"/>
  <c r="A41" i="16"/>
  <c r="E51" i="26"/>
  <c r="B100" i="27"/>
  <c r="A30" i="6"/>
  <c r="A39" i="5"/>
  <c r="B37" i="16"/>
  <c r="A23" i="6"/>
  <c r="B47" i="5"/>
  <c r="A48" i="23"/>
  <c r="C133" i="29"/>
  <c r="B43" i="23"/>
  <c r="A12" i="25"/>
  <c r="A45" i="6"/>
  <c r="B57" i="6"/>
  <c r="D148" i="16"/>
  <c r="A56" i="5"/>
  <c r="A98" i="29"/>
  <c r="C13" i="25"/>
  <c r="A92" i="23"/>
  <c r="B97" i="16"/>
  <c r="B106" i="6"/>
  <c r="G40" i="18"/>
  <c r="A145" i="6"/>
  <c r="D175" i="27"/>
  <c r="B46" i="22"/>
  <c r="A72" i="6"/>
  <c r="D143" i="29"/>
  <c r="C197" i="29"/>
  <c r="C57" i="25"/>
  <c r="E58" i="26"/>
  <c r="A187" i="6"/>
  <c r="B66" i="6"/>
  <c r="A192" i="23"/>
  <c r="A113" i="23"/>
  <c r="A36" i="25"/>
  <c r="D6" i="11"/>
  <c r="B27" i="22"/>
  <c r="E2" i="26"/>
  <c r="D176" i="16"/>
  <c r="C41" i="22"/>
  <c r="B150" i="6"/>
  <c r="A114" i="23"/>
  <c r="B34" i="6"/>
  <c r="C31" i="22"/>
  <c r="A170" i="23"/>
  <c r="B53" i="23"/>
  <c r="D167" i="29"/>
  <c r="C253" i="32"/>
  <c r="C91" i="29"/>
  <c r="C80" i="29"/>
  <c r="A84" i="6"/>
  <c r="A57" i="29"/>
  <c r="C21" i="22"/>
  <c r="D188" i="27"/>
  <c r="G42" i="18"/>
  <c r="B52" i="29"/>
  <c r="B102" i="23"/>
  <c r="B53" i="5"/>
  <c r="C39" i="25"/>
  <c r="E43" i="26"/>
  <c r="B55" i="5"/>
  <c r="C33" i="25"/>
  <c r="B100" i="6"/>
  <c r="A44" i="6"/>
  <c r="B119" i="23"/>
  <c r="A45" i="27"/>
  <c r="B79" i="16"/>
  <c r="B52" i="6"/>
  <c r="G4" i="18"/>
  <c r="B32" i="6"/>
  <c r="A44" i="5"/>
  <c r="C138" i="29"/>
  <c r="C67" i="29"/>
  <c r="C32" i="29"/>
  <c r="C66" i="29"/>
  <c r="D4" i="11"/>
  <c r="A133" i="23"/>
  <c r="B35" i="5"/>
  <c r="G27" i="9"/>
  <c r="B122" i="23"/>
  <c r="C147" i="29"/>
  <c r="C41" i="29" s="1"/>
  <c r="A43" i="6"/>
  <c r="D158" i="27"/>
  <c r="B55" i="23"/>
  <c r="E59" i="26"/>
  <c r="A110" i="23"/>
  <c r="C78" i="29"/>
  <c r="E4" i="6"/>
  <c r="B123" i="23"/>
  <c r="B73" i="6"/>
  <c r="A81" i="6"/>
  <c r="B145" i="23"/>
  <c r="A43" i="16"/>
  <c r="A32" i="29"/>
  <c r="A108" i="23"/>
  <c r="C130" i="5"/>
  <c r="B100" i="23"/>
  <c r="G29" i="9"/>
  <c r="C256" i="32"/>
  <c r="B127" i="6"/>
  <c r="E5" i="15"/>
  <c r="B98" i="6"/>
  <c r="G34" i="18"/>
  <c r="A50" i="6"/>
  <c r="E11" i="16"/>
  <c r="A50" i="22"/>
  <c r="G20" i="18"/>
  <c r="D181" i="16"/>
  <c r="C259" i="32"/>
  <c r="B189" i="6"/>
  <c r="B71" i="22"/>
  <c r="A41" i="27"/>
  <c r="G25" i="18"/>
  <c r="E45" i="26"/>
  <c r="B68" i="22"/>
  <c r="C185" i="29"/>
  <c r="C79" i="29" s="1"/>
  <c r="B33" i="6"/>
  <c r="C23" i="25"/>
  <c r="C82" i="29"/>
  <c r="C26" i="29"/>
  <c r="A36" i="16"/>
  <c r="C124" i="5"/>
  <c r="C54" i="5" s="1"/>
  <c r="C46" i="29"/>
  <c r="G16" i="18"/>
  <c r="D150" i="16"/>
  <c r="C15" i="25"/>
  <c r="B50" i="16"/>
  <c r="A83" i="16"/>
  <c r="A95" i="16"/>
  <c r="B35" i="24"/>
  <c r="A50" i="16"/>
  <c r="A33" i="23"/>
  <c r="G42" i="35"/>
  <c r="C39" i="5"/>
  <c r="B25" i="23"/>
  <c r="C190" i="29"/>
  <c r="C84" i="29" s="1"/>
  <c r="B85" i="16"/>
  <c r="A17" i="30"/>
  <c r="B87" i="23"/>
  <c r="A53" i="27"/>
  <c r="A28" i="23"/>
  <c r="B38" i="6"/>
  <c r="A252" i="32"/>
  <c r="C56" i="29"/>
  <c r="C87" i="29"/>
  <c r="C60" i="5"/>
  <c r="A162" i="6"/>
  <c r="B192" i="23"/>
  <c r="D9" i="11"/>
  <c r="B44" i="23"/>
  <c r="E3" i="26"/>
  <c r="B165" i="23"/>
  <c r="D186" i="27"/>
  <c r="C148" i="29"/>
  <c r="C42" i="29" s="1"/>
  <c r="B110" i="27"/>
  <c r="A138" i="23"/>
  <c r="B118" i="23"/>
  <c r="B7" i="23" s="1"/>
  <c r="C182" i="29"/>
  <c r="C11" i="25"/>
  <c r="A44" i="16"/>
  <c r="B107" i="27"/>
  <c r="B183" i="6"/>
  <c r="B26" i="24"/>
  <c r="A173" i="23"/>
  <c r="G4" i="35"/>
  <c r="B82" i="29"/>
  <c r="A184" i="6"/>
  <c r="A71" i="22"/>
  <c r="B13" i="6"/>
  <c r="C93" i="29"/>
  <c r="C73" i="22"/>
  <c r="E10" i="6"/>
  <c r="D178" i="29"/>
  <c r="B18" i="29"/>
  <c r="A46" i="22"/>
  <c r="B155" i="6"/>
  <c r="E7" i="16"/>
  <c r="B70" i="6"/>
  <c r="D3" i="11"/>
  <c r="B56" i="24"/>
  <c r="B44" i="6"/>
  <c r="B7" i="6" s="1"/>
  <c r="B83" i="34"/>
  <c r="C71" i="22"/>
  <c r="B69" i="27"/>
  <c r="A25" i="27"/>
  <c r="B9" i="27" s="1"/>
  <c r="B94" i="29"/>
  <c r="C149" i="29"/>
  <c r="C43" i="29" s="1"/>
  <c r="A147" i="6"/>
  <c r="B32" i="5"/>
  <c r="A48" i="6"/>
  <c r="B8" i="6" s="1"/>
  <c r="D199" i="29"/>
  <c r="A57" i="5"/>
  <c r="A63" i="16"/>
  <c r="B81" i="16"/>
  <c r="A48" i="16"/>
  <c r="C76" i="29"/>
  <c r="D179" i="16"/>
  <c r="A42" i="25"/>
  <c r="C163" i="29"/>
  <c r="C57" i="29" s="1"/>
  <c r="B52" i="27"/>
  <c r="A37" i="23"/>
  <c r="B28" i="5"/>
  <c r="D178" i="27"/>
  <c r="B64" i="22"/>
  <c r="B33" i="27"/>
  <c r="B8" i="27" s="1"/>
  <c r="C18" i="25"/>
  <c r="E18" i="26"/>
  <c r="A30" i="23"/>
  <c r="C151" i="29"/>
  <c r="C45" i="29" s="1"/>
  <c r="C51" i="5"/>
  <c r="C59" i="29"/>
  <c r="C153" i="31"/>
  <c r="C194" i="29"/>
  <c r="C88" i="29" s="1"/>
  <c r="C2" i="25"/>
  <c r="D124" i="16"/>
  <c r="B24" i="29"/>
  <c r="C204" i="29"/>
  <c r="C98" i="29" s="1"/>
  <c r="B27" i="16"/>
  <c r="E39" i="26"/>
  <c r="G13" i="18"/>
  <c r="B12" i="8"/>
  <c r="A97" i="23"/>
  <c r="A57" i="23"/>
  <c r="B8" i="23" s="1"/>
  <c r="C74" i="29"/>
  <c r="C255" i="32"/>
  <c r="C65" i="29"/>
  <c r="B9" i="16"/>
  <c r="C68" i="29"/>
  <c r="C33" i="29"/>
  <c r="C39" i="29"/>
  <c r="E12" i="23"/>
  <c r="B12" i="23"/>
  <c r="C58" i="29"/>
  <c r="C69" i="25" l="1"/>
  <c r="E13" i="6"/>
  <c r="E9" i="6"/>
  <c r="A77" i="22"/>
  <c r="E15" i="6"/>
  <c r="E15" i="23"/>
  <c r="E13" i="23"/>
  <c r="E9" i="23"/>
  <c r="E16" i="27"/>
  <c r="E16" i="16"/>
  <c r="C52" i="5"/>
  <c r="C264" i="32"/>
  <c r="C28" i="29"/>
  <c r="C44" i="29"/>
  <c r="C50" i="29"/>
  <c r="C59" i="5"/>
  <c r="C37" i="29"/>
  <c r="C52" i="29"/>
  <c r="C96" i="29"/>
  <c r="C57" i="5"/>
  <c r="C86" i="29"/>
  <c r="C40" i="29"/>
  <c r="C83" i="29"/>
  <c r="C27" i="29"/>
  <c r="A101" i="29" l="1"/>
  <c r="A65" i="5"/>
  <c r="B8" i="22"/>
  <c r="E11" i="22"/>
  <c r="B5" i="22"/>
  <c r="B1" i="22"/>
  <c r="B13" i="22"/>
  <c r="B12" i="22"/>
  <c r="B9" i="22"/>
  <c r="E9" i="22"/>
  <c r="E12" i="22"/>
  <c r="B6" i="22"/>
  <c r="B15" i="22"/>
  <c r="B16" i="22"/>
  <c r="E7" i="22"/>
  <c r="E8" i="22"/>
  <c r="E6" i="22"/>
  <c r="E5" i="22"/>
  <c r="B4" i="22"/>
  <c r="B11" i="22"/>
  <c r="E13" i="22"/>
  <c r="B14" i="22"/>
  <c r="E4" i="22"/>
  <c r="E16" i="22" l="1"/>
  <c r="B4" i="5"/>
  <c r="E12" i="5"/>
  <c r="B6" i="5"/>
  <c r="E11" i="29"/>
  <c r="B1" i="29"/>
  <c r="E9" i="5"/>
  <c r="E6" i="5"/>
  <c r="B14" i="5"/>
  <c r="E12" i="29"/>
  <c r="B13" i="29"/>
  <c r="B15" i="5"/>
  <c r="B16" i="5"/>
  <c r="E14" i="5"/>
  <c r="E5" i="29"/>
  <c r="E8" i="29"/>
  <c r="B6" i="29"/>
  <c r="B4" i="29"/>
  <c r="E4" i="5"/>
  <c r="B9" i="29"/>
  <c r="E7" i="5"/>
  <c r="E8" i="5"/>
  <c r="B14" i="29"/>
  <c r="B1" i="5"/>
  <c r="B9" i="5"/>
  <c r="B5" i="29"/>
  <c r="E4" i="29"/>
  <c r="E13" i="29"/>
  <c r="B13" i="5"/>
  <c r="B8" i="5"/>
  <c r="B8" i="29"/>
  <c r="B12" i="29"/>
  <c r="E7" i="29"/>
  <c r="E5" i="5"/>
  <c r="E13" i="5"/>
  <c r="B11" i="29"/>
  <c r="B12" i="5"/>
  <c r="B15" i="29"/>
  <c r="E9" i="29"/>
  <c r="B5" i="5"/>
  <c r="B16" i="29"/>
  <c r="E6" i="29"/>
  <c r="E16" i="5" l="1"/>
  <c r="E16" i="29"/>
  <c r="E10" i="5"/>
</calcChain>
</file>

<file path=xl/sharedStrings.xml><?xml version="1.0" encoding="utf-8"?>
<sst xmlns="http://schemas.openxmlformats.org/spreadsheetml/2006/main" count="19192" uniqueCount="1546">
  <si>
    <t>last activity</t>
  </si>
  <si>
    <t>age since submitted</t>
  </si>
  <si>
    <t>critical</t>
  </si>
  <si>
    <t>Astra</t>
  </si>
  <si>
    <t>ASSIGNED</t>
  </si>
  <si>
    <t>Integration Test</t>
  </si>
  <si>
    <t>Low</t>
  </si>
  <si>
    <t>---</t>
  </si>
  <si>
    <t>Protocols-AAUM</t>
  </si>
  <si>
    <t>Approved by QA</t>
  </si>
  <si>
    <t>P2</t>
  </si>
  <si>
    <t>major</t>
  </si>
  <si>
    <t>High</t>
  </si>
  <si>
    <t>Protocols-SMB</t>
  </si>
  <si>
    <t>Documentation-SMB</t>
  </si>
  <si>
    <t>6.3 (FlyingSaucer)</t>
  </si>
  <si>
    <t>Customer</t>
  </si>
  <si>
    <t>Medium</t>
  </si>
  <si>
    <t>Defect (same as --)</t>
  </si>
  <si>
    <t>Server-SMB</t>
  </si>
  <si>
    <t>NEW</t>
  </si>
  <si>
    <t>sayan.ghosh@hp.com</t>
  </si>
  <si>
    <t>SET</t>
  </si>
  <si>
    <t>nandesh.palanisamy@hp.com</t>
  </si>
  <si>
    <t>Protocols-NFS</t>
  </si>
  <si>
    <t>brian.zimpfer@hp.com</t>
  </si>
  <si>
    <t>unspecified</t>
  </si>
  <si>
    <t>User Mapping-AAUM</t>
  </si>
  <si>
    <t>steve.e.douglas@hp.com</t>
  </si>
  <si>
    <t>System Test</t>
  </si>
  <si>
    <t>Defect</t>
  </si>
  <si>
    <t>Server-NFS</t>
  </si>
  <si>
    <t>charles.wahlquist@hp.com</t>
  </si>
  <si>
    <t>thomas.jam.hromatka@hp.com</t>
  </si>
  <si>
    <t>roselle.fernandez@hp.com</t>
  </si>
  <si>
    <t>Other-SMB</t>
  </si>
  <si>
    <t xml:space="preserve"> redzone bugs that can be divided into the groups listed below.</t>
  </si>
  <si>
    <t>moorthy.mm@hp.com</t>
  </si>
  <si>
    <t>Authentication-AAUM</t>
  </si>
  <si>
    <t>shounak.banerjee@hp.com</t>
  </si>
  <si>
    <t>Other</t>
  </si>
  <si>
    <t>roushan.kumar.sinha@hp.com</t>
  </si>
  <si>
    <t>santanug@hp.com</t>
  </si>
  <si>
    <t>Automated Testing</t>
  </si>
  <si>
    <t>yes RN</t>
  </si>
  <si>
    <t>6.5 (Ghost)</t>
  </si>
  <si>
    <t>*Unknown (Triage)-NFS</t>
  </si>
  <si>
    <t>Manageability-NFS</t>
  </si>
  <si>
    <t>Atlas</t>
  </si>
  <si>
    <t>Request Approval</t>
  </si>
  <si>
    <t>MSDU</t>
  </si>
  <si>
    <t>Other-NFS</t>
  </si>
  <si>
    <t>jose.a.sousa@hp.com</t>
  </si>
  <si>
    <t>IncorrectBehavior</t>
  </si>
  <si>
    <t>avik.mondal@hp.com</t>
  </si>
  <si>
    <t>Denied by QA</t>
  </si>
  <si>
    <t>Final System Test</t>
  </si>
  <si>
    <t>Assignee</t>
  </si>
  <si>
    <t>Summary</t>
  </si>
  <si>
    <t>Severity</t>
  </si>
  <si>
    <t>Target Milestone</t>
  </si>
  <si>
    <t>Reporter</t>
  </si>
  <si>
    <t>Whiteboard</t>
  </si>
  <si>
    <t>Changed</t>
  </si>
  <si>
    <t>Status</t>
  </si>
  <si>
    <t>Version</t>
  </si>
  <si>
    <t>Opened</t>
  </si>
  <si>
    <t>First found by</t>
  </si>
  <si>
    <t>Also seen by</t>
  </si>
  <si>
    <t>Keywords</t>
  </si>
  <si>
    <t>Bedrock Probability</t>
  </si>
  <si>
    <t>Record type</t>
  </si>
  <si>
    <t>Product</t>
  </si>
  <si>
    <t>Component</t>
  </si>
  <si>
    <t>Deadline</t>
  </si>
  <si>
    <t>RedZone Review Flag</t>
  </si>
  <si>
    <t>Priority</t>
  </si>
  <si>
    <t>Release or Service Notes</t>
  </si>
  <si>
    <t>Bedrock Value</t>
  </si>
  <si>
    <t>Target Build</t>
  </si>
  <si>
    <t>Astra-1.1.0</t>
  </si>
  <si>
    <t>BugzillaCloningAutomation@hp.com</t>
  </si>
  <si>
    <t>Red Zone</t>
  </si>
  <si>
    <t>Astra-1.0.1</t>
  </si>
  <si>
    <t>Functional Test</t>
  </si>
  <si>
    <t>tomer.meshorer@hp.com</t>
  </si>
  <si>
    <t>[Master=48696, Astra-1.1.0] No cross-protocol locking. NFS clients can corrupt Word docs while in use</t>
  </si>
  <si>
    <t>[Cross Protocol]</t>
  </si>
  <si>
    <t>[Master=42454, Astra-1.1.0] [Customer: BT, LAWA] CIFS connections lost intermittently on certain clients, new connections not allowed until likewise restart</t>
  </si>
  <si>
    <t>P1</t>
  </si>
  <si>
    <t>[Master=57455, Astra-1.1.0] Setting LSASS provisioned mode fails to provide NFSv4 ID mapping</t>
  </si>
  <si>
    <t>[Master=57072, Astra-1.1.0] Adding LDAP group ACL from NFSv3 or on VM node using setfacl returns "Invalid Argument" and "ade_idmapd: getgrgid_r error 34 for gid "</t>
  </si>
  <si>
    <t>24-Apr ERT waived for Astra-Maint. No fix for 1.1.0 (re-waive for 1.1?)</t>
  </si>
  <si>
    <t>[Master=52552, Astra-1.1.0] mkdir on NFS share mounted on V3 client returns "mkdir: cannot create directory `&lt;name&gt;': invalid argument" - but dir is still created</t>
  </si>
  <si>
    <t>[Master=52678, Astra-1.1.0] NFSD related panic during SPECsfs</t>
  </si>
  <si>
    <t>[Master=50470, Astra-1.1.0] Purposely killing lwsmd process does not induce automatic restart of SMB or a failover.</t>
  </si>
  <si>
    <t>QPnT : Maintenance Release Test</t>
  </si>
  <si>
    <t>[Master=58079, Astra-1.1.0] (Cross-Protocol) hp-smb  doesn't handle files correctly when their names differ in case only.</t>
  </si>
  <si>
    <t>[Master=59230, Astra-1.1.0] [Unity 1.1] Even after deleting an AD user from the group, user can still modify the contents of a folder which has modify permissions for the group.</t>
  </si>
  <si>
    <t>matthew.dav.bondurant@hp.com</t>
  </si>
  <si>
    <t>8-May need more info, appears uncommon usage</t>
  </si>
  <si>
    <t>Reviewed 0429, working to reproduce</t>
  </si>
  <si>
    <t>External Advisory</t>
  </si>
  <si>
    <t>Install/Upgrade-SMB</t>
  </si>
  <si>
    <t>Blocker</t>
  </si>
  <si>
    <t>Critical</t>
  </si>
  <si>
    <t>Major</t>
  </si>
  <si>
    <t>Not set</t>
  </si>
  <si>
    <t>W/ Target build</t>
  </si>
  <si>
    <t>Day or less old</t>
  </si>
  <si>
    <t>No activity &gt; 3 days</t>
  </si>
  <si>
    <t>Currently there are</t>
  </si>
  <si>
    <t>Found in release</t>
  </si>
  <si>
    <t>Classic</t>
  </si>
  <si>
    <t>Yellow Zone</t>
  </si>
  <si>
    <t>Static Analysis Tools (e.g. Coverity)</t>
  </si>
  <si>
    <t>Feature Test</t>
  </si>
  <si>
    <t>[Master=59164, Astra-1.1.0] [Customer: Army National Guard] User Quotas: Changing ownership of files from one user to another, does not show/calculate in quota for new file owner</t>
  </si>
  <si>
    <t>rakesh-arun.khachane@hp.com</t>
  </si>
  <si>
    <t>[Convert to Rally User Story]</t>
  </si>
  <si>
    <t>Code Review</t>
  </si>
  <si>
    <t>Normal</t>
  </si>
  <si>
    <t>Manageability-AAUM</t>
  </si>
  <si>
    <t>Last Row</t>
  </si>
  <si>
    <t>First Row</t>
  </si>
  <si>
    <t>f</t>
  </si>
  <si>
    <t>s</t>
  </si>
  <si>
    <t>l</t>
  </si>
  <si>
    <t>v</t>
  </si>
  <si>
    <t>Red Zone review flag</t>
  </si>
  <si>
    <t>b</t>
  </si>
  <si>
    <t>Age of bug</t>
  </si>
  <si>
    <t>a</t>
  </si>
  <si>
    <t>Last activity</t>
  </si>
  <si>
    <t>z</t>
  </si>
  <si>
    <t>Target build</t>
  </si>
  <si>
    <t>g</t>
  </si>
  <si>
    <t>Target milestone</t>
  </si>
  <si>
    <t>Astra_1.1.0.27-20150625</t>
  </si>
  <si>
    <t>[Master=63194, Astra-1.1.0] "lwsmd: Container dead with signal 6" and loss SMB access while InServ node crashed</t>
  </si>
  <si>
    <t>m</t>
  </si>
  <si>
    <t>opened</t>
  </si>
  <si>
    <t>j</t>
  </si>
  <si>
    <t>changed</t>
  </si>
  <si>
    <t>ManchRedZoneCSV</t>
  </si>
  <si>
    <t>Bug ID</t>
  </si>
  <si>
    <t>normal</t>
  </si>
  <si>
    <t>[Master=62165, Astra-1.1.0] Size on disk reported inconsistently over SMB 2.x/1.0 as compared to SMB 3.0 (4KB vs. 8KB)</t>
  </si>
  <si>
    <t>Unit \ Sub System Test</t>
  </si>
  <si>
    <t>[Master=59551, Astra-1.1.0] Unable to create SMB share through MMC with AD user added to local â€œAdministratorsâ€ group.</t>
  </si>
  <si>
    <t>PCR32</t>
  </si>
  <si>
    <t>[Master=58905, Astra-1.1.0] PCR UN_32  Granting Everyone access from SMB does not allow all AD static users to Read from NFS</t>
  </si>
  <si>
    <t>Astra-Post IR13 08-29</t>
  </si>
  <si>
    <t>*Unknown (Triage)-AAUM</t>
  </si>
  <si>
    <t>UDU/MSDU</t>
  </si>
  <si>
    <t>Astra-Post IR13 08-15</t>
  </si>
  <si>
    <t>Astra-Post IR13 10-17</t>
  </si>
  <si>
    <t>Resolution</t>
  </si>
  <si>
    <t>Product working as designed. VERY rare circumstance</t>
  </si>
  <si>
    <t>REOPENED</t>
  </si>
  <si>
    <t>[Master=63278, Astra-1.1.0] [Customer: Gilmore Overlick] Robocopy throws "ERROR 31 (0x0000001F) Copying NTFS Security to Destination Directory" when attempt is made to copy attributes</t>
  </si>
  <si>
    <t xml:space="preserve"> redzone bugs.</t>
  </si>
  <si>
    <t>[Master=61897, Astra-1.1.0] setfacl over nfsv3 fails where the UID or GID cannot be resolved to a name by the File Persona node.</t>
  </si>
  <si>
    <t>0602, investigation in progress, update on 0603</t>
  </si>
  <si>
    <t>abhisek.banerjee@hp.com</t>
  </si>
  <si>
    <t>[Master=63227, Astra-1.1.0] SMB Notify handing for Windows 2012 clients not being handled correctly (2012_R2 works OK however)</t>
  </si>
  <si>
    <t>[Master=63347, Astra-1.1.0] [Security] SMB is vulnerable to RC4 cipher vulnerability</t>
  </si>
  <si>
    <t>Halo</t>
  </si>
  <si>
    <t>UDU</t>
  </si>
  <si>
    <t>[Master=63480, Astra-1.1.0] [Customer: Keppel Fels] hp-smb stack crashes with: lwsmd[3235]: segfault at 20 ip 0000003c38009220 sp 00007f7210585cc8 error 4 in libpthread-2.12.so[3c38000000+17000]</t>
  </si>
  <si>
    <t>joe.tisa@hp.com</t>
  </si>
  <si>
    <t>[Master=61543, Astra-1.1.0][Customer: Keppel Fels] Need to document the supported features when using Microsoft Management Console (MMC) to manage a File Persona share</t>
  </si>
  <si>
    <t>[Master=61184, Astra-1.1.0] rapid calls to setfacl can cause timeout "Unknown error 528" error message on NFS client side</t>
  </si>
  <si>
    <t>Master</t>
  </si>
  <si>
    <t>[Master=58308, Astra-1.1.0] [Customer: Army National Guard] Large Domain Controller tree (the customer has over 150 Domain Controllers) would cause authentication fail, "setfs ad" run several times for all nodes in the cluster to be authenticated in AD.</t>
  </si>
  <si>
    <t>Review completed - Ready to check in</t>
  </si>
  <si>
    <t>yes SN</t>
  </si>
  <si>
    <t>RedZone Review Flag &amp; ! Target build</t>
  </si>
  <si>
    <t>arnab.das@hp.com</t>
  </si>
  <si>
    <t>[Master=64221, Astra-1.1.0] Windows client lost SMB share access: lwio: [lwio] RDR : RdrSocketRead  ../lwio/server/rdr/socket.c : 1893: Failed to read socket:Error code:0xc000020d]</t>
  </si>
  <si>
    <t>[Master=64245, Astra-1.1.0] [UDU 135597/138916]LDAP group member returned is missing domain name prefix (NetBIOS)</t>
  </si>
  <si>
    <t>Astra_1.1.0.28-20150702</t>
  </si>
  <si>
    <t>[Master=57761, Astra-1.1.0] [Customer: Hewlett-Packard (Schweiz) GmbH] Upgrade from 3.2.1.200P11 to latest P70 failing in to update file services as Update operation was failed due to the time out of SMB update registration hook</t>
  </si>
  <si>
    <t>Documentation-AAUM</t>
  </si>
  <si>
    <t>CRB and Waivers</t>
  </si>
  <si>
    <t>PRB - Awaiting Approval</t>
  </si>
  <si>
    <t>ERT - Awaiting Waiver Form</t>
  </si>
  <si>
    <t>rewaive/have form/delivered</t>
  </si>
  <si>
    <t>y/y/y</t>
  </si>
  <si>
    <t>y/y/n</t>
  </si>
  <si>
    <t>n/P/n</t>
  </si>
  <si>
    <t>sujasha.de@hp.com</t>
  </si>
  <si>
    <t>ERT - Awaiting Informal Review</t>
  </si>
  <si>
    <t>ERT - Awaiting Director Review</t>
  </si>
  <si>
    <t>Sharepoint</t>
  </si>
  <si>
    <t>y</t>
  </si>
  <si>
    <t xml:space="preserve">ankur.verma@hp.com </t>
  </si>
  <si>
    <t xml:space="preserve">[Master=58413, Astra-1.1.0] LoadDynamix testing runnnig ... </t>
  </si>
  <si>
    <t xml:space="preserve">cri </t>
  </si>
  <si>
    <t xml:space="preserve">BugzillaCloningAutomation@h... </t>
  </si>
  <si>
    <t xml:space="preserve">CLOS </t>
  </si>
  <si>
    <t xml:space="preserve">WONT </t>
  </si>
  <si>
    <t xml:space="preserve">Astra </t>
  </si>
  <si>
    <t xml:space="preserve">Protocol </t>
  </si>
  <si>
    <t xml:space="preserve">Server-S </t>
  </si>
  <si>
    <t xml:space="preserve">P2 </t>
  </si>
  <si>
    <t>y*</t>
  </si>
  <si>
    <t>Written</t>
  </si>
  <si>
    <t>Attached to bug</t>
  </si>
  <si>
    <t>https://bugzilla.houston.hp.com:1181/bugzilla/show_bug.cgi?id=</t>
  </si>
  <si>
    <t>[Master=64932, Astra-1.1.0] [Customer: Gilmore Overlick] Utility to migrate from Isilon data that contains unmappable local SIDS to Unity cluster</t>
  </si>
  <si>
    <t>james.beck@hp.com</t>
  </si>
  <si>
    <t>james-skip.sawyer@hp.com</t>
  </si>
  <si>
    <t>Authentication-NFS</t>
  </si>
  <si>
    <t>[Master=62843, Astra-1.1.0] http405 error during installs and online upgrade</t>
  </si>
  <si>
    <t>Platform QA</t>
  </si>
  <si>
    <t>Install/Upgrade-AAUM</t>
  </si>
  <si>
    <t>Approved</t>
  </si>
  <si>
    <t>[Master=65346, Astra-1.1.0] [Customer: US Army National Guard] directory structure of FP share not displayed in windows explorer on Win7 64 client after upgrade to SP1</t>
  </si>
  <si>
    <t>[Master=65347, Astra-1.1.0] nfsd dead but subsys locked after repeated failovers</t>
  </si>
  <si>
    <t>[Master=65204, Astra-1.1.0] Quota limits not displayed correctly when local group is recreated with same name and different GIDs.</t>
  </si>
  <si>
    <t>william.a.fickes@hp.com</t>
  </si>
  <si>
    <t>[Master=57761, Astra-1.1.0] [Customer: Hewlett-Packard (Schweiz) GmbH,Colt Technology Services] Upgrade from 3.2.1.200P11 to latest P70 failing in to update file services as Update operation was failed due to the time out of SMB update registration hook</t>
  </si>
  <si>
    <t>Customer, Integration Testing</t>
  </si>
  <si>
    <t>[Master=64168, Astra-1.1.0] [Customer: Univ of Chicago] ha: fpg failover failed with: FAILED_TO_RMFS</t>
  </si>
  <si>
    <t>1.0.2 Candidate - Short List</t>
  </si>
  <si>
    <t>Astra-Maint</t>
  </si>
  <si>
    <t>[Master=65259, Astra-Maint] [Customer: Keppel Fels] hp-smb stack crashes because of NULL Pointer deref in PvfsClose</t>
  </si>
  <si>
    <t>[Master=64629, Astra-Maint] Kernel panic of serving node followed by failover during I/O causing RPL to operate in standalone mode (Astra 1.1.0 only)</t>
  </si>
  <si>
    <t>[Master=60468, Astra-Maint] OpenSSL March 2015 advisories require new OpenSSL library in HP-SMB</t>
  </si>
  <si>
    <t>[Master=61696, Astra-Maint] Able to create NFS shares with duplicate name at mtree level.</t>
  </si>
  <si>
    <t>Astra-Post IR13 08-22</t>
  </si>
  <si>
    <t>[Master=49170, Astra-Maint] PHS-RPL socket read/write hang on partner node can cause outage on working node</t>
  </si>
  <si>
    <t>[Master=42454, Astra-Maint] [Customer: BT, LAWA] CIFS connections lost intermittently on certain clients, new connections not allowed until likewise restart</t>
  </si>
  <si>
    <t>hugo.kiehl@hp.com</t>
  </si>
  <si>
    <t>[Master=62607, Astra-Maint] SMB outage (du) on shares of both nodes in couplet pair due to kernel panic of one node and failover</t>
  </si>
  <si>
    <t>Manageability-SMB</t>
  </si>
  <si>
    <t>[Master=64823, Astra-Maint] hp-smb registry values being updated by PML, Smb2Enabled being an example of one</t>
  </si>
  <si>
    <t>Posted</t>
  </si>
  <si>
    <t>n</t>
  </si>
  <si>
    <t>Draft</t>
  </si>
  <si>
    <t>not prot</t>
  </si>
  <si>
    <t>Random Test</t>
  </si>
  <si>
    <t>Astra_1.1.0.32-20150728</t>
  </si>
  <si>
    <t>[Master=64823, Astra-1.1.0] hp-smb registry values being updated by PML, Smb2Enabled being an example of one</t>
  </si>
  <si>
    <t>Astra_1.1.0.30-20150716</t>
  </si>
  <si>
    <t>PRB - Approved</t>
  </si>
  <si>
    <t>WithDrawn</t>
  </si>
  <si>
    <t>ReWaiver</t>
  </si>
  <si>
    <t>Astra_1.1.0.33-20150806</t>
  </si>
  <si>
    <t>[Master=66200, Astra-1.1.0] Failed to join windows domain with new default setting of enablesmb2ad==false</t>
  </si>
  <si>
    <t>Delivered</t>
  </si>
  <si>
    <t>PML</t>
  </si>
  <si>
    <t>Withdrawn</t>
  </si>
  <si>
    <t>[Master=63709, Astra-1.1.0] [UDU 138091] - Failed to failover FPG after panic InServ node0 and appeared error message "[lwio] RplReadFionread :: did not got data after retring 50000 times"</t>
  </si>
  <si>
    <t>[Master=63791, Astra-1.1.0] Very slow response changing Windows permissions from SMB client with Scan policy on File Open enabled - 70 times slower than a Windows 2012 share.</t>
  </si>
  <si>
    <t>PRB - Awaiting Request</t>
  </si>
  <si>
    <t>balachandrudu.vavilapalli@hp.com</t>
  </si>
  <si>
    <t>Re-waived</t>
  </si>
  <si>
    <t>Fix Plan</t>
  </si>
  <si>
    <r>
      <rPr>
        <sz val="7"/>
        <color theme="1"/>
        <rFont val="Times New Roman"/>
        <family val="1"/>
      </rPr>
      <t xml:space="preserve"> </t>
    </r>
    <r>
      <rPr>
        <sz val="11"/>
        <color theme="1"/>
        <rFont val="Calibri"/>
        <family val="2"/>
        <scheme val="minor"/>
      </rPr>
      <t>Fixable in 1.1.1 patch (no schedule)</t>
    </r>
  </si>
  <si>
    <r>
      <rPr>
        <sz val="7"/>
        <color theme="1"/>
        <rFont val="Times New Roman"/>
        <family val="1"/>
      </rPr>
      <t xml:space="preserve"> </t>
    </r>
    <r>
      <rPr>
        <sz val="11"/>
        <color theme="1"/>
        <rFont val="Calibri"/>
        <family val="2"/>
        <scheme val="minor"/>
      </rPr>
      <t>Fixable in 1.2</t>
    </r>
  </si>
  <si>
    <r>
      <rPr>
        <sz val="7"/>
        <color theme="1"/>
        <rFont val="Times New Roman"/>
        <family val="1"/>
      </rPr>
      <t xml:space="preserve"> </t>
    </r>
    <r>
      <rPr>
        <sz val="11"/>
        <color theme="1"/>
        <rFont val="Calibri"/>
        <family val="2"/>
        <scheme val="minor"/>
      </rPr>
      <t>Fixable post 1.2</t>
    </r>
  </si>
  <si>
    <r>
      <rPr>
        <sz val="7"/>
        <color theme="1"/>
        <rFont val="Times New Roman"/>
        <family val="1"/>
      </rPr>
      <t xml:space="preserve"> </t>
    </r>
    <r>
      <rPr>
        <sz val="11"/>
        <color theme="1"/>
        <rFont val="Calibri"/>
        <family val="2"/>
        <scheme val="minor"/>
      </rPr>
      <t>Never fix</t>
    </r>
  </si>
  <si>
    <t>Already fixed in 1.2</t>
  </si>
  <si>
    <t>post 1.2</t>
  </si>
  <si>
    <t>fixed 1.2 (FS)</t>
  </si>
  <si>
    <t>Service Monitor (design)</t>
  </si>
  <si>
    <t>Posix mode 1.2? Post 1.2</t>
  </si>
  <si>
    <t>?</t>
  </si>
  <si>
    <t>fixed 1.2i (NTFS mode)</t>
  </si>
  <si>
    <t>post 1.2 (Rest exists, UDU needs hook)</t>
  </si>
  <si>
    <t>post 1.2 (Store Sids/IDs in acl)</t>
  </si>
  <si>
    <t>post 1.2 (more data from Customer?)</t>
  </si>
  <si>
    <t>Post 1.2</t>
  </si>
  <si>
    <t>post 1.2 (Rare, I/O heavy load, and Kernal panic)</t>
  </si>
  <si>
    <t>Post 1.2 (FS more DCN notifies?)</t>
  </si>
  <si>
    <t>Post 1.2 (Implement KILE [replacement of NTLM])</t>
  </si>
  <si>
    <t>fix 1.2 (?)</t>
  </si>
  <si>
    <t>Need repro on recent bits (other STONITH fix already in)</t>
  </si>
  <si>
    <t>reclose/(new bug?)</t>
  </si>
  <si>
    <t>Rally/Document (post 1.2)</t>
  </si>
  <si>
    <t>Never fix</t>
  </si>
  <si>
    <t>post 1.2 (Charlie W. ideas)</t>
  </si>
  <si>
    <t>Same as 64221 (?)</t>
  </si>
  <si>
    <t>post 1.2 (control port changes cause issue)</t>
  </si>
  <si>
    <t>[Master=64077, Astra-1.1.0] [UDU 138439] - "setfs ldap" command configure ldap server on only active node0fs</t>
  </si>
  <si>
    <t>[Master=66573, Astra-1.1.0] SMB share mount failed with error message  "No more data available".</t>
  </si>
  <si>
    <r>
      <t xml:space="preserve">Rally/Document </t>
    </r>
    <r>
      <rPr>
        <b/>
        <sz val="11"/>
        <color rgb="FFFF0000"/>
        <rFont val="Calibri"/>
        <family val="2"/>
        <scheme val="minor"/>
      </rPr>
      <t>(UPDATED 5-Aug)</t>
    </r>
  </si>
  <si>
    <r>
      <t xml:space="preserve">post 1.2 (no RC for slowness) </t>
    </r>
    <r>
      <rPr>
        <b/>
        <sz val="11"/>
        <color rgb="FFFF0000"/>
        <rFont val="Calibri"/>
        <family val="2"/>
        <scheme val="minor"/>
      </rPr>
      <t>(Waiver Updated 5-Aug)</t>
    </r>
  </si>
  <si>
    <t>ReClosed</t>
  </si>
  <si>
    <t>[Master=55159, Astra-1.1.0] SMB share created on .admin fstore is not getting restored after performing config restore</t>
  </si>
  <si>
    <t>*Unknown (Triage)-SMB</t>
  </si>
  <si>
    <t>[Master=66713, Astra-1.1.0] [Customer: Coast Community College] With roaming profiles and folder redirection, up to 30 second delay in response to setinfo for SMB2_FILE_DISPOSITION_INFO</t>
  </si>
  <si>
    <t>Closed No Repro</t>
  </si>
  <si>
    <t>jeonggoo@hp.com</t>
  </si>
  <si>
    <t>[Master=62099, Astra-1.1.0] Cannot mount VFS/SMB share reliably with more than 2 interfaces simultaneously</t>
  </si>
  <si>
    <t>ReOpen waiting for repro analysis</t>
  </si>
  <si>
    <t>w</t>
  </si>
  <si>
    <t>p</t>
  </si>
  <si>
    <t>Fixed</t>
  </si>
  <si>
    <t>Provided by Hugo</t>
  </si>
  <si>
    <t>Approved by Director Override</t>
  </si>
  <si>
    <t>Inflight for 1.1 (?), fix in 1.2</t>
  </si>
  <si>
    <t>C18</t>
  </si>
  <si>
    <t>=HYPERLINK(CONCATENATE($A$84&amp;INDIRECT("c"&amp;(ROW()+70))),INDIRECT("c"&amp;(ROW()+70)))</t>
  </si>
  <si>
    <t>ERT Advisory</t>
  </si>
  <si>
    <t>ODC-Opener</t>
  </si>
  <si>
    <t>ODC-Closure</t>
  </si>
  <si>
    <t>Activity</t>
  </si>
  <si>
    <t>[Master=67034, Astra-1.1.0] hp-smb lwio memory leak causes degraded performance running FSCT with 3800 users</t>
  </si>
  <si>
    <t>[Master=51093, Astra-1.1.0] SMB: RPC error umount error : filesystem mountpoint  directory is busy</t>
  </si>
  <si>
    <t>[Master=67131, Astra-1.1.0] LDAP configuration not automatically applied to nodes down at time of configuration, rescued nodes, or newly added nodes</t>
  </si>
  <si>
    <t>[Master=67242, Astra-1.1.0] [Customer: Lumina] lwsmd generating multiple cores during data migration</t>
  </si>
  <si>
    <t>c88</t>
  </si>
  <si>
    <t>QPnT: Customer Focused Test</t>
  </si>
  <si>
    <t>matthew.dav.bondurant@hpe.com</t>
  </si>
  <si>
    <t>chad.mitchell@hp.com</t>
  </si>
  <si>
    <t>[Master=65660, Astra-1.1.0] During roaming profile data synch to Unity CIFS share of 46 sessions (logout) node0 goes unresponsive - all cifs shares on node0 unavailable but no failover for hours</t>
  </si>
  <si>
    <t>[Master=67608, Astra-1.1.0] [Customer: Coast Community College]  smb2 find on directory fails with STACK_BUFFER_OVERFLOW</t>
  </si>
  <si>
    <t>StoreOnce Ypsilon(SMB 6.5.x)</t>
  </si>
  <si>
    <t>[Master=67747, Astra-1.1.0] [Customer:  Bharat Forge] Kerberos ticket request for SMB share fails with KRB Error: KRB5KDC_ERR_S_PRINCIPAL_UNKNOWN</t>
  </si>
  <si>
    <t>[Master=67608, Astra-1.1.0] [Customer: Coast Community College]  smb2 find on directory with &gt;5k entries fails, find request response exceeds 60 second timeout</t>
  </si>
  <si>
    <t>[Master=67772, Astra-1.1.0] Wipe out LDAP configuration after upgrade system from 3.2.1.292 to 3.2.2.284</t>
  </si>
  <si>
    <t>nandesh.palanisamy@hpe.com</t>
  </si>
  <si>
    <t>[Master=67816, Astra-1.1.0] [Customer: Informatica Trentina] can not add/remove export entry to file share due to /etc/exports corruption.</t>
  </si>
  <si>
    <t>Usability Bug</t>
  </si>
  <si>
    <t>Astra_1.1.0.38-20150827</t>
  </si>
  <si>
    <t>[Master=67873, Astra-1.1.0] hp-smb srvsvc memory leak causes degraded performance running FSCT</t>
  </si>
  <si>
    <t>R</t>
  </si>
  <si>
    <t>Attached to waiver for 67042</t>
  </si>
  <si>
    <t>santanug@hpe.com</t>
  </si>
  <si>
    <t>moorthy.mm@hpe.com</t>
  </si>
  <si>
    <t>[Master=55128, Astra-1.1.0] [Customer: Informatica Trentina] stray entries in /etc/exports after CURL delete/update export having more than 31 individual client ips</t>
  </si>
  <si>
    <t>thomas.jam.hromatka@hpe.com</t>
  </si>
  <si>
    <t>roselle.fernandez@hpe.com</t>
  </si>
  <si>
    <t>steve.e.douglas@hpe.com</t>
  </si>
  <si>
    <t>sayan.ghosh@hpe.com</t>
  </si>
  <si>
    <t>brian.zimpfer@hpe.com</t>
  </si>
  <si>
    <t>michael.roberts@hpe.com</t>
  </si>
  <si>
    <t>h</t>
  </si>
  <si>
    <t>1.1.0 Closed</t>
  </si>
  <si>
    <t>charles.wahlquist@hpe.com</t>
  </si>
  <si>
    <t>tomer.meshorer@hpe.com</t>
  </si>
  <si>
    <t>douglas.lee.potts@hpe.com</t>
  </si>
  <si>
    <t>[Master=48696, Atlas] No cross-protocol locking. NFS clients can corrupt Word docs while in use</t>
  </si>
  <si>
    <t>Astra-Post IR13 08-08-RTI</t>
  </si>
  <si>
    <t>Previous_Waiver</t>
  </si>
  <si>
    <t>[Master=52552, Atlas] mkdir on NFS share mounted on V3 client returns "mkdir: cannot create directory `&lt;name&gt;': invalid argument" - but dir is still created</t>
  </si>
  <si>
    <t>Astra-Post IR13 07-18</t>
  </si>
  <si>
    <t>[Master=52678, Atlas] NFSD related panic during SPECsfs</t>
  </si>
  <si>
    <t>Astra-Post IR13 10-24</t>
  </si>
  <si>
    <t>Atlas_1.2.0.45-20151105</t>
  </si>
  <si>
    <t>[Master=57072, Atlas] Adding LDAP group ACL from NFSv3 or on VM node using setfacl returns "Invalid Argument" and "ade_idmapd: getgrgid_r error 34 for gid "</t>
  </si>
  <si>
    <t>Atlas_1.2.0.44-20151029</t>
  </si>
  <si>
    <t>[Master=58079, Atlas] (Cross-Protocol) hp-smb  doesn't handle files correctly when their names differ in case only.</t>
  </si>
  <si>
    <t>Astra-Post IR13 11-21</t>
  </si>
  <si>
    <t>[Master=61184, Atlas] rapid calls to setfacl can cause timeout "Unknown error 528" error message on NFS client side</t>
  </si>
  <si>
    <t>[Master=62843, Atlas] http405 error during installs and online upgrade</t>
  </si>
  <si>
    <t>[Master=63194, Atlas] "lwsmd: Container dead with signal 6" and loss SMB access while InServ node crashed</t>
  </si>
  <si>
    <t>[Master=64221, Atlas] Windows client lost SMB share access: lwio: [lwio] RDR : RdrSocketRead  ../lwio/server/rdr/socket.c : 1893: Failed to read socket:Error code:0xc000020d]</t>
  </si>
  <si>
    <t>[Master=65346, Atlas] [Customer: US Army National Guard] directory structure of FP share not displayed in windows explorer on Win7 64 client after upgrade to SP1</t>
  </si>
  <si>
    <t>[Master=65660, Atlas] During roaming profile data synch to Unity CIFS share of 46 sessions (logout) node0 goes unresponsive - all cifs shares on node0 unavailable but no failover for hours</t>
  </si>
  <si>
    <t>Target</t>
  </si>
  <si>
    <t>[Master=67747, Atlas] [Customer:  Bharat Forge] Kerberos ticket request for SMB share fails with KRB Error: KRB5KDC_ERR_S_PRINCIPAL_UNKNOWN</t>
  </si>
  <si>
    <t>[Master=67626, Atlas] HP-SMB fails to start after system reboot, lsass processes stuck and unresponsive</t>
  </si>
  <si>
    <t>Escape</t>
  </si>
  <si>
    <t>[Master=68520, Atlas] User should get appropriate error message with 'createfsuser' and 'createfsgroup' command if LDAP 'gidNumber' or 'uid' is already exist.</t>
  </si>
  <si>
    <t>c100</t>
  </si>
  <si>
    <t>AtalasRedZoneCSV</t>
  </si>
  <si>
    <t>=HYPERLINK(CONCATENATE($A$96&amp;INDIRECT("c"&amp;(ROW()+82))),INDIRECT("c"&amp;(ROW()+82)))</t>
  </si>
  <si>
    <t>kyle.barry@hpe.com</t>
  </si>
  <si>
    <t>Atlas_1.2.0.41-20151008</t>
  </si>
  <si>
    <t>[Master=42454, Atlas] [Customer: BT, LAWA, Commonwealth Bank,Navisite] CIFS connections lost intermittently on certain clients, new connections not allowed until likewise restart</t>
  </si>
  <si>
    <t>arnab.das@hpe.com</t>
  </si>
  <si>
    <t>[Master=68315, Atlas] Adding ACL to share folder allows invalid principal names to be entered - no checking</t>
  </si>
  <si>
    <t>shounak.banerjee@hpe.com</t>
  </si>
  <si>
    <t>[Master=61897, Atlas] setfacl over nfsv3 fails where the UID or GID cannot be resolved to a name by the File Persona node.</t>
  </si>
  <si>
    <t>[Master=63347, Atlas] [Security] SMB is vulnerable to RC4 cipher vulnerability</t>
  </si>
  <si>
    <t>[Master=68845, Atlas] FSX run over NFS share fails with "Size error: expected 0x846dba3 stat 0xd4767a5 seek 0xd4767a5 "</t>
  </si>
  <si>
    <t>in triage</t>
  </si>
  <si>
    <t>Astra-1.0.2</t>
  </si>
  <si>
    <t>matt.dumm@hpe.com</t>
  </si>
  <si>
    <t>[Master=37654, Atlas] The Oplock grant result shows strange levels</t>
  </si>
  <si>
    <t>[Master=41238, Atlas] Do we need to do better than using "ibrix:ibrix" credentials for curl calls from hp-smb?</t>
  </si>
  <si>
    <t>[Master=41344, Atlas] persistent handles: We probably need to allow read-attribute opens even when there's a disconnected PHE</t>
  </si>
  <si>
    <t>Astra-IR8</t>
  </si>
  <si>
    <t>[Master=42234, Atlas] "lwsm stop lwreg" (SMB shutdown, restart, upgrade) hangs if service monitoring check/stop/start happens at the same time</t>
  </si>
  <si>
    <t>Astra-IR10</t>
  </si>
  <si>
    <t>[Master=44024, Atlas] LocalAuth: Limit size of sam.db from PML as per Unity product limits</t>
  </si>
  <si>
    <t>Astra-IR13</t>
  </si>
  <si>
    <t>[Master=47269, Atlas] Error from remote readall for node while showfshare smb on s739</t>
  </si>
  <si>
    <t>lance.swift@hpe.com</t>
  </si>
  <si>
    <t>[Master=49096, Atlas] After Upgrade Online Serial isoAttached rebootTrue is performed, error 'Health has failed unexpectedly.  Socket error' is seen for the approx 10 mins for the AD domain join check on the passive node.</t>
  </si>
  <si>
    <t>[Master=49291, Atlas] createfsuser- incorrect help text or command behavior</t>
  </si>
  <si>
    <t>[Master=49317, Atlas] Desire to store SIDS in nfsv4 acls, not UPN names or UIDs</t>
  </si>
  <si>
    <t>sue-pei.wang@hpe.com</t>
  </si>
  <si>
    <t>[Master=49327, Atlas] removefsuser does not delete users created using createfsuser</t>
  </si>
  <si>
    <t>[Master=49328, Atlas] removefsuser neither deletes the users nor returns an error</t>
  </si>
  <si>
    <t>[Master=49329, Atlas] createfsgroup allows creation of invalid groupnames</t>
  </si>
  <si>
    <t>[Master=49330, Atlas] removefsgroup does not delete groups created using createfsgroup</t>
  </si>
  <si>
    <t>[Master=49332, Atlas] removefsgroup neither deletes the groups nor returns an error</t>
  </si>
  <si>
    <t>scott.scott.hamilton@hp.com</t>
  </si>
  <si>
    <t>[Master=50489, Atlas] With domain access control configured, clients not in the domain should not be able to mount the share with NFSv4</t>
  </si>
  <si>
    <t>Documentation-NFS</t>
  </si>
  <si>
    <t>[Master=50644, Atlas] Parsing mount table option string is buggy</t>
  </si>
  <si>
    <t>[Master=50667, Atlas] when fuse is mounted on a nfsshare and same share is mounted on a client machine using NFS version=4, it doesn't list out the files of nfsshare at client</t>
  </si>
  <si>
    <t>Astra-Post IR13 09-05</t>
  </si>
  <si>
    <t>[Master=51087, Atlas] (Post IR13 09-26) Probable Race condition of hp-smb start and PML when FS/Mtree is getting created</t>
  </si>
  <si>
    <t>Astra-Post IR13 09-26</t>
  </si>
  <si>
    <t>[Master=51197, Atlas] File system unmount fails - if the fs name &amp; its mount path directory name are different</t>
  </si>
  <si>
    <t>Analysis in Progress;Complexity: [Med] Risk:[Med]</t>
  </si>
  <si>
    <t>Astra-Post IR13 10-03</t>
  </si>
  <si>
    <t>[Master=53006, Atlas] file lock inconsistency detected when failover is in progress</t>
  </si>
  <si>
    <t>[Master=53105, Atlas] Unity-LOCAL_CLUSTER\cifsuser permissions issue</t>
  </si>
  <si>
    <t>Astra-Post IR13 10-31</t>
  </si>
  <si>
    <t>[Master=46771, Atlas] Unable to get 'Disk quota exceeded' message on attempting to exceed stree HARD_SIZE limit from NFS client.</t>
  </si>
  <si>
    <t>Astra-Post IR13 07-11-RTI</t>
  </si>
  <si>
    <t>[Master=49740, Atlas] SMBtorture "RAW-ACLS-NULLDACL" failed</t>
  </si>
  <si>
    <t>[Master=52318, Atlas] coredump with lwsmd seen with "Core was generated by `lw-container lsass'."</t>
  </si>
  <si>
    <t>[Master=52933, Atlas] Index order option doesn't work with "nfs4_setfacl" command</t>
  </si>
  <si>
    <t>[Master=52603, Atlas] SMB fails to list the shares(created when VFS IP was present) after removing VFS IP. Allows to create and list a new share.</t>
  </si>
  <si>
    <t>[Master=54221, Atlas] "lwsm start" can time out and return an error after 30 seconds, causing service monitor to fall into kill/restart loop</t>
  </si>
  <si>
    <t>Astra-Post IR13 11-14</t>
  </si>
  <si>
    <t>[Master=54215, Atlas] NFSv4 ACLs: NFSv3 clients:  AIX reports aclget: The system call does not exist on this system.</t>
  </si>
  <si>
    <t>[Master=54393, Atlas] [UDU 120042] Unable to remove a previously added group named "Local".</t>
  </si>
  <si>
    <t>[Master=54986, Atlas] Need to handle com.hp.storage.pml.file.policystore.api.FileSystemDoesNotExistException</t>
  </si>
  <si>
    <t>[Master=55094, Atlas] quota restore from file  partially restores the quota when ldap  on passive node is not connected.</t>
  </si>
  <si>
    <t>venkateshl@hp.com</t>
  </si>
  <si>
    <t>Astra-1.0.0.25 (20141215)</t>
  </si>
  <si>
    <t>[Master=55198, Atlas] Some SSMC smoke tests in Users/Groups/Quotas fail with VDU build FileServices-1.0.0.28-20150102.iso</t>
  </si>
  <si>
    <t>[Master=39670, Atlas] [Error Handling] Creating a CIFS share with @ in name its name fails with exception</t>
  </si>
  <si>
    <t>Astra-IR7</t>
  </si>
  <si>
    <t>[Master=55314,Atlas] SrvProcessLockRequest_SMB_V2() crash (assert failure) trying to update PHS with BRL info</t>
  </si>
  <si>
    <t>[Master=53313, Atlas] followup to bug 43948: Should hp-smb do something better for gids that it cannot look up?</t>
  </si>
  <si>
    <t>[Master=55920, Atlas] lsass crash in rpc__smb_close_file_complete() while running smbtorture  [rpc.echo.echo.doublepointer] test</t>
  </si>
  <si>
    <t>Astra-Post IR13 10-10</t>
  </si>
  <si>
    <t>[Master=55929, Atlas] lsass crash in rpc__smb_socket_destroy() while running smbtorture  [rpc.echo.echo.enum]  test</t>
  </si>
  <si>
    <t>[Master=55928, Atlas] lsass crash in rpc__binding_free while running smbtorture [rpc.samba3.lsa.lsa] test</t>
  </si>
  <si>
    <t>[Master=55971, Atlas] lsass crash in NtlmVerifySignature() while running smbtorture [rpc.bind.ntlm,sign.ntlm,sign] test</t>
  </si>
  <si>
    <t>[Master=55978, Atlas] lsass crash in rpc__smb_close_file_complete() while running smbtorture  [rpc.lsa.lsa] test</t>
  </si>
  <si>
    <t>[Master=55967, Atlas] With Expansion of the node, provider stacking is not preserved, so need to setup again</t>
  </si>
  <si>
    <t>Astra-1.0.0.29 (20150112)</t>
  </si>
  <si>
    <t>[Master=55968, Atlas] With expansion of the node, LDAP entry do not exist on expanded node, so need to remove and re-join the LDAP</t>
  </si>
  <si>
    <t>[Master=56033, Atlas] lsass crash in rpc__cn_assoc_receive_frag() while running smbtorture unidentified test</t>
  </si>
  <si>
    <t>Astra-Post IR13 06-27-RTI</t>
  </si>
  <si>
    <t>[Master=56053, Atlas] lsass crash in rpc_ss_default_free() while running smbtorure [rpc.bind.ntlm,sign,seal.ntlm,sign,seal] test</t>
  </si>
  <si>
    <t>[Master=56067, Atlas] lsass crash in profile_parse_file() malloc() while running smbtorture [rpc.lsa.lsa] test</t>
  </si>
  <si>
    <t>[Master=56425, Atlas] lsass crash in lwmsg_type_iterate_promoted() while running smbtorture [rpc.bind.ntlm,sign.ntlm,sign] test</t>
  </si>
  <si>
    <t>[Master=56388, Atlas] lsass crash in lwmsg_data_free_graph_visit() while running smbtorture [rpc.samba3.bind.bind] test</t>
  </si>
  <si>
    <t>[Master=56450, Atlas] srvsvc crash in rpc__cn_sm_eval_event() while running smbtorture [rpc.srvsvc.srvsvc (admin access).NetNameValidate] test</t>
  </si>
  <si>
    <t>Astra-1.0.0.31 (20150126)</t>
  </si>
  <si>
    <t>[Master=56502, Atlas] Ldap user can still map share and access files after Ldap configuration removed from cluster</t>
  </si>
  <si>
    <t>[Master=56586, Atlas]"lwsm restart lwreg" returned success even though srvsvc failed to start properly</t>
  </si>
  <si>
    <t>[Master=55972, Atlas] lsass crash in rpc__binding_free() while running smbtorture [rpc.samba3.bind.bind] test</t>
  </si>
  <si>
    <t>Astra-1.0.0.23 (20141201)</t>
  </si>
  <si>
    <t>[Master=55719, Atlas] Not able to set and list ad group quota if group name is having caret(^) character in its name</t>
  </si>
  <si>
    <t>[Master=43596, Atlas] (IR12) - User quota on a Roaming profile user allows to create upto one file less than the hard inode limit. (Win Client - WinXP, AD server - WinServer 2008)</t>
  </si>
  <si>
    <t>Astra-IR12</t>
  </si>
  <si>
    <t>[Master=49746, Atlas] SMBtorture test SMB2-ACLS-GENERIC is failing</t>
  </si>
  <si>
    <t>[Master=52807, Atlas] configuring AD auth fails with generic error when AD isn't in the auth stack</t>
  </si>
  <si>
    <t>[Master=52811, Atlas] with AD configured but AD removed from stack, GET AD status returns no providers</t>
  </si>
  <si>
    <t>[Master=46293, Atlas] Lwsmd crashed with ASSERTION FAILED: Expression = (0) after cluster reboot</t>
  </si>
  <si>
    <t>[Master=55549, Atlas] hp-smb segfault in lsass while running smbtorture tests</t>
  </si>
  <si>
    <t>[Master=47877, Atlas] ACL:Snapshots:sometimes ace's are missing while copying the snapshot file:Resource temporarily unavailable</t>
  </si>
  <si>
    <t>Astra-Post IR13 07-25-RTI</t>
  </si>
  <si>
    <t>[Master=48872, Atlas] Folder redirection fails when we set Target folder location as "Redirect to the following Location"</t>
  </si>
  <si>
    <t>[Master=51898, Atlas] SMBTorture - raw.notify tests not passing</t>
  </si>
  <si>
    <t>[Master=49164, Atlas] [UDU113325] Could not get groups for user: The authentication request could not be handled</t>
  </si>
  <si>
    <t>[Master=50880, Atlas] hp-smb segfault in lsass while running smbtorture tests in SSL code path</t>
  </si>
  <si>
    <t>[Master=49537, Atlas] PML fun test needed.  CRUD functionality for NFS export as stree</t>
  </si>
  <si>
    <t>[Master=48464, Atlas] Need mechanism to wait for async closes when running down disconnected durables.</t>
  </si>
  <si>
    <t>[Master=50012, Atlas] Regression: NetrVFSStateChange returns error 1168 all the time</t>
  </si>
  <si>
    <t>Astra-Post IR13 09-12</t>
  </si>
  <si>
    <t>[Master=49412, Atlas] srv crash in SrvCheckOngoingPheReplicationCallback during shutdown</t>
  </si>
  <si>
    <t>[Master=47697, Atlas] Directory created for share with relative path is not deleted when share is deleted</t>
  </si>
  <si>
    <t>[Master=52294, Atlas] raw.acls.sd.sd test failure: ACEs are not handled in the correct order</t>
  </si>
  <si>
    <t>[Master=46238, Atlas] Socket errors observed on 7400 during AD join &amp; also enum of local user failed</t>
  </si>
  <si>
    <t>Astra-Post IR13 06-20</t>
  </si>
  <si>
    <t>Server-AAUM</t>
  </si>
  <si>
    <t>[Master=55707, Atlas] NFS Restore Fail using NBU ISV to VTL</t>
  </si>
  <si>
    <t>QPnT: ISV Test</t>
  </si>
  <si>
    <t>[Master=55539, Atlas] Fail back failed while doing http share download/upload</t>
  </si>
  <si>
    <t>[Master=55269, Atlas] LDAP REST-API does not return the status of LDAP server</t>
  </si>
  <si>
    <t>[Master=54992, Atlas] Repeating error in /var/log/messages: [lsass] Net Bios Name not matched. Please check the input Netbios name (or) LDAP provider configuration. This is an error message.#012</t>
  </si>
  <si>
    <t>[Master=54893, Atlas] Ldap status reported OK even when some of LDAP not working and lw-get-status status showing offline</t>
  </si>
  <si>
    <t>[Master=55135, Atlas] HP-SMB services were found stuck: SERVICE_UNRESPONSIVE in astra emulator</t>
  </si>
  <si>
    <t>[Master=55490, Atlas] Request to generate event for loss of persistent handle</t>
  </si>
  <si>
    <t>[Master=57016, Atlas] Config Backup Restore: SEVERE: Completion notification: Failed to create NFS share  for file system mounted on passive nodes</t>
  </si>
  <si>
    <t>[Master=56895, Atlas] SMB share list shows "no shares" even though the shares are successfully created and listed  (lost share information).</t>
  </si>
  <si>
    <t>Astra-1.0.0.27 (20141229)</t>
  </si>
  <si>
    <t>[Master=53441, Atlas] HP-SMB must take Product Configuration limits from PML as the only reference point</t>
  </si>
  <si>
    <t>[Master=52633, Atlas][UDU 120669] Modify SMB share:Unexpected error ERROR_INVALID_PARAMETER, there is no way to know which Parameter.</t>
  </si>
  <si>
    <t>[Master=52558, Atlas] SMBtorture "RAW-ACLS-NULLDACL" failed</t>
  </si>
  <si>
    <t>[Master=48706, Atlas] SMB Server allows creation and use of user on SSID1, but not on SSID2</t>
  </si>
  <si>
    <t>StoreOnce Xanadu(SMB 5.6.x)</t>
  </si>
  <si>
    <t>[Master=47791, Atlas] Need unit/regression tests for ACL bug 44043</t>
  </si>
  <si>
    <t>[Master=52651, Atlas] SMB server performance statistics need to be included in the 3PAR phone home data</t>
  </si>
  <si>
    <t>[Enhancement][Convert to Rally User Story]</t>
  </si>
  <si>
    <t>QPnT: Performance Test</t>
  </si>
  <si>
    <t>[Master=57468, Atlas] Stonith Failure may cause orphan PHE</t>
  </si>
  <si>
    <t>[Master=55619, Atlas] hp-smb segfault in lsass while running smbtorture tests</t>
  </si>
  <si>
    <t>[Master=57963, Atlas] Insufficient diagnostic information in logs to understand reason for filesystem freeze conditions caused by nfs</t>
  </si>
  <si>
    <t>[Master=57964, Atlas] Insufficient diagnostic information in logs to understand reason for filesystem freeze conditions caused by smb</t>
  </si>
  <si>
    <t>[Master=58612, Atlas] [Unity 1.1] NFSv4 share with async option showing longer write times than sync options (File size 2GB)</t>
  </si>
  <si>
    <t>[Master=59348, Atlas] [UDU 130413] showfsquota does not show netbios name for Ldap user quota</t>
  </si>
  <si>
    <t>[Master=59347, Atlas] [UDU 130538] could not modify user : ERROR_NO_SUCH_USER - Managing a local FS user that matches the name of LDAP user fails</t>
  </si>
  <si>
    <t>[Master=59637, Atlas] Local user is mapped to "nfsnobody" intermittently when listed quota information.</t>
  </si>
  <si>
    <t>[Master=59659, Atlas] [UDU 131575] setfsquota creates wrong user name when domain user name has space in between</t>
  </si>
  <si>
    <t>[Master=59748, Atlas] Atlas v1.2 install has continuing error: Ldap command does not exist: health</t>
  </si>
  <si>
    <t>[Master=60424, Atlas] After applied ACL permission, user can't access folder which was created by him</t>
  </si>
  <si>
    <t>[Master=60556, Atlas] [UDU 132938] - Exception in showfsuer and createuser commands: com.hp.storage.pml.file.protocols.api.exception.HPProtocolServiceImplException: Could not get groups for user: ERROR_WRONG_DISK</t>
  </si>
  <si>
    <t>[Master=60601, Atlas] [UDU 132255] Restarting a robocopy session reports all newer files and copy data again</t>
  </si>
  <si>
    <t>[Master=60724, Atlas] [Unity 1.1] After setting permissions to a non-owner user on a directory created on the HP-SMB share, inconsistency observed between "cd" and accessing a directory via GUI</t>
  </si>
  <si>
    <t>[Master=61271, Atlas] 'setfs idmap' queues configuration changes and each has to be removed in turn to disable idmap</t>
  </si>
  <si>
    <t>[Master=61468, Atlas] [UDU 133573] - Need to update error message while "createfsuser" command failed due to user limit</t>
  </si>
  <si>
    <t>[Master=61555, Atlas] Some NFS shares reporting state unknown</t>
  </si>
  <si>
    <t>[Master=39099, Atlas] Persistent Handles: RPL dead lock between two node</t>
  </si>
  <si>
    <t>[Master=62359, Atlas] Need mechanism to disable ejecting LDAP from stack when LDAP server is zombie</t>
  </si>
  <si>
    <t>[Master=62719, Atlas] [UDU Bug 136049] - "showfs -ldap" shows LDAP configuration details even though the "setfs ldap" failed with error message.</t>
  </si>
  <si>
    <t>[Master=62876, Atlas] AD Domain join fails when a manual machine account is added and the Principal used doesn't have write access to the LDAP OU</t>
  </si>
  <si>
    <t>[Master=62917, Atlas] [HP-SMB] : File after issuing chmod 444 is not getting transitioned to retained on a HP-SMB share mounted on the Linux client.</t>
  </si>
  <si>
    <t>[Master=62959, Atlas] Block invalid Adding acl for EVERYONE@&lt;domain&gt; with Full Control using setfshare applies correctly but does not grant the desired access</t>
  </si>
  <si>
    <t>[Master=63164, Atlas] SMB Tunable Parameters- â€œsigningenabledâ€ and "signingrequired" are not toggling the correct registry keys on the nodes</t>
  </si>
  <si>
    <t>[Master=63777, Atlas] ACL functionality does not work as expected after username mapping enabled</t>
  </si>
  <si>
    <t>[Master=63790, Atlas] Logging does not always works as expected with username mapping enabled</t>
  </si>
  <si>
    <t>[Master=64164, Atlas] Bad characters in 'To' and 'From' name of username file does not report errors</t>
  </si>
  <si>
    <t>P8</t>
  </si>
  <si>
    <t>[Master=64456, Atlas] [UDU - 135789] 3.2.2.168: showalert: File Services:0:lwsmd Failed</t>
  </si>
  <si>
    <t>[Master=65086, Atlas] "createfshare nfs" failed w/ error 'Failed to remove file store fstore5: Could not get exports. Error during request to host: 127.127.0.11, port: 9443 with status 500 and message=Request failed. ...'</t>
  </si>
  <si>
    <t>[Master=65204, Atlas] Quota limits not displayed correctly when local group is recreated with same name and different GIDs.</t>
  </si>
  <si>
    <t>Atlas_1.2.0.43-20151022</t>
  </si>
  <si>
    <t>[Master=65531, Atlas] Share names containing international characters can be created by Windows MMC, but they are unusable</t>
  </si>
  <si>
    <t>[Master=65593, Atlas] User is not authenticated based on the authentication stacking order</t>
  </si>
  <si>
    <t>[Master=65711, Atlas] statfs returns error: key "HP-SMBInfo" not known in dictionary under moderate cifs load</t>
  </si>
  <si>
    <t>[Master=65211, Atlas] Modifying AD user quota completed with error message "Error: status=403,exception message=HTTP 403 Forbidden"</t>
  </si>
  <si>
    <t>anusha.mohandas@hpe.com</t>
  </si>
  <si>
    <t>[Master=65919, Atlas] Multiple VFS activation for single VFS results in duplicate NFS bind mount during FPG mount</t>
  </si>
  <si>
    <t>[Master=66136, Atlas] NFS share health state is "Unknown" after online upgrade performed from 3.2.226 to 3.2.2236 , vfs not part of fsid cache after upgrade.</t>
  </si>
  <si>
    <t>[Master=66235, Atlas] FPG Failed to RMFS when trying to umount when it was in use on the VM.</t>
  </si>
  <si>
    <t>[Master=66081, Atlas] Roaming profile not getting sync as showing "not enough disk space" though there is a space available on the disk.</t>
  </si>
  <si>
    <t>[Master=66453, Atlas] Lsass crashed while running scripts to do domain join and domain leave in parallel</t>
  </si>
  <si>
    <t>[Master=66480, Atlas] [Customer Arvato] 'Allow' permission for Domain Admins group overrides explicit 'Deny' on files and folders</t>
  </si>
  <si>
    <t>[Master=66758, Atlas] Excessive "lsass: [lsass] No object found! ldap_search " messages when joined to AD and Ldap and running I/O</t>
  </si>
  <si>
    <t>[Master=67065, Atlas] Protocols health could swamp the cluster causing other PML commands to timeout</t>
  </si>
  <si>
    <t>[Master=67037, Atlas] SEVERE: NFS Create export: Adding NFS share failed with error - Unknown error was observed</t>
  </si>
  <si>
    <t>[Master=67224, Atlas] MMC: attempting to close open file results in â€œThe system cannot find the file specifiedâ€ error</t>
  </si>
  <si>
    <t>[Master=67507, Atlas] Configuration restore doesn't restore the ACLs applied using "setfshare" command options to NFS share .</t>
  </si>
  <si>
    <t>[Master=67662, Atlas] lwsmd core dumps after LDAP goes down</t>
  </si>
  <si>
    <t>[Master=67908, Atlas] Illogical/invalid combination of no_root_squash and all_squash options not rejected</t>
  </si>
  <si>
    <t>[Master=67960, Atlas] NFS share created on .admin fstore is not restored after configuration restore.</t>
  </si>
  <si>
    <t>[Master=68012, Atlas] acls not appearing correctly in command line when share is mapped using local users</t>
  </si>
  <si>
    <t>[Master=67882, Atlas] NFS share have health status as "Unknown" after online upgrade from 3.2.1.292(MU3) to 3.2.2.284.</t>
  </si>
  <si>
    <t>[Master=37973, Atlas] lsass &amp; ibfs stuck while configuring idMapping</t>
  </si>
  <si>
    <t>[Master=68497, Atlas ]Remote Copy of FPG of same name breaks NFS shares</t>
  </si>
  <si>
    <t>olga.revsin@hpe.com</t>
  </si>
  <si>
    <t>[Master=68864, Atlas] lwsmd multiple crashes of lwreg during roaming profile sync of over 50 users and provider stacking change</t>
  </si>
  <si>
    <t>[Master=68933, Atlas] Create NFS share fails if named the same as a deleted Obj share</t>
  </si>
  <si>
    <t>[Master=69097, Atlas] fmio.cert landing need to be placed on /config/hp-smb</t>
  </si>
  <si>
    <t>[Master=69237, Atlas] Create NFS FAILED : Connection to host: 127.127.0.11, port: 9443 timed out</t>
  </si>
  <si>
    <t>[Master=69412, Atlas] Changing Authentication from AD to User back to AD causes CIFS shares (new/old) to be inaccessible</t>
  </si>
  <si>
    <t>3.13.2 Zirkel</t>
  </si>
  <si>
    <t>[Master=58905, Atlas] PCR UN_32  Granting Everyone access from SMB does not allow all AD static users to Read from NFS</t>
  </si>
  <si>
    <t>Astra-1.0.x</t>
  </si>
  <si>
    <t>avik.mondal@hpe.com</t>
  </si>
  <si>
    <t>[Master=51093, Atlas] SMB: RPC error umount error : filesystem mountpoint  directory is busy</t>
  </si>
  <si>
    <t>Astra-Post IR13 09-19</t>
  </si>
  <si>
    <t>[Master=69606, Atlas] Deleting Ldap configuration does not remove Ldap from stacking order or provide warning which results in repeated errors in /var/log/messages</t>
  </si>
  <si>
    <t>[Master=69651, Atlas]Unable to Unmount FPG with long VFS, File Store and Share name</t>
  </si>
  <si>
    <t>Aurora</t>
  </si>
  <si>
    <t>[Master=69932, Atlas] Multiple "Failed to read registry key" errors in /var/log/pml/smb_rpc.log after node failover</t>
  </si>
  <si>
    <t>[Master=70144, Atlas] Setting the ClientCreditLimit to a large value in the likewise registry results in HP-SMB stack crash: lwsmd[6770]: segfault at 0 ip 00000033eb60ac1a sp 00007f2294df6c98 error 6 in libpthread-2.12.so[33eb600000+17000]</t>
  </si>
  <si>
    <t>Solutions CPE</t>
  </si>
  <si>
    <t>[Master=52549, Atlas][UDU118475] No Ldap user access from CIFS or NFS after configuring Ldap with REST - "Ldap" not added to stacking order</t>
  </si>
  <si>
    <t>[Master=70252, Atlas] Excessive logging of not important info</t>
  </si>
  <si>
    <t>[Master=70919, Atlas] [Customer University Wuerzburg] Allow File Persona to support UID and GIDs below 1000</t>
  </si>
  <si>
    <t>[Master=70984, Atlas] SMB share deletion displays weird date Jan1,1970 and share name was missing in event.log file</t>
  </si>
  <si>
    <t>[Master=71195, Atlas] CURL 'get' request is returning unexpected values for ACE inheritance flags</t>
  </si>
  <si>
    <t>[Master=59230, Atlas] [UDU=149316][Unity 1.1] Even after deleting an AD user from the group, user can still modify the contents of a folder which has modify permissions for the group.</t>
  </si>
  <si>
    <t>[Master=71325, Atlas] [Customer: Kinecta FCU] Unable to migrate data from NetApp filer to File Persona SMB share</t>
  </si>
  <si>
    <t>CFI</t>
  </si>
  <si>
    <t>souravb@hpe.com</t>
  </si>
  <si>
    <t>[Master=70446, Atlas] Unable to create NFS share on .admin to copy backup artifact when FS is full.</t>
  </si>
  <si>
    <t>Atlas_1.2.0.45-20151104</t>
  </si>
  <si>
    <t>[Master=71492, Atlas] SMB share not recovered on the FPG after Remote Copy Failover. (FPG was grown on the source cluster)</t>
  </si>
  <si>
    <t>[Master=71864, Atlas] New SMB connections not allowed after Active Directory service are restarted</t>
  </si>
  <si>
    <t>[Master=71724, Atlas] SMB/NFS load test-ade_idmap_uid_to_name returned IDMAP_SERVICE_UNAVAILABLE</t>
  </si>
  <si>
    <t>Cross-Protocols-SMB</t>
  </si>
  <si>
    <t>[Master=71797, Atlas] multiple LWSMD cores during upgrade</t>
  </si>
  <si>
    <t>[Master=71821, Atlas] NFS share deletion fails if VFS IP has been removed with error "NFS Delete Export failed with error: export path &lt;path&gt; does not exist"</t>
  </si>
  <si>
    <t>TRACKING BUG: Insufficient diagnostic information in logs to understand reason for filesystem freeze conditions</t>
  </si>
  <si>
    <t>[Master=71412, Atlas] lwsmd process crash due to bond degraded via cable pull</t>
  </si>
  <si>
    <t>[Master=55915, Atlas] lsass  crash in  NtlmServerDecryptMessage() while runing smbtorture the [rpc.samba3.winreg.winreg] test</t>
  </si>
  <si>
    <t>ramesh.velusamy@hpe.com</t>
  </si>
  <si>
    <t>[Master=61403, Atlas] "showfsquota" command displayed local group (Linux group) instead of ldap group on which quota limits applied.</t>
  </si>
  <si>
    <t>[Master=68734, Atlas] Windows client cannot view or change Local users or groups in Security Tab - Owner defaults to 10\Administrators (BUILTIN\Administrators)</t>
  </si>
  <si>
    <t>sujasha.de@hpe.com</t>
  </si>
  <si>
    <t>hugo.kiehl@hpe.com</t>
  </si>
  <si>
    <t>[Master=72779, Atlas] ONFSCK workflow : showfshare shows invalid state for nfs share with sharedir deleted</t>
  </si>
  <si>
    <t>[Master=73055, Atlas] Possible Memory Leak in LSASSD??</t>
  </si>
  <si>
    <t>QPnT: Release Test</t>
  </si>
  <si>
    <t>[Master=67205, Atlas] [Customer: Wolfson Hospital] HP-SMB stack crash on shutdown, SIGABRT with: lwio: [lwio] Failed to lock mutex: 22. Aborting program</t>
  </si>
  <si>
    <t>[Master=73572, Atlas] [Customer: Kinecta] Memory leak in lwio during data migration</t>
  </si>
  <si>
    <t>ERT - Awaiting Formal Review</t>
  </si>
  <si>
    <t>ERT - Waiver Not Required</t>
  </si>
  <si>
    <t>DO NOT USE - CRB and Waivers</t>
  </si>
  <si>
    <t>[Master=73098, Atlas] Unable to access snapshots inside .snapshot folder from NFS client when NFS share is created on .snapshot folder.</t>
  </si>
  <si>
    <t>[Master=73221, Atlas] Create NFS share with name containing curly brackets succeeds, usage fails</t>
  </si>
  <si>
    <t>[Master=73291, Atlas] syslog says "Failed to sync system time" every time LsaSetSystemTime() function successfully updates the system time</t>
  </si>
  <si>
    <t>[Master=73552, Atlas] not all LSA_CONFIG structs in AD_ReadRegistry() are fully init'd</t>
  </si>
  <si>
    <t>[Master=73524, Atlas] [UDU - 135660] - "createfshare smb ..." fails for sharename (and sharedir) "aa+"</t>
  </si>
  <si>
    <t>[Master=73365, Atlas] SMBTorture test case are failing with error "failed to connect server"</t>
  </si>
  <si>
    <t>Functional Regression</t>
  </si>
  <si>
    <t>[Master=73682, Atlas] Persistent Handles fail on SMB3 client (more of file exits before end) due to failover with oplocks disabled</t>
  </si>
  <si>
    <t>[Master=73866, Atlas] Deactivating FPG results in FAILED_TO_RMFS after deletion of an NFS share's directory</t>
  </si>
  <si>
    <t>Legacy Programs - CRB and Waivers</t>
  </si>
  <si>
    <t>Regression</t>
  </si>
  <si>
    <t>[Master=74120, Atlas] lwsmd segfault during Roaming Profile Synch from 45 client sessions</t>
  </si>
  <si>
    <t>[Master=74252, Atlas] SMB client created folder on SMB share with unprintable character on end on name and then cannot access or remove it</t>
  </si>
  <si>
    <t>[Master=73715, Atlas] [Customer: Informatica Trentina] nfs deadlock in nfsd3_proc_rename</t>
  </si>
  <si>
    <t>david.noveck@hpe.com</t>
  </si>
  <si>
    <t>CRB</t>
  </si>
  <si>
    <t>Waivers</t>
  </si>
  <si>
    <t>Waiver Requested</t>
  </si>
  <si>
    <t>[Master=61184, Atlas] rapid calls to commands that require ID lookups (setfacl or ls -laR) can cause timeout "Unknown error 528" error message on NFS client side</t>
  </si>
  <si>
    <t>[Master=74871, Atlas] Ad and Ldap Rest requests are taking up to 33 minutes, blocking all PML HTTP threads</t>
  </si>
  <si>
    <t>[Master=74872, Atlas] Memory leak in lwsm (possibly lsass) during long I/O run</t>
  </si>
  <si>
    <t>brandon.sco.schaffer@hpe.com</t>
  </si>
  <si>
    <t>QPnT: Integration Test</t>
  </si>
  <si>
    <t>[Master=75017, Atlas] HPEcopy using Windows 2012 fails with exit code 10 and exit code 11.</t>
  </si>
  <si>
    <t xml:space="preserve">Need more information </t>
  </si>
  <si>
    <t>[Master=74627, Atlas] File system was frozen due to leftover bind mount (which later led to expected failure during upgrade precheck)</t>
  </si>
  <si>
    <t>justin.d.mulka@hpe.com</t>
  </si>
  <si>
    <t>[Master=73040, Atlas] Additional extended attributes are getting added to th ACLs of restored files after DP restore of SMB share even though the original backup files were not having extended attributes in thier ACLs.</t>
  </si>
  <si>
    <t>ankur.makwana@hpe.com</t>
  </si>
  <si>
    <t>[Master=73947, Atlas] Robocopy on win8 client returns access denied when robocopying file to HP-SMB server (GetInfo/SEC_INFO request -&gt; STATUS_ACCESS_DENIED)</t>
  </si>
  <si>
    <t>[Master=75304, Atlas] [Customer: Tata] Multiple UIDs present for the same user</t>
  </si>
  <si>
    <t>[Master=75377, Atlas] Incorrect LDAP setting causes AD shares to disconnect</t>
  </si>
  <si>
    <t>QPnT: Final Regression Test</t>
  </si>
  <si>
    <t>[Master=75384, Atlas] NFS share not restored when mtree deleted and recreated with same name.</t>
  </si>
  <si>
    <t>[Master=75405, Atlas] Revert from 3.2.2.368-MU2 to 3.2.2.290EGA , removes the LDAP configuration</t>
  </si>
  <si>
    <t>[Master=75400, Atlas] after upgrade from unity 1.1 to Unity 1.2 , 2 nodes lost the LDAP configuration that displays showquota without ldapusers..</t>
  </si>
  <si>
    <t>kari.kechter@hpe.com</t>
  </si>
  <si>
    <t>[Master=74808, Atlas] Regression - Roaming Profile data not available. HP-SMB not allowing any new SMB connections - appears HP-SMB stack is hung</t>
  </si>
  <si>
    <t>[Master=75387, Atlas] After the upgrade from 3.2.2.290EGA to 3.2.2.362MU2  ,  showalert displays major alerts on LDAP after @10mins health.</t>
  </si>
  <si>
    <t>Waiver form</t>
  </si>
  <si>
    <t>AE</t>
  </si>
  <si>
    <t>waivers</t>
  </si>
  <si>
    <t>[Master=62843, Aurora] http405 error during installs and online upgrade</t>
  </si>
  <si>
    <t>[Master=66612, Aurora] ONFSCK workflow test : inconsistency into FS/VFS name space : Post ONFSCK complete :  share state is unknown</t>
  </si>
  <si>
    <t>abhisek.banerjee@hpe.com</t>
  </si>
  <si>
    <t>[Master=69107, Aurora] 3par: ONFSCK : POST onfsck nfs fshare state is unknown</t>
  </si>
  <si>
    <t>blocker</t>
  </si>
  <si>
    <t>[Master=70134, Aurora] On SMB share create, PML appears to be overwriting the folder's ACL even in the event it is non-empty.</t>
  </si>
  <si>
    <t>[Master=71864, Aurora] New SMB connections not allowed after Active Directory service are restarted</t>
  </si>
  <si>
    <t>Impact</t>
  </si>
  <si>
    <t>[Master=73098, Aurora] Unable to access snapshots inside .snapshot folder from NFS client when NFS share is created on .snapshot folder.</t>
  </si>
  <si>
    <t>[Master=73682, Aurora] Persistent Handles fail on SMB3 client (more of file exits before end) due to failover with oplocks disabled</t>
  </si>
  <si>
    <t>[Master=61184, Aurora] rapid calls to commands that require ID lookups (setfacl or ls -laR) can cause timeout "Unknown error 528" error message on NFS client side</t>
  </si>
  <si>
    <t>[Master=75384, Aurora] NFS share not restored when mtree deleted and recreated with same name.</t>
  </si>
  <si>
    <t>[Master=75405, Aurora] Revert from 3.2.2.368-MU2 to 3.2.2.290EGA , removes the LDAP configuration</t>
  </si>
  <si>
    <t>[Master=75387, Aurora] After the upgrade from 3.2.2.290EGA to 3.2.2.362MU2  ,  showalert displays major alerts on LDAP (or AD) after @10mins health.</t>
  </si>
  <si>
    <t>[Master=67205, Aurora] [Customer: Wolfson Hospital] HP-SMB stack crash on shutdown, SIGABRT with: lwio: [lwio] Failed to lock mutex: 22. Aborting program</t>
  </si>
  <si>
    <t>[Master=57072, Aurora] Adding LDAP group ACL from NFSv3 or on VM node using setfacl returns "Invalid Argument" and "ade_idmapd: getgrgid_r error 34 for gid "</t>
  </si>
  <si>
    <t>[Master=52678, Aurora] NFSD related panic during SPECsfs</t>
  </si>
  <si>
    <t>[Master=61897, Aurora] setfacl over nfsv3 fails where the UID or GID cannot be resolved to a name by the File Persona node.</t>
  </si>
  <si>
    <t>Analysis in progress</t>
  </si>
  <si>
    <t>jonathan.hittle@hpe.com</t>
  </si>
  <si>
    <t>[Master=68520, Aurora] User should get appropriate error message with 'createfsuser' and 'createfsgroup' command if LDAP 'gidNumber' or 'uid' is already exist.</t>
  </si>
  <si>
    <t>[Master=67882, Aurora] NFS share have health status as "Unknown" after online upgrade from 3.2.1.292(MU3) to 3.2.2.284.</t>
  </si>
  <si>
    <t>[Master=54350, Aurora] [UDU 122943] "No such local group" error adding AD or Local users to Administrators group with setfsgroup</t>
  </si>
  <si>
    <t>[Not GA]</t>
  </si>
  <si>
    <t>[Master=68864, Aurora] lwsmd multiple crashes of lwreg during roaming profile sync of over 50 users and provider stacking change</t>
  </si>
  <si>
    <t>[Master=51093, Aurora] SMB: RPC error umount error : filesystem mountpoint  directory is busy</t>
  </si>
  <si>
    <t>[Master=69237, Aurora] Create NFS FAILED : Connection to host: 127.127.0.11, port: 9443 timed out</t>
  </si>
  <si>
    <t>[Master=69606, Aurora] Deleting Ldap configuration does not remove Ldap from stacking order or provide warning which results in repeated errors in /var/log/messages</t>
  </si>
  <si>
    <t>[Master=69651, Aurora]Unable to Unmount FPG with long VFS, File Store and Share name</t>
  </si>
  <si>
    <t>[Master=70252, Aurora] Excessive logging of not important info</t>
  </si>
  <si>
    <t>[Master=70446, Aurora] Unable to create NFS share on .admin to copy backup artifact when FS is full.</t>
  </si>
  <si>
    <t>[Master=70919, Aurora] [Customer University Wuerzburg] Allow File Persona to support UID and GIDs below 1000</t>
  </si>
  <si>
    <t>[Master=70984, Aurora] SMB share deletion displays weird date Jan1,1970 and share name was missing in event.log file</t>
  </si>
  <si>
    <t>[Master=71195, Aurora] CURL 'get' request is returning unexpected values for ACE inheritance flags</t>
  </si>
  <si>
    <t>[Master=71492, Aurora] SMB share not recovered on the FPG after Remote Copy Failover. (FPG was grown on the source cluster)</t>
  </si>
  <si>
    <t>[Master=71797, Aurora] multiple LWSMD cores during upgrade</t>
  </si>
  <si>
    <t>[Master=71821, Aurora] NFS share deletion fails if VFS IP has been removed with error "NFS Delete Export failed with error: export path &lt;path&gt; does not exist"</t>
  </si>
  <si>
    <t>[Master=72420, Aurora] Create SMB share failed ERROR_BAD_NET_RESP  for long path greater than 130 characters</t>
  </si>
  <si>
    <t>[Master=72591, Aurora] Customer may see lwsmd crash due to network cable pull</t>
  </si>
  <si>
    <t>[Master=72735, Aurora] VFS without IP can have SMB share created, but it disappears on FPG failover</t>
  </si>
  <si>
    <t>[Master=72779, Aurora] ONFSCK workflow : showfshare shows invalid state for nfs share with sharedir deleted</t>
  </si>
  <si>
    <t>[Master=63347, Aurora] [Security] SMB is vulnerable to RC4 cipher vulnerability</t>
  </si>
  <si>
    <t>[Master=73066, Aurora] ONFSCK workflow : showfshare shows invalid state for smb share with sharedir deleted</t>
  </si>
  <si>
    <t>[Master=73103, Aurora] [UDU - 151558] - Created VFS, Fstore, or Share named 0.0 is returned as 0 and is unusable.</t>
  </si>
  <si>
    <t>[Master=73291, Aurora] syslog says "Failed to sync system time" every time LsaSetSystemTime() function successfully updates the system time</t>
  </si>
  <si>
    <t>[Master=73524, Aurora] [UDU - 135660] - "createfshare smb ..." fails for sharename (and sharedir) "aa+"</t>
  </si>
  <si>
    <t>[Master=73866, Aurora] Deactivating FPG results in FAILED_TO_RMFS after deletion of an NFS share's directory</t>
  </si>
  <si>
    <t>arpan.chatterjee@hpe.com</t>
  </si>
  <si>
    <t>[Master=74642, Aurora] Able to create SMB shares with duplicate names when an FPG is deleted and recreated with same name, where configbackup is performed on the deleted FPG</t>
  </si>
  <si>
    <t>Green Zone</t>
  </si>
  <si>
    <t>[Master=66480, Aurora] [Customer Arvato] 'Allow' permission for Domain Admins group overrides explicit 'Deny' on files and folders</t>
  </si>
  <si>
    <t>[Master=75226, Aurora] Robocopy job infrequently failed during failover with â€œThe system cannot find the file specifiedâ€ resulting in no retry</t>
  </si>
  <si>
    <t>[Master=75243, Aurora] Cannot join Active Directory, observed error message "FAILED : could not join the domain: Sam database is locked"</t>
  </si>
  <si>
    <t>[Master=75300, Aurora] After configuring FilePersona AD config throws Alert "Health has failed unexpectedly"</t>
  </si>
  <si>
    <t>[Master=65204, Aurora] Quota limits not displayed correctly when local group is recreated with same name and different GIDs.</t>
  </si>
  <si>
    <t>[Master=43867, Aurora] Health Status results sometimes empty</t>
  </si>
  <si>
    <t>[Master=46659, Aurora] Create LDAP Config: when one VM is down, reports error but still creates it</t>
  </si>
  <si>
    <t>[Master=52482, Aurora] Add additional well known sids</t>
  </si>
  <si>
    <t>[Master=57010, Aurora] Lsass crashed while running smbtorture tests</t>
  </si>
  <si>
    <t xml:space="preserve"> yellowzone bugs that can be divided into the groups listed below.</t>
  </si>
  <si>
    <t>https://bugzilla.houston.hpecorp.net:1181/bugzilla/show_bug.cgi?id=</t>
  </si>
  <si>
    <t>[Master=75770, Aurora] Data corruption reported on NFS I/O after failover event</t>
  </si>
  <si>
    <t>[Master=75770, Atlas] Data corruption reported on NFS I/O after failover event</t>
  </si>
  <si>
    <t>[Master=75914, Atlas] LDAP configuration lost on upgrade to V1.3</t>
  </si>
  <si>
    <t>[Master=74834, Aurora] After upgrade from 1.2 to 1.3, SMB oplocks/leases are enabled but should be disabled</t>
  </si>
  <si>
    <t>[Master=75854, Atlas] Unable to access SMB share access  getting error message " The network path was not found."</t>
  </si>
  <si>
    <t>[Master=75758, Atlas] [Customer: SafeTech] Call to LWIO_ASSERT fails to result in daemon core file creation</t>
  </si>
  <si>
    <t>[Master=75400, Aurora] After expansion from 2 nodes to 4 nodes, 2 nodes lost the LDAP configuration that displays showquota without ldapusers..</t>
  </si>
  <si>
    <t>[Master=75400, Atlas] After expansion from 2 nodes to 4 nodes, 2 nodes lost the LDAP configuration that displays showquota without ldapusers..</t>
  </si>
  <si>
    <t>New_Feature</t>
  </si>
  <si>
    <t>Platform QA Integration</t>
  </si>
  <si>
    <t>[Master=76407, Aurora] SMB3 - Meatgrinder - Invalid handle error upon node failover</t>
  </si>
  <si>
    <t>[Master=75854, Aurora] Unable to access SMB share access  getting error message " The network path was not found."</t>
  </si>
  <si>
    <t>ved.sonkar@hp.com</t>
  </si>
  <si>
    <t>Failed to Join AD-Domain in FileServices-1.1.0.2-20141016.013623.iso build</t>
  </si>
  <si>
    <t>Unity v1.2, FileServices-1.2.0.32-20150813.iso acl-ade-plugin is missing registration hook</t>
  </si>
  <si>
    <t>Need to generate appropriate events related to changes in SMB global settings</t>
  </si>
  <si>
    <t>[Master=34384, Atlas] SMB2 file IDs are supposed to be unique, but SrvTree2AcquireFileId_inlock doesn't guarantee this</t>
  </si>
  <si>
    <t>ashustosh.kumar@hp.com</t>
  </si>
  <si>
    <t>[Master=42075, Atlas] Local Auth: XCOPY and Robocopy with copying ACL option is failing with Access Denied Error</t>
  </si>
  <si>
    <t>[Master=50493, Atlas] showfsuser returns exception "com.hp.storage.pml.file.protocols.api.exception.HPProtocolServiceImplException: Could not get groups for user: Sam database is locked"</t>
  </si>
  <si>
    <t>[Master=52555, Atlas] When MMC creates a share, it sets the CA bit to 0, disabling persistent handles on that share</t>
  </si>
  <si>
    <t>[Master=53348, Atlas] WORM/Retention creation through HP-SMB</t>
  </si>
  <si>
    <t>[Master=54263, Atlas] NFSv4 Broken on Dec 2nd and 3rd ISO</t>
  </si>
  <si>
    <t>[Master=54286, Atlas] 3PAR File Persona Documentation: HP-UX 11iv3 client POSIX ACL limitation with NFSv4</t>
  </si>
  <si>
    <t>[Master=54405, Atlas] failed to RMFS - bind mounts blocking clean umount</t>
  </si>
  <si>
    <t>[Master=54619, Atlas] pml-search component fails to load due to depending on older version of NFS api</t>
  </si>
  <si>
    <t>[master=54828, Atlas][UDU124126] Failed to failover the file system(s) from the node node0fs</t>
  </si>
  <si>
    <t>[Master=55054, Atlas] NFS PML Plugin for Atlas needs to be updated to match changes made in pml.file.netprotcoord</t>
  </si>
  <si>
    <t>[Master=55168, Atlas]Continuous lwsmd crashes lead to local partition filling up with log collections</t>
  </si>
  <si>
    <t>roushan.kumar.sinha@hpe.com</t>
  </si>
  <si>
    <t>[Master=55485, Atlas] Error value reuse for two different error type.</t>
  </si>
  <si>
    <t>[Master=55626, Atlas] hp-smb is getting STONITH failure on requested node when services are not running on partner node</t>
  </si>
  <si>
    <t>[Master=55766, Atlas] C$ share has "everyone:fullcontrol" perms -- is that too open?</t>
  </si>
  <si>
    <t>varun.hariharan@hpe.com</t>
  </si>
  <si>
    <t>[Master=56248, Atlas] Cluster aware health reporting for LDAP</t>
  </si>
  <si>
    <t>[Master=56495, Atlas] sometimes "Domain Admins" isn't a member of share admins group (Builtin\administrators) after install</t>
  </si>
  <si>
    <t>tom.nelson@hpe.com</t>
  </si>
  <si>
    <t>[Master=56582, Atlas]Service Monitor needs to watch for "stuck" state</t>
  </si>
  <si>
    <t>[Master=56671, Atlas] rpc.idmapd grabs port 3493 on failover, prevents protocolsserviced from starting</t>
  </si>
  <si>
    <t>[Master=57153, Atlas] lwio needs consistent handling of STONITH failures (fail SMB3 request)</t>
  </si>
  <si>
    <t>[Master=57207, Atlas] NFS PML Plugin needs to update dependencies and imports for change in HA Coordinator Plugin Interface</t>
  </si>
  <si>
    <t>[Master=57211, Atlas] Not all shares show up any more after reboot -- SrvShareGetShareInfoFromConfig() is declaring shares "corrupted"</t>
  </si>
  <si>
    <t>[Master=57500, Atlas] Group permissions and ACL xattr are not restored after performing NDMP based backup and restore</t>
  </si>
  <si>
    <t>[Master=57810, Atlas] Unity v1.2, Unable to create NFS Share as part of Smoke Test</t>
  </si>
  <si>
    <t>[Master=57894, Atlas]Unity 1.2 QR ISO Build - com.hp.storage.pml.file.nfs.impl-4.02.jar causing unresolved constraint.</t>
  </si>
  <si>
    <t>[Master=58713, Atlas] nscd is caching the incorrect UID / GID after rfc2307 is enabled on the 7000c array with setfs rfc2307 enable</t>
  </si>
  <si>
    <t>[Master=58924, Atlas] RPL deadlock on replicating node observed due to System/kernel crash on partner Node.</t>
  </si>
  <si>
    <t>[Master=59002, Atlas] STONITH request fails if the node you're trying to kill is crashed/rebooting</t>
  </si>
  <si>
    <t>[Master=60453, Atlas] setfshare does not handle long commands</t>
  </si>
  <si>
    <t>[Master=60468, Atlas] OpenSSL March 2015 advisories require new OpenSSL library in HP-SMB</t>
  </si>
  <si>
    <t>[Master=60684, Atlas] Unity v1.2, Protocols and associated PML Plugins will not build</t>
  </si>
  <si>
    <t>[Master=60769, Atlas] Failed to create SMB share for file store with 255 characters</t>
  </si>
  <si>
    <t>[Master=61232, Atlas] [Northern Ireland Prison Service] Windows 2012R2 native backup didn't work with Ypsilon</t>
  </si>
  <si>
    <t>[Master=61495, Atlas] Setting modebits does not validate the length of modebits</t>
  </si>
  <si>
    <t>[Master=61496, Atlas] Setting modebits with an invalid value does not display proper error message</t>
  </si>
  <si>
    <t>[Master=61692, Atlas] Windows users should not be able to browse the C$ (admin share) of a VFS and see fstores that are not shared via SMB.</t>
  </si>
  <si>
    <t>[Master=62165, Atlas] Size on disk reported inconsistently over SMB 2.x/1.0 as compared to SMB 3.0 (4KB vs. 8KB)</t>
  </si>
  <si>
    <t>[MASTER=62407, Atlas]Share name ending with $ doesn't go away even after unmounting the file system</t>
  </si>
  <si>
    <t>[Master=63423, Atlas ]Use of nfsshares as an FPG name can lead to data unavailability and other strange behaviors</t>
  </si>
  <si>
    <t>[Master=63709, Atlas] [UDU 138091] - Failed to failover FPG after panic InServ node0 and appeared error message "[lwio] RplReadFionread :: did not got data after retring 50000 times"</t>
  </si>
  <si>
    <t>[Master=64077, Atlas] [UDU 138439] - "setfs ldap" command configure ldap server on only active node0fs</t>
  </si>
  <si>
    <t>[Master=64203, Atlas] hp-smb-6.6 randomly re-setting archive bit via xattr</t>
  </si>
  <si>
    <t>[Master=64629, Atlas] Kernel panic of serving node followed by failover during I/O causing RPL to operate in standalone mode (Astra 1.1.0 only)</t>
  </si>
  <si>
    <t>[Master=64823, Atlas] hp-smb registry values being updated by PML, Smb2Enabled being an example of one</t>
  </si>
  <si>
    <t>[Master=65259, Atlas] [Customer: Keppel Fels] hp-smb stack crashes because of NULL Pointer deref in PvfsClose</t>
  </si>
  <si>
    <t>[Master=65291, Atlas] Combination of max length for FPG, VFS, file store and export name cause failure during update/delete NFS export</t>
  </si>
  <si>
    <t>[Master=66200, Atlas] Failed to join windows domain with new default setting of enablesmb2ad==false</t>
  </si>
  <si>
    <t>[Master=66413, Atlas] 1.2 ISO does not properly load acl-ade-module</t>
  </si>
  <si>
    <t>[Master=67034, Atlas] hp-smb lwio memory leak causes degraded performance running FSCT with 3800 users</t>
  </si>
  <si>
    <t>[Master=67131, Atlas] LDAP configuration not automatically applied to nodes down at time of configuration, rescued nodes, or newly added nodes</t>
  </si>
  <si>
    <t>[Master=67243, Atlas] IDART test Showfs in NightlyUnity fails due to "showfs -ldap" returning an error when LDAP is not configured</t>
  </si>
  <si>
    <t>[MASTER=67730, Atlas] ldap appears to be broken by commit b8b73dc90e3 (ldap funtest fails, and "get_ldap.sh" causes mem allocation failure errors)</t>
  </si>
  <si>
    <t>[Master=67873, Atlas] hp-smb srvsvc memory leak causes degraded performance running FSCT</t>
  </si>
  <si>
    <t>[Master=67996, Atlas] [TRIAGE] hp-smb restart fails with latest Atlas rpm</t>
  </si>
  <si>
    <t>[Master=68302, Atlas] The PUT request for setting file store's security mode is not working</t>
  </si>
  <si>
    <t>[Master=68935, Atlas] [TRIAGE] Adding privilege to a user is failing with error " STATUS_NO_SUCH_FILE (No description available)"</t>
  </si>
  <si>
    <t>[Master=69146, Atlas] Empty Stree Deletion failed with "Deleting resource /ifs1/sachimtree/sachistree1 may have SMB shares but the share query failed: Unexpected error ERROR_CONNECTION_REFUSED happened during Get number of existing SMB share"</t>
  </si>
  <si>
    <t>[Master=70210, Atlas] [CESA-2015:1840] Important Openldap Security Update</t>
  </si>
  <si>
    <t>[Master=70542, Atlas] FS node hung in Starting state</t>
  </si>
  <si>
    <t>[Master=70618, Atlas] Named Group ACE at the root of the share not honored: permission denied for members of that group</t>
  </si>
  <si>
    <t>[Master=71658, Atlas] REST API of "AD name cache clear" is failing with exception.</t>
  </si>
  <si>
    <t>[Master=72280, Atlas] [Customer: Kinecta] HP-SMB crash in SrvBuildInterimResponse_SMB_V2 : kernel: lwsmd[8679]: segfault at 1 ip 00007fd22e6c06ec sp 00007fd226e4a8b0 error 4 in liblwmsg_nothr.so.0.0.0[7fd22e6af000+2b000]</t>
  </si>
  <si>
    <t>[Master=73854, Atlas] LDAP Configuration with TLS/SSL became unsuccessful</t>
  </si>
  <si>
    <t>ProtoVerify</t>
  </si>
  <si>
    <t>Matt D</t>
  </si>
  <si>
    <t>Brian Z.</t>
  </si>
  <si>
    <t>Matt G.</t>
  </si>
  <si>
    <t>Michael R</t>
  </si>
  <si>
    <t>Moorthy M</t>
  </si>
  <si>
    <t>Steve D</t>
  </si>
  <si>
    <t>Charlie W</t>
  </si>
  <si>
    <t>Paul E</t>
  </si>
  <si>
    <t>Roselle F</t>
  </si>
  <si>
    <t>Sayan G</t>
  </si>
  <si>
    <t>Srinivas C</t>
  </si>
  <si>
    <t>Santanu G</t>
  </si>
  <si>
    <t>Arnab D</t>
  </si>
  <si>
    <t>Tomer M</t>
  </si>
  <si>
    <t>Avik M</t>
  </si>
  <si>
    <t>Reporter from Master</t>
  </si>
  <si>
    <t>Other Verify</t>
  </si>
  <si>
    <t>raghavendra.s-r@hpe.com</t>
  </si>
  <si>
    <t>precilla.menezes@hpe.com</t>
  </si>
  <si>
    <t>eddy.hutson@hpe.com</t>
  </si>
  <si>
    <t>marjorie.carlson@hpe.com</t>
  </si>
  <si>
    <t>lincoln.thomas@hpe.com</t>
  </si>
  <si>
    <t>horvath@hpe.com</t>
  </si>
  <si>
    <t>raju.pitta@hpe.com</t>
  </si>
  <si>
    <t>tom.connolly@hpe.com</t>
  </si>
  <si>
    <t>jhilik.roy@hpe.com</t>
  </si>
  <si>
    <t>sudarshan.patil@hpe.com</t>
  </si>
  <si>
    <t>roman.duka@hpe.com</t>
  </si>
  <si>
    <t>paul.evertson@hpe.com</t>
  </si>
  <si>
    <t>ankita.kumari@hpe.com</t>
  </si>
  <si>
    <t>sachidananda.gs@hpe.com</t>
  </si>
  <si>
    <t>philip.everitt@hpe.com</t>
  </si>
  <si>
    <t>sandhya.dasari@hpe.com</t>
  </si>
  <si>
    <t>matthew.leach3@hpe.com</t>
  </si>
  <si>
    <t>jvp@hpe.com</t>
  </si>
  <si>
    <t>Zsolt Horvath</t>
  </si>
  <si>
    <t>sumit.sarkar@hpe.com</t>
  </si>
  <si>
    <t>krishk@hpe.com</t>
  </si>
  <si>
    <t>ravi.sajjan@hpe.com</t>
  </si>
  <si>
    <t>bryan.mcdade@hpe.com</t>
  </si>
  <si>
    <t>greg.turpin@hpe.com</t>
  </si>
  <si>
    <t>[Master=76028, Aurora] Enabling rfc2307 to run cross protocol in 1.3 after upgrade from 1.2 causes loss of access to existing AD home folders on SMB shares</t>
  </si>
  <si>
    <t>[Master=76841, Aurora] [Customer: NTTDataWare] lwio crashed with SIGSEGV because pFcB is zero.</t>
  </si>
  <si>
    <t>[Master=76850, Aurora] Group name not resolved on SMB client after clearing cache on all nodes using "/opt/likewise/bin/lw-lsa ad-cache --delete-all"</t>
  </si>
  <si>
    <t>e</t>
  </si>
  <si>
    <t>Summary field</t>
  </si>
  <si>
    <t>[Master=73055, Aurora] Possible Memory Leak in LSASSD??</t>
  </si>
  <si>
    <t>[Master=75017, Aurora] HPEcopy using Windows 2012 fails with exit code 10 and exit code 11.</t>
  </si>
  <si>
    <t>[Master=75133, Aurora] createfsuser error confusing</t>
  </si>
  <si>
    <t>[Master=75259, Aurora] Customer will notice nfs share in unknown state after upgrade</t>
  </si>
  <si>
    <t>Install/Upgrade-NFS</t>
  </si>
  <si>
    <t>[Master=75774, Aurora] [Master=75881, Master] Lwsmd crash loop on boot [lwio] ASSERTION FAILED: Expression = (0) File Name = '../lwio/server/srv/elements/phs.c' Line Num = '2533'</t>
  </si>
  <si>
    <t>[Master=62917, Aurora] [HP-SMB] : File after issuing chmod 444 is not getting transitioned to retained on a HP-SMB share mounted on the Linux client.</t>
  </si>
  <si>
    <t>[Master=67065, Aurora] Protocols health could swamp the cluster causing other PML commands to timeout</t>
  </si>
  <si>
    <t>[Master=53441, Aurora] HP-SMB must take Product Configuration limits from PML as the only reference point</t>
  </si>
  <si>
    <t>[Master=55490, Aurora] Request to generate event for loss of persistent handle</t>
  </si>
  <si>
    <t>Enhancement</t>
  </si>
  <si>
    <t>[Master=46771, Aurora] Unable to get 'Disk quota exceeded' message on attempting to exceed stree HARD_SIZE limit from NFS client.</t>
  </si>
  <si>
    <t>[Master=49096, Aurora] After Upgrade Online Serial isoAttached rebootTrue is performed, error 'Health has failed unexpectedly.  Socket error' is seen for the approx 10 mins for the AD domain join check on the passive node.</t>
  </si>
  <si>
    <t>[Master=46238, Aurora] Socket errors observed on 7400 during AD join &amp; also enum of local user failed</t>
  </si>
  <si>
    <t>[Master=52603, Aurora] SMB fails to list the shares(created when VFS IP was present) after removing VFS IP. Allows to create and list a new share.</t>
  </si>
  <si>
    <t>[Master=50489, Aurora] With domain access control configured, clients not in the domain should not be able to mount the share with NFSv4</t>
  </si>
  <si>
    <t>[Master=67908, Aurora] Illogical/invalid combination of no_root_squash and all_squash options not rejected</t>
  </si>
  <si>
    <t>[Master=61271, Aurora] 'setfs idmap' queues configuration changes and each has to be removed in turn to disable idmap</t>
  </si>
  <si>
    <t>[Master=48872, Aurora] Folder redirection fails when we set Target folder location as "Redirect to the following Location"</t>
  </si>
  <si>
    <t>[Master=54992, Aurora] Repeating error in /var/log/messages: [lsass] Net Bios Name not matched. Please check the input Netbios name (or) LDAP provider configuration. This is an error message.#012</t>
  </si>
  <si>
    <t>nkoul@hpe.com</t>
  </si>
  <si>
    <t>[Master=55707, Aurora] NFS Restore Fail using NBU ISV to VTL</t>
  </si>
  <si>
    <t>[Master=49329, Aurora] createfsgroup allows creation of invalid groupnames</t>
  </si>
  <si>
    <t>[Master=60601, Aurora] [UDU 132255] Restarting a robocopy session reports all newer files and copy data again</t>
  </si>
  <si>
    <t>[Master=60724, Aurora] [Unity 1.1] After setting permissions to a non-owner user on a directory created on the HP-SMB share, inconsistency observed between "cd" and accessing a directory via GUI</t>
  </si>
  <si>
    <t>[determining validity of issue]</t>
  </si>
  <si>
    <t>[Master=49412, Aurora] srv crash in SrvCheckOngoingPheReplicationCallback during shutdown</t>
  </si>
  <si>
    <t>[Master=49330, Aurora] removefsgroup does not delete groups created using createfsgroup</t>
  </si>
  <si>
    <t>[Master=66081, Aurora] Roaming profile not getting sync as showing "not enough disk space" though there is a space available on the disk.</t>
  </si>
  <si>
    <t>[Master=57016, Aurora] Config Backup Restore: SEVERE: Completion notification: Failed to create NFS share  for file system mounted on passive nodes</t>
  </si>
  <si>
    <t>[Master=57468, Aurora] Stonith Failure may cause orphan PHE</t>
  </si>
  <si>
    <t>[Master=52651, Aurora] SMB server performance statistics need to be included in the 3PAR phone home data</t>
  </si>
  <si>
    <t>[Master=54215, Aurora] NFSv4 ACLs: NFSv3 clients:  AIX reports aclget: The system call does not exist on this system.</t>
  </si>
  <si>
    <t>[Master=55269, Aurora] LDAP REST-API does not return the status of LDAP server</t>
  </si>
  <si>
    <t>[Master=55539, Aurora] Fail back failed while doing http share download/upload</t>
  </si>
  <si>
    <t>[Master=50880, Aurora] hp-smb segfault in lsass while running smbtorture tests in SSL code path</t>
  </si>
  <si>
    <t>[Master=49537, Aurora] PML fun test needed.  CRUD functionality for NFS export as stree</t>
  </si>
  <si>
    <t>[Master=65711, Aurora] statfs returns error: key "HP-SMBInfo" not known in dictionary under moderate cifs load</t>
  </si>
  <si>
    <t>[MASTER=55135, Aurora] HP-SMB services were found stuck: SERVICE_UNRESPONSIVE in astra emulator</t>
  </si>
  <si>
    <t>[Master=49332, Aurora] removefsgroup neither deletes the groups nor returns an error</t>
  </si>
  <si>
    <t>[Master=52294, Aurora] raw.acls.sd.sd test failure: ACEs are not handled in the correct order</t>
  </si>
  <si>
    <t>[SMBTorture]</t>
  </si>
  <si>
    <t>[Master=49327, Aurora] removefsuser does not delete users created using createfsuser</t>
  </si>
  <si>
    <t>[Master=50012, Aurora] Regression: NetrVFSStateChange returns error 1168 all the time</t>
  </si>
  <si>
    <t>[Master=37654, Aurora] The Oplock grant result shows strange levels</t>
  </si>
  <si>
    <t>[Master=48464, Aurora] Need mechanism to wait for async closes when running down disconnected durables.</t>
  </si>
  <si>
    <t>[Master=49164, Aurora] [UDU113325] Could not get groups for user: The authentication request could not be handled</t>
  </si>
  <si>
    <t>[Master=67507, Aurora] Configuration restore doesn't restore the ACLs applied using "setfshare" command options to NFS share .</t>
  </si>
  <si>
    <t>[Master=55915, Aurora] lsass  crash in  NtlmServerDecryptMessage() while runing smbtorture the [rpc.samba3.winreg.winreg] test</t>
  </si>
  <si>
    <t>[Master=50667, Aurora] when fuse is mounted on a nfsshare and same share is mounted on a client machine using NFS version=4, it doesn't list out the files of nfsshare at client</t>
  </si>
  <si>
    <t>[Master=49328, Aurora] removefsuser neither deletes the users nor returns an error</t>
  </si>
  <si>
    <t>[Master=54893, Aurora] Ldap status reported OK even when some of LDAP not working and lw-get-status status showing offline</t>
  </si>
  <si>
    <t>[Master=51898, Aurora] SMBTorture - raw.notify tests not passing</t>
  </si>
  <si>
    <t>[Master=65531, Aurora] Share names containing international characters can be created by Windows MMC, but they are unusable</t>
  </si>
  <si>
    <t>[Master=68497, Aurora]Remote Copy of FPG of same name breaks NFS shares</t>
  </si>
  <si>
    <t>[Master=67960, Aurora] NFS share created on .admin fstore is not restored after configuration restore.</t>
  </si>
  <si>
    <t>[Master=67662, Aurora] lwsmd core dumps after LDAP goes down</t>
  </si>
  <si>
    <t>[Master=67224, Aurora] MMC: attempting to close open file results in â€œThe system cannot find the file specifiedâ€ error</t>
  </si>
  <si>
    <t>[Master=67037, Aurora] SEVERE: NFS Create export: Adding NFS share failed with error - Unknown error was observed</t>
  </si>
  <si>
    <t>[Master=66235, Aurora] FPG Failed to RMFS when trying to umount when it was in use on the VM.</t>
  </si>
  <si>
    <t>[Master=65919, Aurora] Multiple VFS activation for single VFS results in duplicate NFS bind mount during FPG mount</t>
  </si>
  <si>
    <t>[Master=65211, Aurora] Modifying AD user quota completed with error message "Error: status=403,exception message=HTTP 403 Forbidden"</t>
  </si>
  <si>
    <t>[Master=65593, Aurora] User is not authenticated based on the authentication stacking order</t>
  </si>
  <si>
    <t>[Master=64456, Aurora] [UDU - 135789] 3.2.2.168: showalert: File Services:0:lwsmd Failed</t>
  </si>
  <si>
    <t>[Master=63777, Aurora] ACL functionality does not work as expected after username mapping enabled</t>
  </si>
  <si>
    <t>[Master=62719, Aurora] [UDU Bug 136049] - "showfs -ldap" shows LDAP configuration details even though the "setfs ldap" failed with error message.</t>
  </si>
  <si>
    <t>[Master=39099, Aurora] Persistent Handles: RPL dead lock between two node</t>
  </si>
  <si>
    <t>[Master=61555, Aurora] Some NFS shares reporting state unknown</t>
  </si>
  <si>
    <t>[Master=61468, Aurora] [UDU 133573] - Need to update error message while "createfsuser" command failed due to user limit</t>
  </si>
  <si>
    <t>[Master=61403, Aurora] "showfsquota" command displayed local group (Linux group from /etc/group) instead of ldap group on which quota limits applied.</t>
  </si>
  <si>
    <t>[Master=60556, Aurora] [UDU 132938] - Exception in showfuser and createuser commands: com.hp.storage.pml.file.protocols.api.exception.HPProtocolServiceImplException: Could not get groups for user: ERROR_WRONG_DISK</t>
  </si>
  <si>
    <t>[Master=59659, Aurora] [UDU 131575] setfsquota creates wrong user name when domain user name has space in between</t>
  </si>
  <si>
    <t>[Master=59637, Aurora] Local user is mapped to "nfsnobody" intermittently when listed quota information.</t>
  </si>
  <si>
    <t>[Master=59347, Aurora] [UDU 130538] could not modify user : ERROR_NO_SUCH_USER - Managing a local FS user that matches the name of LDAP user fails</t>
  </si>
  <si>
    <t>[Master=59348, Aurora] [UDU 130413] showfsquota does not show netbios name for Ldap user quota</t>
  </si>
  <si>
    <t>[Master=58612, Aurora] [Unity 1.1] NFSv4 share with async option showing longer write times than sync options (File size 2GB)</t>
  </si>
  <si>
    <t>[Perf]</t>
  </si>
  <si>
    <t>[Master=57964, Aurora] Insufficient diagnostic information in logs to understand reason for filesystem freeze conditions caused by smb</t>
  </si>
  <si>
    <t>[Master=57963, Aurora] Insufficient diagnostic information in logs to understand reason for filesystem freeze conditions caused by nfs</t>
  </si>
  <si>
    <t>[Master=55619, Aurora] hp-smb segfault in lsass while running smbtorture tests</t>
  </si>
  <si>
    <t>[Master=52558, Aurora] SMBtorture "RAW-ACLS-NULLDACL" failed</t>
  </si>
  <si>
    <t>Done</t>
  </si>
  <si>
    <t>[Master=56895, Aurora] SMB share list shows "no shares" even though the shares are successfully created and listed  (lost share information).</t>
  </si>
  <si>
    <t>[Master=55549, Aurora] hp-smb segfault in lsass while running smbtorture tests</t>
  </si>
  <si>
    <t>[Master=46293, Aurora] Lwsmd crashed with ASSERTION FAILED: Expression = (0) after cluster reboot</t>
  </si>
  <si>
    <t>[Master=52811, Aurora] with AD configured but AD removed from stack, GET AD status returns no providers</t>
  </si>
  <si>
    <t>[Master=52807, Aurora] configuring AD auth fails with generic error when AD isn't in the auth stack</t>
  </si>
  <si>
    <t>[Master=49746, Aurora] SMBtorture test SMB2-ACLS-GENERIC is failing</t>
  </si>
  <si>
    <t>[Master=43596, Aurora] (IR12) - User quota on a Roaming profile user allows to create upto one file less than the hard inode limit. (Win Client - WinXP, AD server - WinServer 2008)</t>
  </si>
  <si>
    <t>[Master=55719, Aurora] Not able to set and list ad group quota if group name is having caret(^) character in its name</t>
  </si>
  <si>
    <t>[Master=55972, Aurora] lsass crash in rpc__binding_free() while running smbtorture [rpc.samba3.bind.bind] test</t>
  </si>
  <si>
    <t>[MASTER=56586, Aurora] "lwsm restart lwreg" returned success even though srvsvc failed to start properly</t>
  </si>
  <si>
    <t>[Master=56502, Aurora] Ldap user can still map share and access files after Ldap configuration removed from cluster</t>
  </si>
  <si>
    <t>[Master=56450, Aurora] srvsvc crash in rpc__cn_sm_eval_event() while running smbtorture [rpc.srvsvc.srvsvc (admin access).NetNameValidate] test</t>
  </si>
  <si>
    <t>[Master=56388, Aurora] lsass crash in lwmsg_data_free_graph_visit() while running smbtorture [rpc.samba3.bind.bind] test</t>
  </si>
  <si>
    <t>[Master=56425, Aurora] lsass crash in lwmsg_type_iterate_promoted() while running smbtorture [rpc.bind.ntlm,sign.ntlm,sign] test</t>
  </si>
  <si>
    <t>[Master=56067, Aurora] lsass crash in profile_parse_file() malloc() while running smbtorture [rpc.lsa.lsa] test</t>
  </si>
  <si>
    <t>[Master=56053, Aurora] lsass crash in rpc_ss_default_free() while running smbtorure [rpc.bind.ntlm,sign,seal.ntlm,sign,seal] test</t>
  </si>
  <si>
    <t>[Master=56033, Aurora] lsass crash in rpc__cn_assoc_receive_frag() while running smbtorture [rpc.lsa] test</t>
  </si>
  <si>
    <t>[Master=55968, Aurora] With expansion of the node, LDAP entry do not exist on expanded node, so need to remove and re-join the LDAP</t>
  </si>
  <si>
    <t>[Master=55967, Aurora] With Expansion of the node, provider stacking is not preserved, so need to setup again</t>
  </si>
  <si>
    <t>[Master=55978, Aurora] lsass crash in rpc__smb_close_file_complete() while running smbtorture  [rpc.lsa.lsa] test</t>
  </si>
  <si>
    <t>[Master=55971, Aurora] lsass crash in NtlmVerifySignature() while running smbtorture [rpc.bind.ntlm,sign.ntlm,sign] test</t>
  </si>
  <si>
    <t>[Master=55928, Aurora] lsass crash in rpc__binding_free while running smbtorture [rpc.samba3.lsa.lsa] test</t>
  </si>
  <si>
    <t>[Master=55929, Aurora] lsass crash in rpc__smb_socket_destroy() while running smbtorture  [rpc.echo.echo.enum]  test</t>
  </si>
  <si>
    <t>[Master=55920, Aurora] lsass crash in rpc__smb_close_file_complete() while running smbtorture  [rpc.echo.echo.doublepointer] test</t>
  </si>
  <si>
    <t>[Master=53313, Aurora] error "The specified group does not exist" changing folder permissions from Windows Client, if a invalid gid owns the folder in question</t>
  </si>
  <si>
    <t>[Master=55314, Aurora] SrvProcessLockRequest_SMB_V2() crash (assert failure) trying to update PHS with BRL info</t>
  </si>
  <si>
    <t>[Master=55094, Aurora] quota restore from file  partially restores the quota when ldap  on passive node is not connected.</t>
  </si>
  <si>
    <t>[Master=54986, Aurora] Need to handle com.hp.storage.pml.file.policystore.api.FileSystemDoesNotExistException</t>
  </si>
  <si>
    <t>[Master=54393, Aurora] [UDU 120042] Unable to remove a previously added group named "Local".</t>
  </si>
  <si>
    <t>[Master=54221, Aurora] "lwsm start" can time out and return an error after 30 seconds, causing service monitor to fall into kill/restart loop</t>
  </si>
  <si>
    <t>[Master=52933, Aurora] Index order option doesn't work with "nfs4_setfacl" command</t>
  </si>
  <si>
    <t>[Master=52318, Aurora] coredump with lwsmd seen with "Core was generated by `lw-container lsass'."</t>
  </si>
  <si>
    <t>[Master=49740, Aurora] SMBtorture "RAW-ACLS-NULLDACL" failed</t>
  </si>
  <si>
    <t>[Master=51197, Aurora] File system unmount fails - if the fs name &amp; its mount path directory name are different</t>
  </si>
  <si>
    <t>[Master=51087, Aurora] (Post IR13 09-26) Probable Race condition of hp-smb start and PML when FS/Mtree is getting created</t>
  </si>
  <si>
    <t>[Master=50644, Aurora] Parsing mount table option string is buggy</t>
  </si>
  <si>
    <t>[Master=47269, Aurora] Error from remote readall for node while showfshare smb on s739</t>
  </si>
  <si>
    <t>[Master=41344, Aurora] persistent handles: We probably need to allow read-attribute opens even when there's a disconnected PHE</t>
  </si>
  <si>
    <t>[Master=62959, Aurora] Block invalid Adding acl for EVERYONE@&lt;domain&gt; with Full Control using setfshare applies correctly but does not grant the desired access</t>
  </si>
  <si>
    <t>[Master=76227, Aurora] Unable to create Sparse files against FilePersona with FSUTIL</t>
  </si>
  <si>
    <t>[Master=76435, Aurora] manual failover of fpg incurs FAILED_TO_RMFS</t>
  </si>
  <si>
    <t>[Master=76755, Aurora]Failures observed in 1.3 Regressions due to change in expected permission for group in any newly created file inside a shared drive</t>
  </si>
  <si>
    <t>[Master=76907, Aurora] [Customer: Anuntatech] lwio hang followed by assert ASSERTION FAILED: Expression = (0) File Name = '../lwio/server/srv/protocols/api/replicate.c' Line Num = '401'</t>
  </si>
  <si>
    <t>[Master=66944, Aurora] cross proto:locking: delete file fails with Access denied on windows share,  when file is being locked with LOCK_MAND | LOCK_DELETE on fs server</t>
  </si>
  <si>
    <t>[Master=66942, Aurora] cross proto:locking: delete file is blocked from windows share when file is being locked with LOCK_MAND | LOCK_WRITE on fs server, but no error is returned and it looks like it succeeded from Windows</t>
  </si>
  <si>
    <t>Astra-1.0.*</t>
  </si>
  <si>
    <t>Notes</t>
  </si>
  <si>
    <t>bug updated</t>
  </si>
  <si>
    <t>[Master=76402, Aurora] [Customer: Centric Belgium] SMB not responding. Impossible to login to KVM. Crash-dump manually generated</t>
  </si>
  <si>
    <t>[Master=74009, Aurora] ntfs acl plugin can overrun buffer in ntfs_acl packing code</t>
  </si>
  <si>
    <t>Cross-Protocols-AAUM</t>
  </si>
  <si>
    <t>suganthi.mani@hpe.com</t>
  </si>
  <si>
    <t>[Master=68981, Aurora] sn20: cross proto: locking: out of memory: oom system panic: with file locked in SMB, repeated access from NFS</t>
  </si>
  <si>
    <t>New_Feature, SystemPanic</t>
  </si>
  <si>
    <t>Escape, Zone_Increased</t>
  </si>
  <si>
    <t>=HYPERLINK(CONCATENATE($A$120&amp;INDIRECT("c"&amp;(ROW()+106))),INDIRECT("c"&amp;(ROW()+106)))</t>
  </si>
  <si>
    <t>c124</t>
  </si>
  <si>
    <t>[Master=77012, Aurora] Multiple crashes of lwsmd service after injecting FS errors, which then took 27 hours to collect</t>
  </si>
  <si>
    <t>[Master=77554, Aurora] User is able to create files/folders even though the deny ACE added for user.</t>
  </si>
  <si>
    <t>[Master=77268, Aurora] No alert generated when Ldap configured with incorrect settings.</t>
  </si>
  <si>
    <t>[Master=77594, Aurora] Document name provider preference per security mode</t>
  </si>
  <si>
    <t>Usability</t>
  </si>
  <si>
    <t>[Master=74252, Aurora]  [Cross-Protocol]A folder inside created from an NFS share with a trailing space on name is not accessible or removable from windows SMB share.</t>
  </si>
  <si>
    <t>[Master=76338, Aurora] Couldn't map SMB share with any user other than LOCAL_CLUSTERï¼¼Administrator. Share is having Everyone:fullcontrol permission.</t>
  </si>
  <si>
    <t>[Master=77692, Aurora] Files/folder creation succeeded after manual retrieval of the uid/gid on VM on newly installed system.</t>
  </si>
  <si>
    <t>[Master=77761, Aurora] [customer Wuerth] when user "helpdesk1" and group "helpdesk" exist in same domain, bad UPN generated causes confusion between the two in ACLs</t>
  </si>
  <si>
    <t>[Master=77756, Aurora] HP-SMB Restarts (temporary DU) running meatgrinder on NTFS share - Legacy share runs fine with same test</t>
  </si>
  <si>
    <t>[Master=78061, Aurora] [Customer: DFA] Lost access to CIFS shares â€“ lwsmd core files</t>
  </si>
  <si>
    <t>[Master=77990, Aurora] [Customer: SafeTech] PML task queue repeatedly fills and PML repeatedly restarts</t>
  </si>
  <si>
    <t>[Master=68022, Aurora] [Cross Protocol] Unable to delete files with question mark "?" in file name via CIFS share windows client</t>
  </si>
  <si>
    <t>[Master=68734, Aurora] Windows client cannot view or change Local users or groups in Security Tab - Owner defaults to 10ï¼¼Administrators (BUILTINï¼¼Administrators)</t>
  </si>
  <si>
    <t>Unit ï¼¼ Sub System Test</t>
  </si>
  <si>
    <t>[Master=53105, Aurora] Unity-LOCAL_CLUSTERï¼¼cifsuser permissions issue</t>
  </si>
  <si>
    <t>Dev Performance Work/Tests</t>
  </si>
  <si>
    <t>gourashyam.moirangthem@hpe.com</t>
  </si>
  <si>
    <t>[Master=77818, Aurora] Uncaught exceptions thrown in mkdir interface will result in not removing action from action manager and block mkdir operations along the same directory path until the reaper cleans up the action manager.</t>
  </si>
  <si>
    <t>[Master=77493, Aurora] fsct max user test failed on SMB share with ERROR lwsmd segfault, ade_idmapd failure and lwio auxiliary response.</t>
  </si>
  <si>
    <t>[Master=77921, Aurora] Spec violation : For Signing An Outgoing Message if Connection.Dialect is "3.000", the sender MUST compute a 16-byte hash using AES_CMAC-128 over the entire message</t>
  </si>
  <si>
    <t>Avitus</t>
  </si>
  <si>
    <t>Build</t>
  </si>
  <si>
    <t>[Master=77746, Aurora] Online upgrade from Unity 1.2(3.2.2.390-MU2)  to 3.2.2.390-MU3(24-feb)  build fails in File services pre-check</t>
  </si>
  <si>
    <t>[Master=78177, Aurora] showfsquota  doesn't show the user/group names as the name resolution is not happened.</t>
  </si>
  <si>
    <t>tarun.sant@hpe.com</t>
  </si>
  <si>
    <t>[Master=78423, Aurora] [Customer: SafeTech] localauth threads non responsive, throwing the following: WARNING: Pending request: 127.127.0.2  GET  /hp/rest/provisioning/c4c68832-7505-4ca9-a00f-b78b35e047e2/system/localauth/user  3350sec</t>
  </si>
  <si>
    <t>[Master=78501, Aurora] [Customer: SafeTech] PML throws multiple of the following errors per day: SEVERE: Error executing command com.hp.storage.pml.file.ldap.impl.model.commands.LdapConfigurationCommand@5cb050cb    ldapConfiguration= LdapConfiguration</t>
  </si>
  <si>
    <t>[Master=78153, Aurora] Online upgrade from Unity 1.2 P15 patch to 3.2.2.290-MU3(24-feb)  build fails in file service precheck</t>
  </si>
  <si>
    <t>rachna.guru@hpe.com</t>
  </si>
  <si>
    <t>[Master=78684, Aurora] IDART - setfs smb failed with ERROR: 40700 on File Services 1.3.0.21-20160309</t>
  </si>
  <si>
    <t>[Master=78689, Aurora] NTFS Fstore created on fpg mounted passive node doesn't have same acls/owner-group as  fpg mounted on active.</t>
  </si>
  <si>
    <t>WR</t>
  </si>
  <si>
    <t>Reg</t>
  </si>
  <si>
    <t>B</t>
  </si>
  <si>
    <t>Reg, B</t>
  </si>
  <si>
    <t>MS</t>
  </si>
  <si>
    <t>suruchi.gondkar@hpe.com</t>
  </si>
  <si>
    <t>amit.debnath@hpe.com</t>
  </si>
  <si>
    <t>das.souvik@hpe.com</t>
  </si>
  <si>
    <t>[Master=78518, Aurora] Online upgrade failed from unity 1.2(3.2.2.390-MU2) to unity 1.3(3.2.2.390-MU3(02-march)  build , failed precheck in node0fs, with 2 nodes updated out of 4.</t>
  </si>
  <si>
    <t>[Master=78746, Aurora] Invalid IP addresses can be specified for Client Filter list causing DU [Customer: Precision Planning Inc., MarketAmerica]</t>
  </si>
  <si>
    <t>[Master=78737, Aurora] Restored SMB share parameters are not same as configuration backup.</t>
  </si>
  <si>
    <t>[Master=78873, Aurora] [Customer: SafeTech] Thousands of service protocolinterfaced restart failed messages generated per day: SEVERE: service protocolinterfaced start 3493 generated 127 error code.</t>
  </si>
  <si>
    <t>P0</t>
  </si>
  <si>
    <t>[Master=76320, Aurora] Unable to list shares for some time and unable to access share as VHOST lost on nodes, due to lsass rolling the time backwards</t>
  </si>
  <si>
    <t>sumedha.aranke@hpe.com</t>
  </si>
  <si>
    <t>syed-nazrul.islam@hpe.com</t>
  </si>
  <si>
    <t>prashant-kumar.pandey@hpe.com</t>
  </si>
  <si>
    <t>[Master=73365, Aurora] SMBTorture test case are failing with error "failed to connect server"</t>
  </si>
  <si>
    <t>[Master=74050, Aurora] SMB client trying to delete a retained files gets an incorrect message:  "File in Use" ..Close file and try again"</t>
  </si>
  <si>
    <t>[Master=78178, Aurora] pml-hpsmb nfs plugin fails 3 unit tests during build in chrooted environment for Unity 1.4</t>
  </si>
  <si>
    <t>[Master=78331, Aurora] [UDU:135666]SMB share creation needs a better error message when user submits named with invalid character</t>
  </si>
  <si>
    <t>* Required</t>
  </si>
  <si>
    <t>[Master=78513, Aurora] [Customer: SafeTech] Protocols PML not properly closing readers on corner cases.</t>
  </si>
  <si>
    <t>[Master=78680, Aurora] [UDU 159731]3.2.2.MU2 P15 - FPGs are stuck in the degraded after the cluster master was rebooted</t>
  </si>
  <si>
    <t>Atlas-1.2.1</t>
  </si>
  <si>
    <t>Other-AAUM</t>
  </si>
  <si>
    <t>[Master=78517, Aurora] [Customer: SafeTech] PML monitor fails to start with: SEVERE: starting pml monitor - Execution of command .... failed command (bash -c /usr/local/pml//bin//pml_monitor status) status (180) output:</t>
  </si>
  <si>
    <t>[Master=78762, Aurora] LDAP user SID failed to resolve when query type is "LSA_QUERY_TYPE_BY_SID"</t>
  </si>
  <si>
    <t>[Master=78857, Aurora] setting ACLs behavior when we have different fshare sharing the same vfs and fstore</t>
  </si>
  <si>
    <t>[Master=78730, Aurora] [Customer: SafeTech] Protocol PML plugins failed to stop on PML shutdown with: SEVERE: Can't stop component Snapshot service Component: java.lang.NullPointerException-LocalAuth</t>
  </si>
  <si>
    <t>[Master=79031, Aurora] [Customer: Sjofartsverket] lwio throws an assert in InotifySetFcbMask()</t>
  </si>
  <si>
    <t>[Master=79021, Aurora] [Customer JSC Kor Standard Bank] Group Managed Service account (gMSA) didnâ€™t work when SMB2/3 disabled</t>
  </si>
  <si>
    <t>[Master=79176, Aurora] After removing VFS IP, fm_smb command for creating same share first time showing ERROR_INVALID_PARAMETER and second time succeeds though share already exists.</t>
  </si>
  <si>
    <t>[Master=79273, Aurora] Disk size is reported incorrectly for files created at root of share from 2K12R2 client</t>
  </si>
  <si>
    <t>akshay.ballal@hpe.com</t>
  </si>
  <si>
    <t>chandrashekar.b-r@hpe.com</t>
  </si>
  <si>
    <t>[Master=79254, Aurora] Probable Memory leak in UsernameMapTransferConfigContents</t>
  </si>
  <si>
    <t>[Master=79302, Aurora] Memory leak in LSASS in enum_users where number of users is larger that dwMaxObjectsCount</t>
  </si>
  <si>
    <t>Memory_Leak, Regression</t>
  </si>
  <si>
    <t>[Master=75773, Aurora] node crash and vmcore while running SMB functional tests, crash in journal_drop_transaction()</t>
  </si>
  <si>
    <t>barry.melton@hpe.com</t>
  </si>
  <si>
    <t>Aurora_1.3.0.24-20160330</t>
  </si>
  <si>
    <t>[Master=79485, Aurora] Need procedure to follow for Data Migration to File Persona</t>
  </si>
  <si>
    <t>[Master=79502, Aurora] After deleting a legacy fstore, creating NTFS fstore keeps legacy ACL</t>
  </si>
  <si>
    <t>Aurora_1.3.0.25-20160406</t>
  </si>
  <si>
    <t>[Master=79538, Aurora] [Customer: SafeTech] HPE-SMB hang in kernel space in __isolate_lru_page() and isolate_lru_pages()</t>
  </si>
  <si>
    <t>AvitusRedZoneCSV</t>
  </si>
  <si>
    <t>govind.gupta@hpe.com</t>
  </si>
  <si>
    <t>robin.kumar@hpe.com</t>
  </si>
  <si>
    <t>bertram.stoeckler@hpe.com</t>
  </si>
  <si>
    <t>[Master=79667, Aurora] Data Models returned from curl requests returning children data models instead of parent data models.  Needs 1.3 verification.</t>
  </si>
  <si>
    <t>[Master=79659, Aurora] RFC2307 settings get disabled when performed cluster expansion.</t>
  </si>
  <si>
    <t>[Master=79581, Aurora] Deletion of a WORMed or any RO file using 'del' command fails unless --force is used on Windows Powershell</t>
  </si>
  <si>
    <t>Atlas-1.2-Maint</t>
  </si>
  <si>
    <t>[Master=61184, Atlas-1.2-Maint] rapid calls to commands that require ID lookups (setfacl or ls -laR) can cause timeout "Unknown error 528" error message on NFS client side</t>
  </si>
  <si>
    <t>Atlas-1.2</t>
  </si>
  <si>
    <t>[Master=80257, Aurora] [Customer: Centric Belgium] lwio segfault in LwInterlockedDecrement()</t>
  </si>
  <si>
    <t>[Master=80212, Aurora] `lw-container lwio' Program terminated with signal 11, Segmentation fault during Roaming Profile synch using e2e rpms</t>
  </si>
  <si>
    <t>varun.arora@hpe.com</t>
  </si>
  <si>
    <t>[Master=80175, Aurora] UDU Bug 161391 - [160599]After command to modify only the "secop_errsuppress" field of an fstore, SSMC does not receive a life-cycle event.</t>
  </si>
  <si>
    <t>[Master=67205, Aurora] [Customer: Wolfson Hospital,SafeTech,Baxter] HP-SMB stack crash on shutdown, SIGABRT with: lwio: [lwio] Failed to lock mutex: 22. Aborting program</t>
  </si>
  <si>
    <t>[Master=80273, Aurora] local user tests like basicTest_LocalGroup_RemoveAUser.py sometimes fail trying to create group or user</t>
  </si>
  <si>
    <t>[Master=80769, Aurora] Unable to create directory with any user when smb share created with security mode as legacy</t>
  </si>
  <si>
    <t>[Master=80892, Aurora] Silent failure adding ACL for AD user that does not have a UID and GID assigned</t>
  </si>
  <si>
    <t>WIPRO</t>
  </si>
  <si>
    <t>WIPRO, Analysis in Progress</t>
  </si>
  <si>
    <t>[Master=81158, Aurora] Unable to add ACLs from smb client on share path when SMB (RW)and NFS (RO) shares created on fstore with secmode legacy</t>
  </si>
  <si>
    <t>justin.venegas@hpe.com</t>
  </si>
  <si>
    <t>[Master=81404, Aurora] Running SMB load + delay in AD traffic results all SMB share being unavailable</t>
  </si>
  <si>
    <t>garrett.gor.phoonswadi@hpe.com</t>
  </si>
  <si>
    <t>[Master=81731, Aurora] Nodes going to starting state when multiple roaming profile enabled users are logged off simultaneously.</t>
  </si>
  <si>
    <t>[Master=72432, Aurora] [Customer: Kinecta, Baxter] HP-SMB stack crash in swap_memcpy() with lwsmd[8734]: segfault at 1600000000 ip 00007f2aa9e12357 sp 00007f2aa2fa6a10 error 4 in liblwmsg_nothr.so.0.0.0[7f2aa9e0a000+2b000]</t>
  </si>
  <si>
    <t>[Master=81920, Aurora] [Customer: Baxter Pharmaceuticals] lwio responding to Create requests from clients with STATUS_PENDING resulting in a serious performance impact for customer</t>
  </si>
  <si>
    <t>narasimha.gangaiah@hpe.com</t>
  </si>
  <si>
    <t>DU/DL</t>
  </si>
  <si>
    <t>Data Unavailable</t>
  </si>
  <si>
    <t>Data Loss</t>
  </si>
  <si>
    <t>[Master=82058, Aurora] Data fails to sync on user logout during Roaming Profile test</t>
  </si>
  <si>
    <t>[Master=82066, Aurora] Public REST interface does not seem to work as expected for uploading a static user mapping file</t>
  </si>
  <si>
    <t>[Master=82164, Aurora] AD user ACLs were not restored on Unity SMB share after SMB data migration.</t>
  </si>
  <si>
    <t>[Master=82156, Aurora] [Customer: Baxter, Colt] lwio consumes all available CPU cores, work mostly consists of reads and writes in kernel space</t>
  </si>
  <si>
    <t>[Master=81922, Aurora] [Customer: Baxter Pharmaceuticals] Error SEVERE: Error reading keyï¼¼value Servicesï¼¼lwioï¼¼Parametersï¼¼Driversï¼¼ibfsï¼¼AllowSymlinks ERROR: 40700 thrown on HPE-SMB restart</t>
  </si>
  <si>
    <t>[Master=82301, Aurora] lwsmd core files filled the vm node , has collected 80 core files in @ 12 hrs</t>
  </si>
  <si>
    <t>Blockers</t>
  </si>
  <si>
    <t>Critical &amp; Customer found</t>
  </si>
  <si>
    <t>Major &amp; Customer found</t>
  </si>
  <si>
    <t>Clone</t>
  </si>
  <si>
    <t>[Master=82352, Aurora] lwsmd service has been crashed on node0fs while I/O is in progress.</t>
  </si>
  <si>
    <t>       </t>
  </si>
  <si>
    <t>23 bugs (! waived, ! targeted, !documentation)</t>
  </si>
  <si>
    <t>[Master=78012, Aurora] [Customer: SafeTech] Unbound crond thread growth after PML restart</t>
  </si>
  <si>
    <t>Atlas*</t>
  </si>
  <si>
    <t>t</t>
  </si>
  <si>
    <t>Documentation*</t>
  </si>
  <si>
    <t>[Master=82972, Aurora] Roaming profiles - failure to load profiles on logon of 42 users simultaneously</t>
  </si>
  <si>
    <t>[Master=83073, Aurora] SMB connection to specific node not allowed after I/O had failing with out of space</t>
  </si>
  <si>
    <t>P3</t>
  </si>
  <si>
    <t>Astra*</t>
  </si>
  <si>
    <t>[Master=83150, Aurora] Persistent handle fails reconnect during "more" of file during HP-SMB restart on node and then file cannot be reopened for ~3-4 minutes</t>
  </si>
  <si>
    <t>[Master=83334, Aurora] Observed lwsmd crash on 8 node chimera.</t>
  </si>
  <si>
    <t>[Master=83437, Aurora] Observed error "Remote I/O error" when performed online upgrade from Unity 1.1 to 1.3 with IO from NFS shares.</t>
  </si>
  <si>
    <t>[Master=83497, Aurora] Cluster expansion from 2 to 4 nodes with user mapping enabled fails to apply mapping on expanded nodes (no errors but fails under the covers)</t>
  </si>
  <si>
    <t>[Master=83634, Aurora] Able to create SMB share on existing VFS using MMC, and it breaks share enumeration on the CLI</t>
  </si>
  <si>
    <t>Performance degradation over SMB protocols in 1.3 compared to 1.2</t>
  </si>
  <si>
    <t>[Master=83695, Aurora] User can change permissions of C$ share, but eventually fails with error</t>
  </si>
  <si>
    <t>comments</t>
  </si>
  <si>
    <t>[Master=83500, Aurora] Ldap authentication and user mapping not available on added nodes post cluster expansion</t>
  </si>
  <si>
    <t>[Master=83804, Aurora] Customer could incur loss of ability to set group to an ldap group with many members on an NFS V4 share.</t>
  </si>
  <si>
    <t>sanjaya.swamy@hpe.com</t>
  </si>
  <si>
    <t>[Master=83960, Aurora] infinite loop in while statement in backup restore code</t>
  </si>
  <si>
    <t>[Master=84040, Aurora] FSCT run failing on node0fs due to  "A process (process=protocolsservic, pid=30217) crashed." causing FPG to failover to node1fs</t>
  </si>
  <si>
    <t>[Master=84045, Aurora] Online upgrade from 3.2.2.390-MU2 to 3.2.2.444-MU3  failed to upgrade node 0  with error  code 0x102F1208, due to frozen file system</t>
  </si>
  <si>
    <t>7 of those bugs are &lt; a week old</t>
  </si>
  <si>
    <t>In flux, re-eval later</t>
  </si>
  <si>
    <t>Allow into release test (with docs)</t>
  </si>
  <si>
    <t>Waive out of release</t>
  </si>
  <si>
    <t>Close no repro</t>
  </si>
  <si>
    <t>rezone to yellow</t>
  </si>
  <si>
    <t>NO waive</t>
  </si>
  <si>
    <t>7-June scrub w/ richard/mike gaines/beck/kari/leach/steve austin</t>
  </si>
  <si>
    <t>IDs On Disk will address</t>
  </si>
  <si>
    <t>[Master=82443, Aurora] no customer impact, but passive nodes may report exceptions for usermap healthchecks</t>
  </si>
  <si>
    <t>ron.chambers@hpe.com</t>
  </si>
  <si>
    <t>2weekIncoming</t>
  </si>
  <si>
    <t>FIXED</t>
  </si>
  <si>
    <t>RESOLVED</t>
  </si>
  <si>
    <t>INVALID</t>
  </si>
  <si>
    <t>DUPLICATE</t>
  </si>
  <si>
    <t>WONTFIX</t>
  </si>
  <si>
    <t>CLOSED</t>
  </si>
  <si>
    <t>john.fiorillo@hpe.com</t>
  </si>
  <si>
    <t>filtered</t>
  </si>
  <si>
    <r>
      <rPr>
        <sz val="11"/>
        <color theme="7"/>
        <rFont val="Calibri"/>
        <family val="2"/>
        <scheme val="minor"/>
      </rPr>
      <t>yellow</t>
    </r>
    <r>
      <rPr>
        <sz val="11"/>
        <color theme="1"/>
        <rFont val="Calibri"/>
        <family val="2"/>
        <scheme val="minor"/>
      </rPr>
      <t>/</t>
    </r>
    <r>
      <rPr>
        <sz val="11"/>
        <color rgb="FF66F725"/>
        <rFont val="Calibri"/>
        <family val="2"/>
        <scheme val="minor"/>
      </rPr>
      <t>green</t>
    </r>
    <r>
      <rPr>
        <sz val="11"/>
        <color theme="1"/>
        <rFont val="Calibri"/>
        <family val="2"/>
        <scheme val="minor"/>
      </rPr>
      <t xml:space="preserve"> </t>
    </r>
    <r>
      <rPr>
        <b/>
        <sz val="11"/>
        <color rgb="FF7030A0"/>
        <rFont val="Calibri"/>
        <family val="2"/>
        <scheme val="minor"/>
      </rPr>
      <t>master</t>
    </r>
  </si>
  <si>
    <r>
      <rPr>
        <sz val="11"/>
        <color theme="7"/>
        <rFont val="Calibri"/>
        <family val="2"/>
        <scheme val="minor"/>
      </rPr>
      <t>yellow</t>
    </r>
    <r>
      <rPr>
        <sz val="11"/>
        <color theme="1"/>
        <rFont val="Calibri"/>
        <family val="2"/>
        <scheme val="minor"/>
      </rPr>
      <t xml:space="preserve"> zones all milestones</t>
    </r>
  </si>
  <si>
    <r>
      <rPr>
        <sz val="11"/>
        <color rgb="FF66F725"/>
        <rFont val="Calibri"/>
        <family val="2"/>
        <scheme val="minor"/>
      </rPr>
      <t>green</t>
    </r>
    <r>
      <rPr>
        <sz val="11"/>
        <color theme="1"/>
        <rFont val="Calibri"/>
        <family val="2"/>
        <scheme val="minor"/>
      </rPr>
      <t xml:space="preserve"> zones all milestones</t>
    </r>
  </si>
  <si>
    <t>Resolved</t>
  </si>
  <si>
    <r>
      <rPr>
        <sz val="11"/>
        <color rgb="FFFF0000"/>
        <rFont val="Calibri"/>
        <family val="2"/>
        <scheme val="minor"/>
      </rPr>
      <t>RZ</t>
    </r>
    <r>
      <rPr>
        <sz val="11"/>
        <color theme="1"/>
        <rFont val="Calibri"/>
        <family val="2"/>
        <scheme val="minor"/>
      </rPr>
      <t xml:space="preserve"> </t>
    </r>
    <r>
      <rPr>
        <b/>
        <sz val="11"/>
        <color rgb="FF7030A0"/>
        <rFont val="Calibri"/>
        <family val="2"/>
        <scheme val="minor"/>
      </rPr>
      <t>master</t>
    </r>
  </si>
  <si>
    <r>
      <rPr>
        <sz val="11"/>
        <color rgb="FFFF0000"/>
        <rFont val="Calibri"/>
        <family val="2"/>
        <scheme val="minor"/>
      </rPr>
      <t>RZ</t>
    </r>
    <r>
      <rPr>
        <sz val="11"/>
        <color theme="1"/>
        <rFont val="Calibri"/>
        <family val="2"/>
        <scheme val="minor"/>
      </rPr>
      <t xml:space="preserve"> all milestones</t>
    </r>
  </si>
  <si>
    <r>
      <rPr>
        <sz val="11"/>
        <color theme="7"/>
        <rFont val="Calibri"/>
        <family val="2"/>
        <scheme val="minor"/>
      </rPr>
      <t>yellow</t>
    </r>
    <r>
      <rPr>
        <sz val="11"/>
        <color theme="1"/>
        <rFont val="Calibri"/>
        <family val="2"/>
        <scheme val="minor"/>
      </rPr>
      <t>/</t>
    </r>
    <r>
      <rPr>
        <sz val="11"/>
        <color rgb="FF66F725"/>
        <rFont val="Calibri"/>
        <family val="2"/>
        <scheme val="minor"/>
      </rPr>
      <t>green</t>
    </r>
    <r>
      <rPr>
        <sz val="11"/>
        <color theme="1"/>
        <rFont val="Calibri"/>
        <family val="2"/>
        <scheme val="minor"/>
      </rPr>
      <t xml:space="preserve"> </t>
    </r>
    <r>
      <rPr>
        <sz val="11"/>
        <rFont val="Calibri"/>
        <family val="2"/>
        <scheme val="minor"/>
      </rPr>
      <t>all milestones</t>
    </r>
  </si>
  <si>
    <t>2 week snapshot</t>
  </si>
  <si>
    <t>4 bugs with target builds</t>
  </si>
  <si>
    <t>3 blocker bugs, 1 with a target build</t>
  </si>
  <si>
    <t>5 bugs on new User Mapping feature</t>
  </si>
  <si>
    <t>1 new bug added to ‘Waiver Requested’</t>
  </si>
  <si>
    <t>Top</t>
  </si>
  <si>
    <t>CANTREPRODUCE</t>
  </si>
  <si>
    <t>target milestone</t>
  </si>
  <si>
    <t>bedrock</t>
  </si>
  <si>
    <t>x</t>
  </si>
  <si>
    <t>resolution type</t>
  </si>
  <si>
    <t>top</t>
  </si>
  <si>
    <t>Resolved (from the 2wk incoming)</t>
  </si>
  <si>
    <t>Incoming ( &lt;= 2weeks old)</t>
  </si>
  <si>
    <t>Open (from the 2wk incoming)</t>
  </si>
  <si>
    <t>total | fixed | dup |invalid | won't | can't |moved</t>
  </si>
  <si>
    <r>
      <rPr>
        <sz val="11"/>
        <color rgb="FFFF0000"/>
        <rFont val="Calibri"/>
        <family val="2"/>
        <scheme val="minor"/>
      </rPr>
      <t>RZ</t>
    </r>
    <r>
      <rPr>
        <sz val="11"/>
        <color theme="1"/>
        <rFont val="Calibri"/>
        <family val="2"/>
        <scheme val="minor"/>
      </rPr>
      <t xml:space="preserve"> </t>
    </r>
  </si>
  <si>
    <r>
      <rPr>
        <sz val="11"/>
        <color theme="7"/>
        <rFont val="Calibri"/>
        <family val="2"/>
        <scheme val="minor"/>
      </rPr>
      <t>yellow</t>
    </r>
    <r>
      <rPr>
        <sz val="11"/>
        <color theme="1"/>
        <rFont val="Calibri"/>
        <family val="2"/>
        <scheme val="minor"/>
      </rPr>
      <t>/</t>
    </r>
    <r>
      <rPr>
        <sz val="11"/>
        <color rgb="FF66F725"/>
        <rFont val="Calibri"/>
        <family val="2"/>
        <scheme val="minor"/>
      </rPr>
      <t>green</t>
    </r>
    <r>
      <rPr>
        <sz val="11"/>
        <color theme="1"/>
        <rFont val="Calibri"/>
        <family val="2"/>
        <scheme val="minor"/>
      </rPr>
      <t xml:space="preserve"> </t>
    </r>
  </si>
  <si>
    <t>2 week</t>
  </si>
  <si>
    <t>2weekresolved</t>
  </si>
  <si>
    <t>Solution CRB Request</t>
  </si>
  <si>
    <t>Resolution choices</t>
  </si>
  <si>
    <t>Classic milestones</t>
  </si>
  <si>
    <t>Store*</t>
  </si>
  <si>
    <t>Halo*</t>
  </si>
  <si>
    <t>3*</t>
  </si>
  <si>
    <t>6*</t>
  </si>
  <si>
    <t>MOVED</t>
  </si>
  <si>
    <t xml:space="preserve"> to 3Par/Rally</t>
  </si>
  <si>
    <t>&lt;= field used in querries, do not remove</t>
  </si>
  <si>
    <t>&lt;= last row|bug cksm =&gt;</t>
  </si>
  <si>
    <t>1.3 RedZone Summary</t>
  </si>
  <si>
    <t>2 week incoming/resolve/open statistics for all targets</t>
  </si>
  <si>
    <t>Summary (1.3 bugs) [top]
Resolved (all targets)
Incoming (all targets)</t>
  </si>
  <si>
    <t>10211, 11307</t>
  </si>
  <si>
    <t>[Master=76841, Aurora] [Customer: NTTDataWare, Wolverine] lwio crashed with SIGSEGV because pFcB is zero.</t>
  </si>
  <si>
    <t>amlan.dutta@hpe.com</t>
  </si>
  <si>
    <t>[Master=85210, Aurora] dword value in registry being returned to PML as a String instead of an integer value.</t>
  </si>
  <si>
    <t>[Master=84189, Aurora][Customer INFOSYS LIMITED] Fpg deletion failed with error "failed to deactivate completely (RMFS failed)"node7fs, likely because FPG is busy" during setfpg -deactivate</t>
  </si>
  <si>
    <t>[Master=84189, Avitus][Customer INFOSYS LIMITED] Fpg deletion failed with error "failed to deactivate completely (RMFS failed)"node7fs, likely because FPG is busy" during setfpg -deactivate</t>
  </si>
  <si>
    <t>Bench Test</t>
  </si>
  <si>
    <t>[Master=85042, Aurora] ade_idmap issue where UID is not getting found for folder/file creation failure.</t>
  </si>
  <si>
    <t>Status Synopsis</t>
  </si>
  <si>
    <t>Master bug</t>
  </si>
  <si>
    <t>Bug 84189</t>
  </si>
  <si>
    <t>Moved to FS team for 'status 61' message analysis</t>
  </si>
  <si>
    <t>updated</t>
  </si>
  <si>
    <t>Setting target build for 13-July-2016</t>
  </si>
  <si>
    <t>Have a repro from L4. No root cause, active analysis. Likely need to rewaive. Other improvements have reduced the probability, and ServiceMonitor restarts HP-SMB when there is a crash.</t>
  </si>
  <si>
    <t>NFS server team working issue. Protocols providing consulting on repro</t>
  </si>
  <si>
    <t xml:space="preserve">Waive, same issue as seen before with large numbers of users in groups. </t>
  </si>
  <si>
    <t>dipak.singh@hpe.com</t>
  </si>
  <si>
    <t>last row</t>
  </si>
  <si>
    <t>[Master=85758, Avitus] [psmt] Permission inheritance (i.e. default permissions) broken on Posix file store</t>
  </si>
  <si>
    <t>[Master=85962, Aurora] Online Upgrade Unity 1.4 to 1.4 is unsuccessful - Failed during update preparation stage (SamDB) "Content is not allowed in prolog."</t>
  </si>
  <si>
    <t>[Master=86116, Aurora] Unable to create folders and files if primary group is not matched in AD and LDAP</t>
  </si>
  <si>
    <t>[Master=86152, Aurora] FSCT run failing with error "Unable to get next file from the file set. The file lists are empty"</t>
  </si>
  <si>
    <t>roopesh.thota@hpe.com</t>
  </si>
  <si>
    <t>dheeraj.pur.k@hpe.com</t>
  </si>
  <si>
    <t>For Review</t>
  </si>
  <si>
    <t>[Master=86203, Aurora] FPGs are DEACTIVATED due to no CPG space and lwsmd core dumped</t>
  </si>
  <si>
    <t>[Master=86110, Aurora] Lost FS version, MTU and Bond details for one node; accessing FS resulted into failures.</t>
  </si>
  <si>
    <t>23 bugs (! waived, ! targeted, !documentation)
7 of those bugs are &lt; a week old
4 bugs with target builds
3 blocker bugs, 1 with a target build
5 bugs on new User Mapping feature</t>
  </si>
  <si>
    <t>[Master=86345, Aurora] Unable to access system as some REST requests are blocking GRIZZLY threads</t>
  </si>
  <si>
    <t>[Master=86509, Aurora] protocolsserviced crashes from bind failure in manageability interface</t>
  </si>
  <si>
    <t>[Master=86505, Aurora] After the upgrade to 3.2.2.514-MU3 build  NFS share displays "failed"  state for existing and created NFS share</t>
  </si>
  <si>
    <t>[Master=86382, Aurora] Error "Could not get usermap status." from cli "showfs -usermap" using ISO from health refactor branch</t>
  </si>
  <si>
    <t>[Master=86298, Aurora] Unable to access system because of deadlock observed on a node by FTP service.</t>
  </si>
  <si>
    <t xml:space="preserve"> </t>
  </si>
  <si>
    <t>File on HC</t>
  </si>
  <si>
    <t>[Master=86531, Avitus] Associating VFS IP failed with error message "Activity timed out." for the FPG created on active node.</t>
  </si>
  <si>
    <t>[Master=86345, Aurora] Unable to access system as some REST requests are blocking GRIZZLY threads due to locking in share mkdir calls</t>
  </si>
  <si>
    <t>3.14.1 Asterix</t>
  </si>
  <si>
    <t>[Master=87056, Avitus] lwsmd crash during extended meatgrinder run from SMB3 client (failed after ~35 hours)</t>
  </si>
  <si>
    <t>[Master=87056, Aurora] lwsmd crash during extended meatgrinder run from SMB3 client (failed after ~35 hours)</t>
  </si>
  <si>
    <t>[Master=87001, Aurora] Memory Leak in HP-SMB RPC CPP layer during NFS PML plugin health check.</t>
  </si>
  <si>
    <t>Root cause theorized</t>
  </si>
  <si>
    <t>bharatp@hpe.com</t>
  </si>
  <si>
    <t>3.16.0 Cacophonix</t>
  </si>
  <si>
    <t>6.6.1</t>
  </si>
  <si>
    <t>[Master] Associating VFS IP failed with error message "Activity timed out." for the FPG created on active node.</t>
  </si>
  <si>
    <t>parhad@hpe.com</t>
  </si>
  <si>
    <t>[Master] Memory Leak in HP-SMB RPC CPP layer during NFS PML plugin health check.</t>
  </si>
  <si>
    <t>[Master] lwsmd crash during extended meatgrinder run from SMB3 client (failed after ~35 hours)</t>
  </si>
  <si>
    <t>[Master=87008, Aurora] [Customer: Star Financial] lwio segfaults in lwmsg_peer_assoc_session_dispatch_calls()</t>
  </si>
  <si>
    <t>[Master=87008, Atlas-1.2-Maint] [Customer: Star Financial] lwio segfaults in lwmsg_peer_assoc_session_dispatch_calls()</t>
  </si>
  <si>
    <t>Aurora_1.3.0.45-20160824</t>
  </si>
  <si>
    <t>[Master=86995, Aurora] OOM panic running meatgrinder from (3) SMB3 clients with 8 threads each on 2 different fpg's</t>
  </si>
  <si>
    <t>[Master=87238, Aurora] [Customer: Star Financial] lwio becomes unresponsive and has to be manually restarted before access is restored</t>
  </si>
  <si>
    <t>[Master=87253, Aurora] lwsmd core dumped &amp; error out during I/O from Meatgrinder</t>
  </si>
  <si>
    <t>[Master=87270, Aurora] Online Upgrade failing due to HP-SMB services are not ready</t>
  </si>
  <si>
    <t>c</t>
  </si>
  <si>
    <t>nfs</t>
  </si>
  <si>
    <t>doc</t>
  </si>
  <si>
    <t>analysis</t>
  </si>
  <si>
    <t>Release Note and/or Support Communications</t>
  </si>
  <si>
    <t>Support Communications</t>
  </si>
  <si>
    <t>[Master=87449, Avitus] showfs -username should display 'UNIX name'</t>
  </si>
  <si>
    <t>[Master=87451, Avitus] Unable to create directories/files on OBJ Share with LDAP Users</t>
  </si>
  <si>
    <t>[Master=87658, Aurora] Getting event of type "CLUSTER_AUTHENTICATION_STACKING" instead of "USERMAP" when we import usermapping file</t>
  </si>
  <si>
    <t>Workaround, upgrade to 1.2.2</t>
  </si>
  <si>
    <t>[Master=87652, Aurora] lwsmd services crashed on node1fs while I/O is in progress for OFSCK.</t>
  </si>
  <si>
    <t>&lt;=Summary column</t>
  </si>
  <si>
    <t>Preexisting</t>
  </si>
  <si>
    <t>Release Note</t>
  </si>
  <si>
    <t>[Master=77815, Avitus] Flock test (LTP) hangs over Unity NFS forever while works against EXT NFS</t>
  </si>
  <si>
    <t>[Master=87238, Avitus] [Customer: Star Financial] lwio becomes unresponsive and has to be manually restarted before access is restored</t>
  </si>
  <si>
    <t>[Master=87652, Avitus] lwsmd services crashed on node1fs while I/O is in progress for OFSCK.</t>
  </si>
  <si>
    <t>[Master=87658, Avitus] Getting event of type "CLUSTER_AUTHENTICATION_STACKING" instead of "USERMAP" when we import usermapping file</t>
  </si>
  <si>
    <t>[Master=87240, Avitus] Posix directories setting the wrong mode bits.</t>
  </si>
  <si>
    <t>vishal.goel@hpe.com</t>
  </si>
  <si>
    <t>CRB-Approved</t>
  </si>
  <si>
    <t>[Master]  [Cross-Protocol]A folder inside created from an NFS share with a trailing space on name is not accessible or removable from windows SMB share.</t>
  </si>
  <si>
    <t>[Master] [Customer Rothschild] lwio crash during race condition to acquire the write lock</t>
  </si>
  <si>
    <t>thirumavalavan.srinivasan@hpe.com</t>
  </si>
  <si>
    <t>[Master=74611, 66maint] [Customer Rothschild] lwio crash during race condition to acquire the write lock</t>
  </si>
  <si>
    <t>6.6.3</t>
  </si>
  <si>
    <t>CRB - Awaiting Approval</t>
  </si>
  <si>
    <t>[Master] SMB3 - Meatgrinder - Invalid handle error upon node failover</t>
  </si>
  <si>
    <t>Aurora_1.3.0.44-20160817</t>
  </si>
  <si>
    <t>[Master=62917, Avitus] File after issuing chmod 444 is not getting transitioned to retained on a HP-SMB share mounted on the Linux client.</t>
  </si>
  <si>
    <t>1.3_Invalid</t>
  </si>
  <si>
    <t>[Master] [Customer: SafeTech] Unbound crond thread growth after PML restart</t>
  </si>
  <si>
    <t>[Master=74252, Avitus]  [Cross-Protocol]A folder inside created from an NFS share with a trailing space on name is not accessible or removable from windows SMB share.</t>
  </si>
  <si>
    <t>[Master=78012, Avitus] [Customer: SafeTech] Unbound crond thread growth after PML restart</t>
  </si>
  <si>
    <t>1.3_CantRep</t>
  </si>
  <si>
    <t>kerry.l.burke@hpe.com</t>
  </si>
  <si>
    <t>[Master=72568, 3.16.0 Cacophonix] CIFS Share not accessible - HP-SMB not running after segfault</t>
  </si>
  <si>
    <t>[Master=73055, 3.16.0 Cacophonix] Possible Memory Leak in LSASSD??</t>
  </si>
  <si>
    <t>Memory_Leak</t>
  </si>
  <si>
    <t>[Master=75368, 3.16.0 Cacophonix] [NEW BRUNSWICK INVESTMENT MANAGEMENT] Granular recovery is very slow when OpLocking is enabled</t>
  </si>
  <si>
    <t>[Master=79273, 3.16.0 Cacophonix] Disk File Allocation size for sparse files is incorrectly reported from some SMB clients</t>
  </si>
  <si>
    <t>[Master] AD user ACLs were not restored on Unity SMB share after SMB data migration.</t>
  </si>
  <si>
    <t>balachandrudu.vavilapalli@hpe.com</t>
  </si>
  <si>
    <t>[Master=82164, Avitus] AD user ACLs were not restored on Unity SMB share after SMB data migration.</t>
  </si>
  <si>
    <t>[Master] unity node has hundreds of protocolsserviced processes choking node</t>
  </si>
  <si>
    <t>[Master=82881, Aurora] unity node has hundreds of protocolsserviced processes choking node</t>
  </si>
  <si>
    <t>[Master=82881, Avitus] unity node has hundreds of protocolsserviced processes choking node</t>
  </si>
  <si>
    <t>[Master] Roaming profiles - failure to load profiles on logon of 42 users simultaneously</t>
  </si>
  <si>
    <t>[Master=82972, Avitus] Roaming profiles - failure to load profiles on logon of 42 users simultaneously</t>
  </si>
  <si>
    <t>Defect Type</t>
  </si>
  <si>
    <t>[Master=76407, Avitus] SMB3 - Meatgrinder - Invalid handle error upon node failover</t>
  </si>
  <si>
    <t>Avitus_1.4.0.30-20160817</t>
  </si>
  <si>
    <t>[Master] [psmt] Permission inheritance (i.e. default permissions) broken on Posix file store</t>
  </si>
  <si>
    <t>[Master] "setfs usermap -export ...." displays internal details in tag "messageForCurrentLocale"</t>
  </si>
  <si>
    <t>[Master=86194, Avitus] "setfs usermap -export ...." displays internal details in tag "messageForCurrentLocale"</t>
  </si>
  <si>
    <t>[Master] Not able to create SMB share from mmc with Administrator</t>
  </si>
  <si>
    <t>gopi.patta@hpe.com</t>
  </si>
  <si>
    <t>[Master=86261, Avitus] Not able to create SMB share from mmc with Administrator</t>
  </si>
  <si>
    <t>[Master] lwsmd core dumped &amp; error out during I/O from Meatgrinder</t>
  </si>
  <si>
    <t>[Master=87001, Avitus] Memory Leak in HP-SMB RPC CPP layer during NFS PML plugin health check.</t>
  </si>
  <si>
    <t>New Feature</t>
  </si>
  <si>
    <t>[Master] IO on windows 2008 does not resume after FPG failover</t>
  </si>
  <si>
    <t>colm.mckenna@hpe.com</t>
  </si>
  <si>
    <t>[Master=87367, Avitus] IO on windows 2008 does not resume after FPG failover</t>
  </si>
  <si>
    <t>[Master] showfs -username should display 'UNIX name'</t>
  </si>
  <si>
    <t>anil-kumar.bvn@hpe.com</t>
  </si>
  <si>
    <t>MOVED to Rally</t>
  </si>
  <si>
    <t>[VDU - 179485] checkhealth for the FS reports File Services NFS based fshare issues, fshares failed</t>
  </si>
  <si>
    <t>david.limato@hpe.com</t>
  </si>
  <si>
    <t>setfshare  -denyip cannot be set on an smb share</t>
  </si>
  <si>
    <t>terry.dean@hpe.com</t>
  </si>
  <si>
    <t>[Master=87449, Aurora] showfs -username should display 'UNIX name'</t>
  </si>
  <si>
    <t>CLI, found in Avitus</t>
  </si>
  <si>
    <t>[Master] Posix directories setting the wrong mode bits.</t>
  </si>
  <si>
    <t>[Master] Unable to Delete the File Store. As SMB component is registered for Stree delete notification and smb component clearing share  has a issue. Due to which the File Store Delete is failing</t>
  </si>
  <si>
    <t>naveend@hpe.com</t>
  </si>
  <si>
    <t>DEV_Regression_Daily</t>
  </si>
  <si>
    <t>Customer (during EAP)</t>
  </si>
  <si>
    <t>[Master=87060, 3.16.0 Cacophonix] [Customer: Unipol]: lwiod crashed, NAS shares inaccessible</t>
  </si>
  <si>
    <t>andrea.tanner@hpe.com</t>
  </si>
  <si>
    <t>[Master] Unable to create directories/files on OBJ Share with LDAP Users</t>
  </si>
  <si>
    <t>prakruti-kishore.salot@hpe.com</t>
  </si>
  <si>
    <t>[Master] lwsmd services crashed on node1fs while I/O is in progress for OFSCK.</t>
  </si>
  <si>
    <t>[Master] Getting event of type "CLUSTER_AUTHENTICATION_STACKING" instead of "USERMAP" when we import usermapping file</t>
  </si>
  <si>
    <t>[Coverity]Using uninitialized value "IDL_ms.IDL_elt_p" when calling "rpc_ss_ndr_clean_up" in file srvsvc_cstub.c</t>
  </si>
  <si>
    <t>[Coverity]Using uninitialized value "IDL_ms.IDL_elt_p" when calling "rpc_ss_ndr_clean_up" in file srvsvc_sstub.c</t>
  </si>
  <si>
    <t>WIPRO, Pending for review</t>
  </si>
  <si>
    <t>[Master] [Customer: Sony Mobile] Customer canâ€™t join AD, shows error 40700 (unknown error code)</t>
  </si>
  <si>
    <t>3.13.X Zirkel Next</t>
  </si>
  <si>
    <t>[Master=87735, 3.13.X Zirkel Next] [Customer: Sony Mobile] Customer canâ€™t join AD, shows error 40700 (unknown error code)</t>
  </si>
  <si>
    <t>http://dasrsp0.das1.global.tslabs.hpecorp.net:8080/ReportServer_GSDDB/Pages/ReportViewer.aspx?/GsdReports/client%20experience/CEDB%20CFI%20Report&amp;CFINumber=</t>
  </si>
  <si>
    <t>Presented</t>
  </si>
  <si>
    <t>[Master=87873, Aurora] Unable to create NFS share when hostname is specified as clientip option.</t>
  </si>
  <si>
    <t>WIPRO - pending for review</t>
  </si>
  <si>
    <t>[Master=87873, Avitus] Unable to create NFS share when hostname is specified as clientip option.</t>
  </si>
  <si>
    <t>[Master=85759, Avitus] [psmt] â€˜Otherâ€™ to â€˜Everyoneâ€™ convert broken on Posix File Store</t>
  </si>
  <si>
    <t>Aurora_1.3.0.46-20160831</t>
  </si>
  <si>
    <t>WIPRO-Analysis in progress</t>
  </si>
  <si>
    <t>WIPRO - Analysis in Progress</t>
  </si>
  <si>
    <t>[Master=87973, Aurora] Error occurred "com.hp.storage.pml.file.protocols.api.exception.HPProtocolServiceImplException: could not connect to lsa" while listing local users, groups. Also, issues with AD user listing with error "Failed to read from channel."</t>
  </si>
  <si>
    <t>[Master=87978, Aurora] Events don't get generated after"setfs ad" changes are updated</t>
  </si>
  <si>
    <t>[Master=87982, Aurora] All the nodes of the cluster went into "Starting" state</t>
  </si>
  <si>
    <t>[Master=85468, Avitus] Very frequent lwsmd crashes on 16-Node Unity Emulator (scalability testing for File on HC)</t>
  </si>
  <si>
    <t>[Master=87973, Avitus] Error occurred "com.hp.storage.pml.file.protocols.api.exception.HPProtocolServiceImplException: could not connect to lsa" while listing local users, groups. Also, issues with AD user listing with error "Failed to read from channel."</t>
  </si>
  <si>
    <t>[Master=87978, Avitus] Events don't get generated after"setfs ad" changes are updated</t>
  </si>
  <si>
    <t>[Master=87982, Avitus] All the nodes of the cluster went into "Starting" state</t>
  </si>
  <si>
    <t>Offline Upgrade from  3.2.2.530-20160802.002831 (MU3) to 3.2.2.530-20160811.025908 (MU3) failed with error  "Failed to update File Services"</t>
  </si>
  <si>
    <t>steve.houle@hpe.com</t>
  </si>
  <si>
    <t>[Master] Health Status results sometimes empty</t>
  </si>
  <si>
    <t>[Master] Unable to Unmount FPG with long VFS, File Store and Share name</t>
  </si>
  <si>
    <t>vshukla@hpe.com</t>
  </si>
  <si>
    <t>[Master] [UDU42109] Deleting a local user or group may leave quotas with unresolvable names without warning</t>
  </si>
  <si>
    <t>harry.kellogg@hpe.com</t>
  </si>
  <si>
    <t>[Master=81360, Aurora] [UDU142109] Deleting a local user or group may leave quotas with unresolvable names without warning</t>
  </si>
  <si>
    <t>[Master=81360, Avitus] [UDU142109] Deleting a local user or group may leave quotas with unresolvable names without warning</t>
  </si>
  <si>
    <t>[Master] Unity 1.4 : setfs IDMAP config failure</t>
  </si>
  <si>
    <t>sandeep.r.lad@hpe.com</t>
  </si>
  <si>
    <t>WIPRO; Analysis in progress</t>
  </si>
  <si>
    <t>[Master=83371, Avitus] Unity 1.4 : setfs IDMAP config failure</t>
  </si>
  <si>
    <t>[Master=69651, Avitus] Unable to Unmount FPG with long VFS, File Store and Share name</t>
  </si>
  <si>
    <t>"setfs usermap -export...." fails with 'key "message" not known in dictionary'</t>
  </si>
  <si>
    <t>[Master] hp-smb, lsass memory leak in MemCacheFindInvalidUserById</t>
  </si>
  <si>
    <t>[Master=86769, Avitus] hp-smb, lsass memory leak in MemCacheFindInvalidUserById</t>
  </si>
  <si>
    <t>Avitus_1.4.0.31-20160824</t>
  </si>
  <si>
    <t>Bind mounts left on FPG deactivation</t>
  </si>
  <si>
    <t>Trinity</t>
  </si>
  <si>
    <t>sasha.epstein@hpe.com</t>
  </si>
  <si>
    <t>WIPRO; file on HC</t>
  </si>
  <si>
    <t>[Master] Setfshare command for "Allow ip" in SMB  is getting executed successfully but fails in modifying the share</t>
  </si>
  <si>
    <t>iswarya.jeyaramesh@hpe.com</t>
  </si>
  <si>
    <t>QPnT: Maintenance Release Test</t>
  </si>
  <si>
    <t>[Bug 180836] - showfshare command not responding even after 30+ mins , other commands are also running slow..</t>
  </si>
  <si>
    <t>[Master=87981, Avitus] Setfshare command for "Allow ip" in SMB  is getting executed successfully but fails in modifying the share</t>
  </si>
  <si>
    <t>[Master=83323,Avitus] StoreOnce is not able to join to the AD server using IPv6 in 3.14.x onwards</t>
  </si>
  <si>
    <t>WIPRO,Pending for review</t>
  </si>
  <si>
    <t>Found in Avitus; WIPRO - Analysis in Progress</t>
  </si>
  <si>
    <t>pike test failures: lwio will negotiate a lower SMB protocol version if client negotiate request doesn't list them in ascending order</t>
  </si>
  <si>
    <t>pike test failures: lwio error on 2 of 3 tests in lease.py</t>
  </si>
  <si>
    <t>[Master] Unable to create NFS share when hostname is specified as clientip option.</t>
  </si>
  <si>
    <t>WIPRO-Analysis in Progress</t>
  </si>
  <si>
    <t>Could not ssh into a node for some time</t>
  </si>
  <si>
    <t>[Master] Error occurred "com.hp.storage.pml.file.protocols.api.exception.HPProtocolServiceImplException: could not connect to lsa" while listing local users, groups. Also, issues with AD user listing with error "Failed to read from channel."</t>
  </si>
  <si>
    <t>padmapraveena.vusa@hpe.com</t>
  </si>
  <si>
    <t>chaubal.abhishek-jayawant@hpe.com</t>
  </si>
  <si>
    <t>[Master] Events don't get generated after"setfs ad" changes are updated</t>
  </si>
  <si>
    <t>[Master] All the nodes of the cluster went into "Starting" state</t>
  </si>
  <si>
    <t>[Master] [Customer: US Army] SMB1 signing not working during multiple sessions in a single connection</t>
  </si>
  <si>
    <t>3.15.0 Botanix</t>
  </si>
  <si>
    <t>[Master=85468, Aurora] Very frequent lwsmd crashes on 16-Node Unity Emulator (scalability testing for File on HC)</t>
  </si>
  <si>
    <t>Reduced Zone for Aurora 1.3</t>
  </si>
  <si>
    <t>[Master=86668, Aurora] Health REST requests get blocked for a long time</t>
  </si>
  <si>
    <t>File on HC; 1.3 zoning decreased</t>
  </si>
  <si>
    <t>[Master=87451, Aurora] Unable to create directories/files on OBJ Share with LDAP Users</t>
  </si>
  <si>
    <t>1.3 zone decreased</t>
  </si>
  <si>
    <t>setfs gw -delete returns 405 error</t>
  </si>
  <si>
    <t>peter.ninnemann@hpe.com</t>
  </si>
  <si>
    <t>multiple protocolsserviced processes left on file persona nodes after LDAP outage</t>
  </si>
  <si>
    <t>Atlas-1.2.2</t>
  </si>
  <si>
    <t>8824, 11902</t>
  </si>
  <si>
    <t>[Master=67205, Atlas-1.2-Maint] [Customer: Wolfson Hospital,SafeTech,Baxter,Panasonic] HP-SMB stack crash on shutdown, SIGABRT with: lwio: [lwio] Failed to lock mutex: 22. Aborting program</t>
  </si>
  <si>
    <t>[Master=76841, Atlas-1.2-Maint] [Customer: NTTDataWare, Wolverine, Panasonic] lwio crashed with SIGSEGV because pFcB is zero.</t>
  </si>
  <si>
    <t>[Master=66235, Atlas-1.2-Maint] [Customer INFOSYS LIMITED] FPG Failed to RMFS when trying to umount when it was in use on the VM.</t>
  </si>
  <si>
    <t>[Master=89408, Atlas-1.2-Maint] [Customer: HPE(3par)] Daily OOM using NFSv3 and NIS on Virtual Machines with lwsmd as majority memory holder since upgrading to 1.2.2</t>
  </si>
  <si>
    <t>[Master=88795, Atlas-1.2-Maint] [Customer : Panasonic Corporation, Star Financial Bank] disappear security credential intermittent from directory/file in smb share</t>
  </si>
  <si>
    <t>[Master=89625, Aurora] Drop in NFS I/O throughput compared to previous builds</t>
  </si>
  <si>
    <t>CRB - Awaiting approval</t>
  </si>
  <si>
    <t>10/7: Investigating</t>
  </si>
  <si>
    <t>10/7 Notes: Resolved if Grow FPG delivered (P2). Defensive coding possibility (impacts to IDs on disk)  May be related to Bug 75844</t>
  </si>
  <si>
    <t>10/7 Notes: Waiver, unlikely to resolve as no root cause</t>
  </si>
  <si>
    <t>10/17- No resources available</t>
  </si>
  <si>
    <t>sheet4</t>
  </si>
  <si>
    <t>[Master=90760, Aurora] Upgrading 3par from 3.2.2.530 to 3.3.1.136 failed</t>
  </si>
  <si>
    <t>Need follow up on health of cluster to try to reproduce</t>
  </si>
  <si>
    <t>yuriy.kirichok@hpe.com</t>
  </si>
  <si>
    <t>iris.yi@hpe.com</t>
  </si>
  <si>
    <t>[Master=89469, Aurora] Observed lwsmd crash after upgrade</t>
  </si>
  <si>
    <t>rohini.raghuwanshi@hpe.com</t>
  </si>
  <si>
    <t>[Master=89113, Aurora] Filesystem failover took more than 5 minutes for completion</t>
  </si>
  <si>
    <t>[Master=67205, Aurora] [Customer: Wolfson Hospital,SafeTech,Baxter,Panasonic] HP-SMB stack crash on shutdown, SIGABRT with: lwio: [lwio] Failed to lock mutex: 22. Aborting program</t>
  </si>
  <si>
    <t>10/7 Notes: Unlikely to be resolved in v1.3, some incremental improvements to reduce probability</t>
  </si>
  <si>
    <t>11/01: DEFINITE Waiver. Requires IDs on Disk</t>
  </si>
  <si>
    <t>11/01: DEFINITE 1.3 waiver (10/14 [Dev] - No NFS fix. No outage. low probability. UNlikely for VDU change) 10/7 Notes: Likely to be resolved, depends on faster enumeration of shares, or caching of share list - need target build</t>
  </si>
  <si>
    <t>11/01: Waiver 1.3 plus 10/21: Need info on File System "Domain Panic" from FS team. Can the be repro'd on Newer bits?</t>
  </si>
  <si>
    <t>The change for SMB is being tracked in bug 91456. Moving this bug to AvatarFS for the snapshot + full VV issue documentation</t>
  </si>
  <si>
    <t>11/02: Likely fix for 1.3. Design in progress to implement sever health report</t>
  </si>
  <si>
    <t>[Master=91565, Aurora] [Customer : Picscout (Israel) Ltd] lwio memory leak after upgrade to 1.2.2, OOM occurred</t>
  </si>
  <si>
    <t>[Master=92075, Aurora] 3PAR lost ldap configuration after cluster expansion followed by stopfs/startfs.</t>
  </si>
  <si>
    <t>IOD</t>
  </si>
  <si>
    <t xml:space="preserve">May be addressed by fix for Bug 92816 </t>
  </si>
  <si>
    <t>[Master=93460, Aurora] Createfsuser,createfsgroup, setfsuser,setfsgroup,showfsuser, showfsgroup commands fail</t>
  </si>
  <si>
    <t>Atlas-1.2.3</t>
  </si>
  <si>
    <t>Bug 88391 - [Master] lwsmd segfault error 4 in liblwmsg_nothr.so.0.0.0 running Roaming Profile Logout of 42 clients</t>
  </si>
  <si>
    <t>Bug 88403 - [Master=88391, Aurora] lwsmd segfault error 4 in liblwmsg_nothr.so.0.0.0 running Roaming Profile Logout of 42 clients</t>
  </si>
  <si>
    <t>Bug 88404 - [Master=88391, Avitus] lwsmd segfault error 4 in liblwmsg_nothr.so.0.0.0 running Roaming Profile Logout of 42 clients</t>
  </si>
  <si>
    <t>Bug 67205 - [Master] [Customer: Wolfson Hospital,SafeTech,Baxter,Panasonic] HP-SMB stack crash on shutdown, SIGABRT with: lwio: [lwio] Failed to lock mutex: 22. Aborting program</t>
  </si>
  <si>
    <t>Bug 75649 - [Master=67205, Aurora] [Customer: Wolfson Hospital,SafeTech,Baxter,Panasonic] HP-SMB stack crash on shutdown, SIGABRT with: lwio: [lwio] Failed to lock mutex: 22. Aborting program</t>
  </si>
  <si>
    <t>Bug 79784 - [Master=67205, Avitus] [Customer: Wolfson Hospital,SafeTech,Baxter,Panasonic] HP-SMB stack crash on shutdown, SIGABRT with: lwio: [lwio] Failed to lock mutex: 22. Aborting program</t>
  </si>
  <si>
    <t>Moved to "Won't Fix" and blanket waived.</t>
  </si>
  <si>
    <t>Waiver review committee agreed to blanket "Waiver Not Required" (Now 'Recycle Bin') for IDs On Disk issues. This is with the understanding that: 1. IOD is delivered for Avitus (1.4) [On Track] 2. There are 1.4 clone bugs for these issues. [Done] 3. There are release notes for any issues Customers may need to address [Done]</t>
  </si>
  <si>
    <t>12/20: Blocked on feed back from customer for Bug 92816; 11/30: Prioritized P1</t>
  </si>
  <si>
    <t>12/20: Prioritized P2; 12/15: Recreated the issue. Looking into the logs.</t>
  </si>
  <si>
    <t>12/20: RE-Prioritized P2 (requires damaged LDAP server), workaround to bring LDAP server back online</t>
  </si>
  <si>
    <t>[Master=94041, Aurora] [Precision Planning Inc] Outage caused due to SMB services becoming un-responsive</t>
  </si>
  <si>
    <t>rimpa.paul@hpe.com</t>
  </si>
  <si>
    <t>shruti@hpe.com</t>
  </si>
  <si>
    <t>WIPRO, Reassigned to submitter</t>
  </si>
  <si>
    <t>Denied</t>
  </si>
  <si>
    <t>alexander.petliar@hpe.com</t>
  </si>
  <si>
    <t>[Master=94074, Avitus] [Customer: Tetra Pak AB] Loss of the schannel connection to AD is not detected by service monitoring, resulting in DU and requiring manual intervention</t>
  </si>
  <si>
    <t xml:space="preserve"> ---</t>
  </si>
  <si>
    <t>[Master=94906, Aurora] Offline upgrade from 3.2.2.390(MU2) to 3.2.2.530(EMU3) failed with error " Failed to execute the update hook CONFIG_CHANGE_TRANSFORM 0x102F1002"</t>
  </si>
  <si>
    <t>[Master=95967, Aurora] [Customer: Tetra Pak AB] When using the Open Files functionality in MMC, "Error 6: The handle is invalid" is often returned</t>
  </si>
  <si>
    <t>nitin.prakash@hpe.com</t>
  </si>
  <si>
    <t>[Master=96452, Aurora]Setting inherited ACLs on a nested directory structure fails for some files with error "The specified group did not exist"</t>
  </si>
  <si>
    <t>[Master=96715, Aurora] [valgrind] funtest w/ valgrind found memory leaks in LocalAddUser, LocalAddGroup operations</t>
  </si>
  <si>
    <t>re-opened, re-use waiver</t>
  </si>
  <si>
    <t>re-opened, need aurora waiver</t>
  </si>
  <si>
    <t>need waiver</t>
  </si>
  <si>
    <t>changed YZ won't fix</t>
  </si>
  <si>
    <t>re-opened, need cooling reg key note</t>
  </si>
  <si>
    <t>yes</t>
  </si>
  <si>
    <t>fixed in 1.4</t>
  </si>
  <si>
    <t>File Access Auditing</t>
  </si>
  <si>
    <t>Axion</t>
  </si>
  <si>
    <t>AuroraProtRedZone</t>
  </si>
  <si>
    <t>http://link.osp.hpe.com/u/24wb</t>
  </si>
  <si>
    <t>http://link.osp.hpe.com/u/268u</t>
  </si>
  <si>
    <t>AvitusProtRedZone</t>
  </si>
  <si>
    <t>DO NOT DELETE!</t>
  </si>
  <si>
    <t>DATA DRIVES RZ QUERIES</t>
  </si>
  <si>
    <t>pass=bzq</t>
  </si>
  <si>
    <t>bzlink</t>
  </si>
  <si>
    <t>*Aveng*</t>
  </si>
  <si>
    <t>BugList</t>
  </si>
  <si>
    <t>https://bugzilla.houston.hpecorp.net:1181/bugzilla/buglist.cgi?quicksearch=</t>
  </si>
  <si>
    <t>[Master=97480, Avitus]No alert raised or health reported as degraded when clock out of sync vs. AD, and can't be adjusted because VM time is ahead of AD</t>
  </si>
  <si>
    <t>Runtime Analysis Tools (e.g. Valgrind)</t>
  </si>
  <si>
    <t>[Master=98755, Avitus] [Customer: Tetra Pak AB] share access lost, 40 lsass threads waiting on AD_NetlogonAuthenticationUserEx Schannel lock calls</t>
  </si>
  <si>
    <t>Temp Internet files</t>
  </si>
  <si>
    <t>C:\Users\mwroberts\AppData\Local\Temp\</t>
  </si>
  <si>
    <t>Browser path</t>
  </si>
  <si>
    <t xml:space="preserve">C:\Program Files (x86)\Mozilla Firefox\firefox.exe </t>
  </si>
  <si>
    <t>[Master=98774, Avitus] [Valgrind] Medium memory leak in srvsvc enumerating shares and getting share info</t>
  </si>
  <si>
    <t>[Master=98888, Avitus][Customer: Ternium] JVM consumes all CPU cores and eventually exhausts thread pool with: The thread pool's task queue is full, limit: 75</t>
  </si>
  <si>
    <t>Current analysis does not implicate persistent handles as the cause.</t>
  </si>
  <si>
    <t>arnav.karforma@hpe.com</t>
  </si>
  <si>
    <t>adityag@hpe.com</t>
  </si>
  <si>
    <t>WIPRO - Analysis in progress</t>
  </si>
  <si>
    <t>[Master=98891, Avitus][Customer: Ternium] Potential deadlock between SrvPersistentReconnct_CompleteStage and SrvCancelCreateStateHandle_SMB_V2</t>
  </si>
  <si>
    <t>[Master=99942, Avitus][Customer: Tetra Pak AB] Domain goes offline, then lsass reports "Domain is now online" but lwio thread pool is consumed with calls to lsass while lsass thread pool is empty</t>
  </si>
  <si>
    <t>[Master=94830, Avitus] [Customer: Tetra Pak AB, Ternium] probable lwio deadlock</t>
  </si>
  <si>
    <t>13183 17510</t>
  </si>
  <si>
    <t>01/20: Prioritized P1 (Escape, CFI)</t>
  </si>
  <si>
    <t>[Master=99374, Avitus]Observed lwsmd crash on 4 node chimera, malloc() failed, lwio consumed huge memory</t>
  </si>
  <si>
    <t>jaipal.pendyala@hpe.com</t>
  </si>
  <si>
    <t>[Master=99311, Avitus] FAA failed to capture records under  multi-user I/O test for both NFS and SMB</t>
  </si>
  <si>
    <t>*Unknown (Triage)-FAA</t>
  </si>
  <si>
    <t>[Master=99695, Avitus] [Customer: US Army] Need to be able to disable SMB1</t>
  </si>
  <si>
    <t>WIPRO, Analysis in progress</t>
  </si>
  <si>
    <t>3.16.2 Cacophonix</t>
  </si>
  <si>
    <t>Atlas-1.2.4</t>
  </si>
  <si>
    <t>13-June: Waiver form submitted</t>
  </si>
  <si>
    <t>Would be moved to Waiver.</t>
  </si>
  <si>
    <t>Avitus_1.4.0.75-20170621</t>
  </si>
  <si>
    <t>[Master=100707, Avitus][Customer Centric] SMB hangs almost twice a day. core-files generated</t>
  </si>
  <si>
    <t>[Master=100773, Avitus]Running heavy SMB I/O for more than 20Hrs lead to lwsmd crash</t>
  </si>
  <si>
    <t>[Master=100799, Avitus]Repetitive restart of hp-smb stack possibly causing momentary interruptions for SMB clients</t>
  </si>
  <si>
    <t>13-June: Waiver Form supmitted; 05/22: behavior is correct given that malloc() failed, system is out of memory.</t>
  </si>
  <si>
    <t>[Customer: Big Lots Stores] HPE-SMB crash, lwio aborts</t>
  </si>
  <si>
    <t>Issue with mount NFS share "mount.nfs: Connection timed out" error during IDART setfsarchive tests</t>
  </si>
  <si>
    <t>satish.gundam@hpe.com</t>
  </si>
  <si>
    <t>eric.collart@hpe.com</t>
  </si>
  <si>
    <t>Summary             10</t>
  </si>
  <si>
    <t>customer effect</t>
  </si>
  <si>
    <t>workaround/preventions</t>
  </si>
  <si>
    <t>HP-SMB hangs (DU)</t>
  </si>
  <si>
    <t>Support intervention required to restart hp-smb, service monitor won't rescue hp-smb, stopfs/startfs would also work</t>
  </si>
  <si>
    <t>PML unresponsive/ HP-SMB unresponsive</t>
  </si>
  <si>
    <t>no root cause</t>
  </si>
  <si>
    <t>has fix in 1.5</t>
  </si>
  <si>
    <t>Memory usage increase</t>
  </si>
  <si>
    <t>no intervention</t>
  </si>
  <si>
    <t>hp-smb crash/restarted by Service Monitor</t>
  </si>
  <si>
    <t>no intervention/ self heals</t>
  </si>
  <si>
    <t>no reproduction</t>
  </si>
  <si>
    <t>hp-smb hung</t>
  </si>
  <si>
    <t>.</t>
  </si>
  <si>
    <t>hp-smb unresponsive (DU)</t>
  </si>
  <si>
    <t>reproduced rarely in lab. No root cause</t>
  </si>
  <si>
    <t>Fixed in 1.2.3 and 1.4 (resolve for 1.4) fix is sleep() in while loop from steve</t>
  </si>
  <si>
    <t>hp-smb restarted  by service monitor</t>
  </si>
  <si>
    <t>System overloaded too many files/sessions load</t>
  </si>
  <si>
    <t>Close no repro/invalid</t>
  </si>
  <si>
    <t>[Master=91429, Avitus] Race condition during saves to SMB share using Notepad on nearly full fpg results in user data not being saved and no user error returned</t>
  </si>
  <si>
    <t>Avitus_1.4.0.70-20170524</t>
  </si>
  <si>
    <t>11-May: SMB change committed, waiting for ADE bug 90773 to be committed</t>
  </si>
  <si>
    <t>[Moved from UDU 194814] [Customer Orange]removefstore fails due to old share subfolder still there</t>
  </si>
  <si>
    <t>gabriel.vicoveanu@hpe.com</t>
  </si>
  <si>
    <t>Observed lwsmd crash on all of the 8 node chimera.</t>
  </si>
  <si>
    <t>[Master=100938, Avitus]Opening properties of share folder from SMB3 clients has 1 minute delay with "CA" set to "true" on share</t>
  </si>
  <si>
    <t>FilterRegion</t>
  </si>
  <si>
    <t>$A$17:$AH$110</t>
  </si>
  <si>
    <t>[Master=97056, Avitus][Customer: Tetra Pak AB] Stuck in starting state - PML threads exhausted, due to hang in SMB share enumeration</t>
  </si>
  <si>
    <t>daisuke.oouchi@hpe.com</t>
  </si>
  <si>
    <t>[Customer: Mitsubishi Electric Information Network Corporation] fail to remove fstore when fshare is generated with -shardir option</t>
  </si>
  <si>
    <t>NTFS cross-protocol:  Display issue. NFS users'  home directories/files always have group rwx</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</si>
</sst>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
    <numFmt numFmtId="165" formatCode="????"/>
    <numFmt numFmtId="166" formatCode="[$-409]d\-mmm\-yyyy;@"/>
  </numFmts>
  <fonts count="38" x14ac:knownFonts="1">
    <font>
      <sz val="11"/>
      <color theme="1"/>
      <name val="Calibri"/>
      <family val="2"/>
      <scheme val="minor"/>
    </font>
    <font>
      <sz val="11"/>
      <color rgb="FFFF000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7"/>
      <color theme="1"/>
      <name val="Times New Roman"/>
      <family val="1"/>
    </font>
    <font>
      <b/>
      <sz val="11"/>
      <color rgb="FFFF0000"/>
      <name val="Calibri"/>
      <family val="2"/>
      <scheme val="minor"/>
    </font>
    <font>
      <u/>
      <sz val="11"/>
      <color theme="1"/>
      <name val="Calibri"/>
      <family val="2"/>
      <scheme val="minor"/>
    </font>
    <font>
      <sz val="10"/>
      <color theme="1"/>
      <name val="Arial Unicode MS"/>
      <family val="2"/>
    </font>
    <font>
      <strike/>
      <sz val="11"/>
      <color theme="1"/>
      <name val="Calibri"/>
      <family val="2"/>
      <scheme val="minor"/>
    </font>
    <font>
      <b/>
      <i/>
      <sz val="11"/>
      <color rgb="FF00B050"/>
      <name val="Calibri"/>
      <family val="2"/>
      <scheme val="minor"/>
    </font>
    <font>
      <sz val="11"/>
      <color rgb="FF548235"/>
      <name val="Calibri"/>
      <family val="2"/>
    </font>
    <font>
      <sz val="11"/>
      <color rgb="FF2E75B6"/>
      <name val="Calibri"/>
      <family val="2"/>
    </font>
    <font>
      <sz val="11"/>
      <color rgb="FF385723"/>
      <name val="Calibri"/>
      <family val="2"/>
    </font>
    <font>
      <sz val="11"/>
      <name val="Calibri"/>
      <family val="2"/>
      <scheme val="minor"/>
    </font>
    <font>
      <sz val="11"/>
      <color theme="7"/>
      <name val="Calibri"/>
      <family val="2"/>
      <scheme val="minor"/>
    </font>
    <font>
      <sz val="11"/>
      <color rgb="FF66F725"/>
      <name val="Calibri"/>
      <family val="2"/>
      <scheme val="minor"/>
    </font>
    <font>
      <b/>
      <sz val="11"/>
      <color rgb="FF7030A0"/>
      <name val="Calibri"/>
      <family val="2"/>
      <scheme val="minor"/>
    </font>
    <font>
      <b/>
      <sz val="14"/>
      <color theme="1"/>
      <name val="Calibri"/>
      <family val="2"/>
      <scheme val="minor"/>
    </font>
    <font>
      <sz val="16"/>
      <color rgb="FF2E74B5"/>
      <name val="Calibri Light"/>
      <family val="2"/>
    </font>
    <font>
      <sz val="11"/>
      <color rgb="FF000000"/>
      <name val="Calibri"/>
      <family val="2"/>
    </font>
    <font>
      <b/>
      <sz val="11"/>
      <color rgb="FFFF0000"/>
      <name val="Calibri"/>
      <family val="2"/>
    </font>
    <font>
      <b/>
      <i/>
      <sz val="11"/>
      <color rgb="FF008000"/>
      <name val="Calibri"/>
      <family val="2"/>
    </font>
    <font>
      <b/>
      <sz val="11"/>
      <color rgb="FF800080"/>
      <name val="Calibri"/>
      <family val="2"/>
    </font>
  </fonts>
  <fills count="51">
    <fill>
      <patternFill patternType="none"/>
    </fill>
    <fill>
      <patternFill patternType="gray125"/>
    </fill>
    <fill>
      <patternFill patternType="solid">
        <fgColor theme="0" tint="-0.14999847407452621"/>
        <bgColor indexed="64"/>
      </patternFill>
    </fill>
    <fill>
      <patternFill patternType="solid">
        <fgColor rgb="FF00B050"/>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5" tint="0.59999389629810485"/>
        <bgColor indexed="64"/>
      </patternFill>
    </fill>
    <fill>
      <patternFill patternType="solid">
        <fgColor rgb="FF66F725"/>
        <bgColor indexed="64"/>
      </patternFill>
    </fill>
    <fill>
      <patternFill patternType="solid">
        <fgColor theme="1"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8" tint="0.59999389629810485"/>
        <bgColor indexed="64"/>
      </patternFill>
    </fill>
    <fill>
      <patternFill patternType="solid">
        <fgColor theme="2"/>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1"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medium">
        <color rgb="FFDDDDDD"/>
      </left>
      <right style="medium">
        <color rgb="FFDDDDDD"/>
      </right>
      <top/>
      <bottom style="medium">
        <color rgb="FFDDDDDD"/>
      </bottom>
      <diagonal/>
    </border>
    <border>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s>
  <cellStyleXfs count="43">
    <xf numFmtId="0" fontId="0" fillId="0" borderId="0"/>
    <xf numFmtId="0" fontId="3" fillId="0" borderId="0" applyNumberFormat="0" applyFill="0" applyBorder="0" applyAlignment="0" applyProtection="0"/>
    <xf numFmtId="0" fontId="5" fillId="0" borderId="0" applyNumberFormat="0" applyFill="0" applyBorder="0" applyAlignment="0" applyProtection="0"/>
    <xf numFmtId="0" fontId="6" fillId="0" borderId="2" applyNumberFormat="0" applyFill="0" applyAlignment="0" applyProtection="0"/>
    <xf numFmtId="0" fontId="7" fillId="0" borderId="3" applyNumberFormat="0" applyFill="0" applyAlignment="0" applyProtection="0"/>
    <xf numFmtId="0" fontId="8" fillId="0" borderId="4" applyNumberFormat="0" applyFill="0" applyAlignment="0" applyProtection="0"/>
    <xf numFmtId="0" fontId="8" fillId="0" borderId="0" applyNumberFormat="0" applyFill="0" applyBorder="0" applyAlignment="0" applyProtection="0"/>
    <xf numFmtId="0" fontId="9" fillId="7" borderId="0" applyNumberFormat="0" applyBorder="0" applyAlignment="0" applyProtection="0"/>
    <xf numFmtId="0" fontId="10" fillId="8" borderId="0" applyNumberFormat="0" applyBorder="0" applyAlignment="0" applyProtection="0"/>
    <xf numFmtId="0" fontId="11" fillId="9" borderId="0" applyNumberFormat="0" applyBorder="0" applyAlignment="0" applyProtection="0"/>
    <xf numFmtId="0" fontId="12" fillId="10" borderId="5" applyNumberFormat="0" applyAlignment="0" applyProtection="0"/>
    <xf numFmtId="0" fontId="13" fillId="11" borderId="6" applyNumberFormat="0" applyAlignment="0" applyProtection="0"/>
    <xf numFmtId="0" fontId="14" fillId="11" borderId="5" applyNumberFormat="0" applyAlignment="0" applyProtection="0"/>
    <xf numFmtId="0" fontId="15" fillId="0" borderId="7" applyNumberFormat="0" applyFill="0" applyAlignment="0" applyProtection="0"/>
    <xf numFmtId="0" fontId="16" fillId="12" borderId="8" applyNumberFormat="0" applyAlignment="0" applyProtection="0"/>
    <xf numFmtId="0" fontId="1" fillId="0" borderId="0" applyNumberFormat="0" applyFill="0" applyBorder="0" applyAlignment="0" applyProtection="0"/>
    <xf numFmtId="0" fontId="4" fillId="13" borderId="9" applyNumberFormat="0" applyFont="0" applyAlignment="0" applyProtection="0"/>
    <xf numFmtId="0" fontId="17" fillId="0" borderId="0" applyNumberFormat="0" applyFill="0" applyBorder="0" applyAlignment="0" applyProtection="0"/>
    <xf numFmtId="0" fontId="2" fillId="0" borderId="10" applyNumberFormat="0" applyFill="0" applyAlignment="0" applyProtection="0"/>
    <xf numFmtId="0" fontId="18"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18" fillId="37" borderId="0" applyNumberFormat="0" applyBorder="0" applyAlignment="0" applyProtection="0"/>
  </cellStyleXfs>
  <cellXfs count="140">
    <xf numFmtId="0" fontId="0" fillId="0" borderId="0" xfId="0"/>
    <xf numFmtId="0" fontId="1" fillId="0" borderId="0" xfId="0" applyFont="1"/>
    <xf numFmtId="0" fontId="0" fillId="0" borderId="0" xfId="0" applyAlignment="1">
      <alignment horizontal="left"/>
    </xf>
    <xf numFmtId="0" fontId="2" fillId="2" borderId="0" xfId="0" applyFont="1" applyFill="1" applyAlignment="1">
      <alignment horizontal="left"/>
    </xf>
    <xf numFmtId="0" fontId="2" fillId="2" borderId="0" xfId="0" applyFont="1" applyFill="1"/>
    <xf numFmtId="0" fontId="0" fillId="0" borderId="0" xfId="0"/>
    <xf numFmtId="0" fontId="0" fillId="0" borderId="0" xfId="0"/>
    <xf numFmtId="0" fontId="0" fillId="2" borderId="0" xfId="0" applyFill="1"/>
    <xf numFmtId="0" fontId="0" fillId="0" borderId="1" xfId="0" applyBorder="1"/>
    <xf numFmtId="0" fontId="1" fillId="0" borderId="1" xfId="0" applyFont="1" applyBorder="1"/>
    <xf numFmtId="0" fontId="0" fillId="0" borderId="0" xfId="0"/>
    <xf numFmtId="0" fontId="0" fillId="2" borderId="1" xfId="0" applyFill="1" applyBorder="1"/>
    <xf numFmtId="0" fontId="0" fillId="6" borderId="1" xfId="0" applyFill="1" applyBorder="1"/>
    <xf numFmtId="0" fontId="0" fillId="0" borderId="1" xfId="0" applyBorder="1" applyAlignment="1">
      <alignment horizontal="left"/>
    </xf>
    <xf numFmtId="0" fontId="0" fillId="4" borderId="1" xfId="0" applyFill="1" applyBorder="1"/>
    <xf numFmtId="0" fontId="0" fillId="3" borderId="1" xfId="0" applyFill="1" applyBorder="1"/>
    <xf numFmtId="0" fontId="2" fillId="2" borderId="1" xfId="0" applyFont="1" applyFill="1" applyBorder="1"/>
    <xf numFmtId="0" fontId="0" fillId="5" borderId="1" xfId="0" applyFill="1" applyBorder="1"/>
    <xf numFmtId="0" fontId="2" fillId="2" borderId="1" xfId="0" applyFont="1" applyFill="1" applyBorder="1" applyAlignment="1">
      <alignment horizontal="left"/>
    </xf>
    <xf numFmtId="0" fontId="3" fillId="0" borderId="0" xfId="1"/>
    <xf numFmtId="0" fontId="0" fillId="0" borderId="0" xfId="0"/>
    <xf numFmtId="22" fontId="0" fillId="0" borderId="0" xfId="0" applyNumberFormat="1"/>
    <xf numFmtId="0" fontId="0" fillId="0" borderId="0" xfId="0"/>
    <xf numFmtId="22" fontId="0" fillId="0" borderId="0" xfId="0" applyNumberFormat="1"/>
    <xf numFmtId="0" fontId="0" fillId="0" borderId="1" xfId="0" applyFill="1" applyBorder="1"/>
    <xf numFmtId="0" fontId="0" fillId="2" borderId="1" xfId="0" applyFill="1" applyBorder="1" applyAlignment="1">
      <alignment wrapText="1"/>
    </xf>
    <xf numFmtId="0" fontId="0" fillId="0" borderId="0" xfId="0"/>
    <xf numFmtId="22" fontId="0" fillId="0" borderId="0" xfId="0" applyNumberFormat="1"/>
    <xf numFmtId="0" fontId="0" fillId="0" borderId="0" xfId="0"/>
    <xf numFmtId="22" fontId="0" fillId="0" borderId="0" xfId="0" applyNumberFormat="1"/>
    <xf numFmtId="0" fontId="0" fillId="0" borderId="0" xfId="0" applyBorder="1"/>
    <xf numFmtId="0" fontId="0" fillId="0" borderId="0" xfId="0" applyAlignment="1">
      <alignment wrapText="1"/>
    </xf>
    <xf numFmtId="0" fontId="0" fillId="0" borderId="0" xfId="0"/>
    <xf numFmtId="22" fontId="0" fillId="0" borderId="0" xfId="0" applyNumberFormat="1"/>
    <xf numFmtId="14" fontId="0" fillId="0" borderId="0" xfId="0" applyNumberFormat="1"/>
    <xf numFmtId="0" fontId="0" fillId="0" borderId="0" xfId="0" quotePrefix="1"/>
    <xf numFmtId="0" fontId="0" fillId="38" borderId="0" xfId="0" applyFill="1"/>
    <xf numFmtId="0" fontId="0" fillId="0" borderId="0" xfId="0"/>
    <xf numFmtId="22" fontId="0" fillId="0" borderId="0" xfId="0" applyNumberFormat="1"/>
    <xf numFmtId="0" fontId="0" fillId="0" borderId="0" xfId="0" applyFill="1"/>
    <xf numFmtId="0" fontId="0" fillId="39" borderId="0" xfId="0" applyFill="1"/>
    <xf numFmtId="0" fontId="0" fillId="40" borderId="1" xfId="0" applyFill="1" applyBorder="1"/>
    <xf numFmtId="0" fontId="21" fillId="0" borderId="0" xfId="1" applyFont="1"/>
    <xf numFmtId="0" fontId="0" fillId="0" borderId="0" xfId="0" applyFont="1"/>
    <xf numFmtId="0" fontId="22" fillId="0" borderId="0" xfId="0" applyFont="1" applyAlignment="1">
      <alignment vertical="center"/>
    </xf>
    <xf numFmtId="15" fontId="20" fillId="0" borderId="1" xfId="0" applyNumberFormat="1" applyFont="1" applyBorder="1"/>
    <xf numFmtId="0" fontId="3" fillId="0" borderId="0" xfId="1" applyFill="1" applyBorder="1"/>
    <xf numFmtId="0" fontId="0" fillId="0" borderId="0" xfId="0"/>
    <xf numFmtId="22" fontId="0" fillId="0" borderId="0" xfId="0" applyNumberFormat="1"/>
    <xf numFmtId="0" fontId="0" fillId="0" borderId="11" xfId="0" applyBorder="1"/>
    <xf numFmtId="0" fontId="3" fillId="0" borderId="0" xfId="1" applyBorder="1"/>
    <xf numFmtId="0" fontId="0" fillId="0" borderId="0" xfId="0" applyFill="1" applyBorder="1"/>
    <xf numFmtId="0" fontId="25" fillId="0" borderId="0" xfId="0" applyFont="1" applyAlignment="1">
      <alignment horizontal="left" vertical="center" wrapText="1"/>
    </xf>
    <xf numFmtId="0" fontId="26" fillId="0" borderId="0" xfId="0" applyFont="1" applyAlignment="1">
      <alignment horizontal="left" vertical="center" wrapText="1"/>
    </xf>
    <xf numFmtId="0" fontId="27" fillId="0" borderId="0" xfId="0" applyFont="1" applyAlignment="1">
      <alignment horizontal="left" vertical="center" wrapText="1"/>
    </xf>
    <xf numFmtId="0" fontId="0" fillId="41" borderId="0" xfId="0" applyFill="1"/>
    <xf numFmtId="0" fontId="0" fillId="0" borderId="11" xfId="0" applyBorder="1" applyAlignment="1">
      <alignment wrapText="1"/>
    </xf>
    <xf numFmtId="0" fontId="0" fillId="0" borderId="0" xfId="0" applyBorder="1" applyAlignment="1">
      <alignment wrapText="1"/>
    </xf>
    <xf numFmtId="0" fontId="23" fillId="0" borderId="0" xfId="0" applyFont="1" applyBorder="1" applyAlignment="1">
      <alignment wrapText="1"/>
    </xf>
    <xf numFmtId="0" fontId="0" fillId="0" borderId="0" xfId="0" applyFill="1" applyBorder="1" applyAlignment="1">
      <alignment wrapText="1"/>
    </xf>
    <xf numFmtId="0" fontId="24" fillId="0" borderId="0" xfId="0" applyFont="1" applyBorder="1" applyAlignment="1">
      <alignment wrapText="1"/>
    </xf>
    <xf numFmtId="0" fontId="21" fillId="0" borderId="0" xfId="1" applyFont="1" applyFill="1"/>
    <xf numFmtId="0" fontId="0" fillId="0" borderId="0" xfId="0"/>
    <xf numFmtId="22" fontId="0" fillId="0" borderId="0" xfId="0" applyNumberFormat="1"/>
    <xf numFmtId="0" fontId="3" fillId="0" borderId="12" xfId="1" applyBorder="1" applyAlignment="1">
      <alignment horizontal="left" vertical="center" wrapText="1" indent="1"/>
    </xf>
    <xf numFmtId="0" fontId="0" fillId="0" borderId="0" xfId="0"/>
    <xf numFmtId="22" fontId="0" fillId="0" borderId="0" xfId="0" applyNumberFormat="1"/>
    <xf numFmtId="0" fontId="0" fillId="0" borderId="1" xfId="0" applyBorder="1" applyAlignment="1">
      <alignment horizontal="center"/>
    </xf>
    <xf numFmtId="0" fontId="0" fillId="0" borderId="0" xfId="0"/>
    <xf numFmtId="22" fontId="0" fillId="0" borderId="0" xfId="0" applyNumberFormat="1"/>
    <xf numFmtId="0" fontId="3" fillId="0" borderId="0" xfId="1" applyFill="1"/>
    <xf numFmtId="0" fontId="0" fillId="2" borderId="0" xfId="0" applyFill="1" applyAlignment="1">
      <alignment wrapText="1"/>
    </xf>
    <xf numFmtId="0" fontId="0" fillId="0" borderId="0" xfId="0" applyFill="1" applyAlignment="1">
      <alignment wrapText="1"/>
    </xf>
    <xf numFmtId="0" fontId="0" fillId="0" borderId="0" xfId="0"/>
    <xf numFmtId="22" fontId="0" fillId="0" borderId="0" xfId="0" applyNumberFormat="1"/>
    <xf numFmtId="0" fontId="0" fillId="0" borderId="0" xfId="0"/>
    <xf numFmtId="0" fontId="0" fillId="42" borderId="0" xfId="0" applyFill="1"/>
    <xf numFmtId="0" fontId="0" fillId="43" borderId="0" xfId="0" applyFill="1"/>
    <xf numFmtId="0" fontId="0" fillId="44" borderId="0" xfId="0" applyFill="1"/>
    <xf numFmtId="0" fontId="0" fillId="5" borderId="0" xfId="0" applyFill="1"/>
    <xf numFmtId="0" fontId="0" fillId="45" borderId="0" xfId="0" applyFill="1"/>
    <xf numFmtId="0" fontId="0" fillId="0" borderId="0" xfId="0"/>
    <xf numFmtId="22" fontId="0" fillId="0" borderId="0" xfId="0" applyNumberFormat="1"/>
    <xf numFmtId="0" fontId="32" fillId="0" borderId="1" xfId="0" applyFont="1" applyBorder="1"/>
    <xf numFmtId="0" fontId="0" fillId="46" borderId="1" xfId="0" applyFill="1" applyBorder="1"/>
    <xf numFmtId="0" fontId="0" fillId="0" borderId="1" xfId="0" applyBorder="1" applyAlignment="1"/>
    <xf numFmtId="0" fontId="0" fillId="0" borderId="13" xfId="0" applyBorder="1"/>
    <xf numFmtId="0" fontId="2" fillId="0" borderId="1" xfId="0" applyFont="1" applyBorder="1"/>
    <xf numFmtId="0" fontId="0" fillId="0" borderId="0" xfId="0" applyNumberFormat="1" applyAlignment="1">
      <alignment horizontal="left" vertical="center" indent="2"/>
    </xf>
    <xf numFmtId="0" fontId="0" fillId="0" borderId="0" xfId="0" applyNumberFormat="1" applyAlignment="1">
      <alignment horizontal="left" vertical="center"/>
    </xf>
    <xf numFmtId="0" fontId="0" fillId="0" borderId="0" xfId="0" quotePrefix="1" applyNumberFormat="1" applyAlignment="1">
      <alignment horizontal="left" vertical="center"/>
    </xf>
    <xf numFmtId="0" fontId="3" fillId="0" borderId="0" xfId="1" applyAlignment="1">
      <alignment vertical="center"/>
    </xf>
    <xf numFmtId="0" fontId="0" fillId="46" borderId="1" xfId="0" applyFill="1" applyBorder="1" applyAlignment="1">
      <alignment horizontal="left"/>
    </xf>
    <xf numFmtId="0" fontId="0" fillId="46" borderId="1" xfId="0" applyFill="1" applyBorder="1" applyAlignment="1">
      <alignment wrapText="1"/>
    </xf>
    <xf numFmtId="0" fontId="0" fillId="0" borderId="0" xfId="0" applyBorder="1" applyAlignment="1">
      <alignment horizontal="left"/>
    </xf>
    <xf numFmtId="0" fontId="0" fillId="0" borderId="0" xfId="0" applyFill="1" applyBorder="1" applyAlignment="1">
      <alignment horizontal="left"/>
    </xf>
    <xf numFmtId="0" fontId="31" fillId="46" borderId="1" xfId="0" applyFont="1" applyFill="1" applyBorder="1"/>
    <xf numFmtId="0" fontId="0" fillId="47" borderId="0" xfId="0" applyFill="1"/>
    <xf numFmtId="0" fontId="0" fillId="0" borderId="0" xfId="0" applyAlignment="1">
      <alignment vertical="center"/>
    </xf>
    <xf numFmtId="0" fontId="33" fillId="0" borderId="0" xfId="0" applyFont="1" applyAlignment="1">
      <alignment vertical="center"/>
    </xf>
    <xf numFmtId="0" fontId="0" fillId="0" borderId="0" xfId="0"/>
    <xf numFmtId="22" fontId="0" fillId="0" borderId="0" xfId="0" applyNumberFormat="1"/>
    <xf numFmtId="0" fontId="0" fillId="0" borderId="0" xfId="0"/>
    <xf numFmtId="22" fontId="0" fillId="0" borderId="0" xfId="0" applyNumberFormat="1"/>
    <xf numFmtId="0" fontId="3" fillId="0" borderId="0" xfId="1" quotePrefix="1"/>
    <xf numFmtId="0" fontId="33" fillId="0" borderId="0" xfId="0" applyFont="1" applyAlignment="1">
      <alignment vertical="center" wrapText="1"/>
    </xf>
    <xf numFmtId="165" fontId="0" fillId="0" borderId="0" xfId="0" applyNumberFormat="1" applyAlignment="1">
      <alignment horizontal="justify"/>
    </xf>
    <xf numFmtId="164" fontId="0" fillId="0" borderId="0" xfId="0" applyNumberFormat="1" applyAlignment="1">
      <alignment horizontal="left"/>
    </xf>
    <xf numFmtId="0" fontId="0" fillId="0" borderId="0" xfId="0"/>
    <xf numFmtId="166" fontId="0" fillId="0" borderId="0" xfId="0" applyNumberFormat="1" applyFont="1"/>
    <xf numFmtId="166" fontId="0" fillId="0" borderId="0" xfId="1" applyNumberFormat="1" applyFont="1"/>
    <xf numFmtId="0" fontId="0" fillId="0" borderId="0" xfId="0" applyFont="1" applyAlignment="1">
      <alignment wrapText="1"/>
    </xf>
    <xf numFmtId="0" fontId="0" fillId="0" borderId="0" xfId="1" applyFont="1" applyAlignment="1">
      <alignment wrapText="1"/>
    </xf>
    <xf numFmtId="0" fontId="0" fillId="0" borderId="0" xfId="0"/>
    <xf numFmtId="22" fontId="0" fillId="0" borderId="0" xfId="0" applyNumberFormat="1"/>
    <xf numFmtId="0" fontId="0" fillId="0" borderId="0" xfId="0"/>
    <xf numFmtId="22" fontId="0" fillId="0" borderId="0" xfId="0" applyNumberFormat="1"/>
    <xf numFmtId="0" fontId="0" fillId="0" borderId="0" xfId="0"/>
    <xf numFmtId="0" fontId="0" fillId="0" borderId="0" xfId="0"/>
    <xf numFmtId="22" fontId="0" fillId="0" borderId="0" xfId="0" applyNumberFormat="1"/>
    <xf numFmtId="0" fontId="0" fillId="48" borderId="0" xfId="0" applyFill="1"/>
    <xf numFmtId="0" fontId="0" fillId="49" borderId="0" xfId="0" applyFill="1"/>
    <xf numFmtId="0" fontId="0" fillId="0" borderId="0" xfId="0"/>
    <xf numFmtId="0" fontId="0" fillId="0" borderId="0" xfId="0"/>
    <xf numFmtId="22" fontId="0" fillId="0" borderId="0" xfId="0" applyNumberFormat="1"/>
    <xf numFmtId="0" fontId="0" fillId="0" borderId="0" xfId="0"/>
    <xf numFmtId="0" fontId="0" fillId="0" borderId="0" xfId="0"/>
    <xf numFmtId="22" fontId="0" fillId="0" borderId="0" xfId="0" applyNumberFormat="1"/>
    <xf numFmtId="0" fontId="0" fillId="0" borderId="0" xfId="0"/>
    <xf numFmtId="22" fontId="0" fillId="0" borderId="0" xfId="0" applyNumberFormat="1"/>
    <xf numFmtId="0" fontId="0" fillId="0" borderId="14" xfId="0" applyFont="1" applyBorder="1"/>
    <xf numFmtId="0" fontId="0" fillId="0" borderId="14" xfId="0" applyFont="1" applyFill="1" applyBorder="1"/>
    <xf numFmtId="0" fontId="0" fillId="0" borderId="0" xfId="0"/>
    <xf numFmtId="22" fontId="0" fillId="0" borderId="0" xfId="0" applyNumberFormat="1"/>
    <xf numFmtId="0" fontId="0" fillId="0" borderId="0" xfId="0"/>
    <xf numFmtId="22" fontId="0" fillId="0" borderId="0" xfId="0" applyNumberFormat="1"/>
    <xf numFmtId="0" fontId="0" fillId="0" borderId="0" xfId="0"/>
    <xf numFmtId="22" fontId="0" fillId="0" borderId="0" xfId="0" applyNumberFormat="1"/>
    <xf numFmtId="0" fontId="0" fillId="50" borderId="0" xfId="0" applyFill="1"/>
    <xf numFmtId="0" fontId="4" fillId="0" borderId="0" xfId="0" applyFon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58">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66F725"/>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66F725"/>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66F725"/>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66F725"/>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theme="9" tint="0.59996337778862885"/>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theme="9" tint="0.59996337778862885"/>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theme="0" tint="-0.14996795556505021"/>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theme="0" tint="-0.14996795556505021"/>
        </patternFill>
      </fill>
    </dxf>
    <dxf>
      <fill>
        <patternFill>
          <bgColor rgb="FF7030A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theme="0" tint="-0.14996795556505021"/>
        </patternFill>
      </fill>
    </dxf>
    <dxf>
      <fill>
        <patternFill>
          <bgColor rgb="FF7030A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7030A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theme="4" tint="0.79998168889431442"/>
        </patternFill>
      </fill>
    </dxf>
    <dxf>
      <fill>
        <patternFill>
          <bgColor rgb="FF7030A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00B05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
      <fill>
        <patternFill>
          <bgColor rgb="FF7030A0"/>
        </patternFill>
      </fill>
    </dxf>
    <dxf>
      <fill>
        <patternFill>
          <bgColor rgb="FFFF0000"/>
        </patternFill>
      </fill>
    </dxf>
    <dxf>
      <fill>
        <patternFill>
          <bgColor rgb="FF92D050"/>
        </patternFill>
      </fill>
    </dxf>
    <dxf>
      <fill>
        <patternFill>
          <bgColor rgb="FF92D050"/>
        </patternFill>
      </fill>
    </dxf>
    <dxf>
      <fill>
        <patternFill>
          <bgColor rgb="FF00B050"/>
        </patternFill>
      </fill>
    </dxf>
    <dxf>
      <fill>
        <patternFill>
          <bgColor rgb="FF66F725"/>
        </patternFill>
      </fill>
    </dxf>
    <dxf>
      <fill>
        <patternFill>
          <bgColor rgb="FFFFFF00"/>
        </patternFill>
      </fill>
    </dxf>
  </dxfs>
  <tableStyles count="0" defaultTableStyle="TableStyleMedium2" defaultPivotStyle="PivotStyleLight16"/>
  <colors>
    <mruColors>
      <color rgb="FF2AAC68"/>
      <color rgb="FF66F725"/>
      <color rgb="FF45CE08"/>
      <color rgb="FFFF99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13</xdr:row>
          <xdr:rowOff>167640</xdr:rowOff>
        </xdr:from>
        <xdr:to>
          <xdr:col>12</xdr:col>
          <xdr:colOff>1043940</xdr:colOff>
          <xdr:row>15</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14</xdr:row>
          <xdr:rowOff>0</xdr:rowOff>
        </xdr:from>
        <xdr:to>
          <xdr:col>7</xdr:col>
          <xdr:colOff>167640</xdr:colOff>
          <xdr:row>15</xdr:row>
          <xdr:rowOff>15240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175260</xdr:rowOff>
        </xdr:from>
        <xdr:to>
          <xdr:col>9</xdr:col>
          <xdr:colOff>335280</xdr:colOff>
          <xdr:row>14</xdr:row>
          <xdr:rowOff>175260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FF0000"/>
                  </a:solidFill>
                  <a:latin typeface="Calibri"/>
                </a:rPr>
                <a:t>Untargeted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762000</xdr:colOff>
          <xdr:row>13</xdr:row>
          <xdr:rowOff>175260</xdr:rowOff>
        </xdr:from>
        <xdr:to>
          <xdr:col>11</xdr:col>
          <xdr:colOff>22860</xdr:colOff>
          <xdr:row>15</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1" u="none" strike="noStrike" baseline="0">
                  <a:solidFill>
                    <a:srgbClr val="008000"/>
                  </a:solidFill>
                  <a:latin typeface="Calibri"/>
                </a:rPr>
                <a:t>Newest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12</xdr:row>
          <xdr:rowOff>7620</xdr:rowOff>
        </xdr:from>
        <xdr:to>
          <xdr:col>9</xdr:col>
          <xdr:colOff>99060</xdr:colOff>
          <xdr:row>13</xdr:row>
          <xdr:rowOff>7620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800080"/>
                  </a:solidFill>
                  <a:latin typeface="Calibri"/>
                </a:rPr>
                <a:t>Targeted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12</xdr:row>
          <xdr:rowOff>7620</xdr:rowOff>
        </xdr:from>
        <xdr:to>
          <xdr:col>10</xdr:col>
          <xdr:colOff>22860</xdr:colOff>
          <xdr:row>13</xdr:row>
          <xdr:rowOff>0</xdr:rowOff>
        </xdr:to>
        <xdr:sp macro="" textlink="">
          <xdr:nvSpPr>
            <xdr:cNvPr id="1063" name="Button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filters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13</xdr:row>
          <xdr:rowOff>167640</xdr:rowOff>
        </xdr:from>
        <xdr:to>
          <xdr:col>12</xdr:col>
          <xdr:colOff>1043940</xdr:colOff>
          <xdr:row>15</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14</xdr:row>
          <xdr:rowOff>0</xdr:rowOff>
        </xdr:from>
        <xdr:to>
          <xdr:col>7</xdr:col>
          <xdr:colOff>167640</xdr:colOff>
          <xdr:row>15</xdr:row>
          <xdr:rowOff>15240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12</xdr:row>
          <xdr:rowOff>7620</xdr:rowOff>
        </xdr:from>
        <xdr:to>
          <xdr:col>6</xdr:col>
          <xdr:colOff>754380</xdr:colOff>
          <xdr:row>13</xdr:row>
          <xdr:rowOff>0</xdr:rowOff>
        </xdr:to>
        <xdr:sp macro="" textlink="">
          <xdr:nvSpPr>
            <xdr:cNvPr id="17443" name="Button 35" hidden="1">
              <a:extLst>
                <a:ext uri="{63B3BB69-23CF-44E3-9099-C40C66FF867C}">
                  <a14:compatExt spid="_x0000_s1744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160020</xdr:rowOff>
        </xdr:from>
        <xdr:to>
          <xdr:col>9</xdr:col>
          <xdr:colOff>38100</xdr:colOff>
          <xdr:row>15</xdr:row>
          <xdr:rowOff>15240</xdr:rowOff>
        </xdr:to>
        <xdr:sp macro="" textlink="">
          <xdr:nvSpPr>
            <xdr:cNvPr id="17444" name="Button 36" hidden="1">
              <a:extLst>
                <a:ext uri="{63B3BB69-23CF-44E3-9099-C40C66FF867C}">
                  <a14:compatExt spid="_x0000_s1744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SMB FAA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13</xdr:row>
          <xdr:rowOff>167640</xdr:rowOff>
        </xdr:from>
        <xdr:to>
          <xdr:col>12</xdr:col>
          <xdr:colOff>1043940</xdr:colOff>
          <xdr:row>15</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14</xdr:row>
          <xdr:rowOff>0</xdr:rowOff>
        </xdr:from>
        <xdr:to>
          <xdr:col>7</xdr:col>
          <xdr:colOff>167640</xdr:colOff>
          <xdr:row>15</xdr:row>
          <xdr:rowOff>15240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Format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bugzilla.houston.hpecorp.net:1181/bugzilla/show_bug.cgi?id=91456" TargetMode="Externa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hyperlink" Target="https://bugzilla.houston.hpecorp.net:1181/bugzilla/show_bug.cgi?id=" TargetMode="External"/><Relationship Id="rId1" Type="http://schemas.openxmlformats.org/officeDocument/2006/relationships/hyperlink" Target="http://link.hp.com/u/1l9g"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moorthy.mm@hpe.com" TargetMode="External"/><Relationship Id="rId1" Type="http://schemas.openxmlformats.org/officeDocument/2006/relationships/hyperlink" Target="https://bugzilla.houston.hpecorp.net:1181/bugzilla/show_bug.cgi?i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arnab.das@hpe.com" TargetMode="External"/><Relationship Id="rId13" Type="http://schemas.openxmlformats.org/officeDocument/2006/relationships/ctrlProp" Target="../ctrlProps/ctrlProp7.xml"/><Relationship Id="rId3" Type="http://schemas.openxmlformats.org/officeDocument/2006/relationships/hyperlink" Target="mailto:santanug@hpe.com" TargetMode="External"/><Relationship Id="rId7" Type="http://schemas.openxmlformats.org/officeDocument/2006/relationships/hyperlink" Target="mailto:ron.chambers@hpe.com" TargetMode="External"/><Relationship Id="rId12" Type="http://schemas.openxmlformats.org/officeDocument/2006/relationships/vmlDrawing" Target="../drawings/vmlDrawing2.vml"/><Relationship Id="rId2" Type="http://schemas.openxmlformats.org/officeDocument/2006/relationships/hyperlink" Target="https://bugzilla.houston.hpecorp.net:1181/bugzilla/show_bug.cgi?id=" TargetMode="External"/><Relationship Id="rId16" Type="http://schemas.openxmlformats.org/officeDocument/2006/relationships/ctrlProp" Target="../ctrlProps/ctrlProp10.xml"/><Relationship Id="rId1" Type="http://schemas.openxmlformats.org/officeDocument/2006/relationships/hyperlink" Target="http://link.osp.hpe.com/u/1vxj" TargetMode="External"/><Relationship Id="rId6" Type="http://schemas.openxmlformats.org/officeDocument/2006/relationships/hyperlink" Target="mailto:arnab.das@hpe.com" TargetMode="External"/><Relationship Id="rId11" Type="http://schemas.openxmlformats.org/officeDocument/2006/relationships/drawing" Target="../drawings/drawing2.xml"/><Relationship Id="rId5" Type="http://schemas.openxmlformats.org/officeDocument/2006/relationships/hyperlink" Target="mailto:arnab.das@hpe.com" TargetMode="External"/><Relationship Id="rId15" Type="http://schemas.openxmlformats.org/officeDocument/2006/relationships/ctrlProp" Target="../ctrlProps/ctrlProp9.xml"/><Relationship Id="rId10" Type="http://schemas.openxmlformats.org/officeDocument/2006/relationships/printerSettings" Target="../printerSettings/printerSettings3.bin"/><Relationship Id="rId4" Type="http://schemas.openxmlformats.org/officeDocument/2006/relationships/hyperlink" Target="mailto:ron.chamberts@hpe.com" TargetMode="External"/><Relationship Id="rId9" Type="http://schemas.openxmlformats.org/officeDocument/2006/relationships/hyperlink" Target="mailto:arnab.das@hpe.com" TargetMode="External"/><Relationship Id="rId1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hyperlink" Target="mailto:santanug@hpe.com" TargetMode="External"/><Relationship Id="rId2" Type="http://schemas.openxmlformats.org/officeDocument/2006/relationships/hyperlink" Target="mailto:arnab.das@hpe.com" TargetMode="External"/><Relationship Id="rId1" Type="http://schemas.openxmlformats.org/officeDocument/2006/relationships/hyperlink" Target="mailto:ron.chamberts@hpe.com"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12.xml"/><Relationship Id="rId2" Type="http://schemas.openxmlformats.org/officeDocument/2006/relationships/hyperlink" Target="https://bugzilla.houston.hpecorp.net:1181/bugzilla/show_bug.cgi?id=" TargetMode="External"/><Relationship Id="rId1" Type="http://schemas.openxmlformats.org/officeDocument/2006/relationships/hyperlink" Target="http://link.osp.hpe.com/u/1vxj" TargetMode="External"/><Relationship Id="rId6" Type="http://schemas.openxmlformats.org/officeDocument/2006/relationships/ctrlProp" Target="../ctrlProps/ctrlProp11.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hyperlink" Target="https://bugzilla.houston.hpecorp.net:1181/bugzilla/show_bug.cgi?id=88404" TargetMode="External"/><Relationship Id="rId2" Type="http://schemas.openxmlformats.org/officeDocument/2006/relationships/hyperlink" Target="https://bugzilla.houston.hpecorp.net:1181/bugzilla/show_bug.cgi?id=88403" TargetMode="External"/><Relationship Id="rId1" Type="http://schemas.openxmlformats.org/officeDocument/2006/relationships/hyperlink" Target="https://bugzilla.houston.hpecorp.net:1181/bugzilla/show_bug.cgi?id=88391" TargetMode="External"/><Relationship Id="rId6" Type="http://schemas.openxmlformats.org/officeDocument/2006/relationships/hyperlink" Target="https://bugzilla.houston.hpecorp.net:1181/bugzilla/show_bug.cgi?id=79784" TargetMode="External"/><Relationship Id="rId5" Type="http://schemas.openxmlformats.org/officeDocument/2006/relationships/hyperlink" Target="https://bugzilla.houston.hpecorp.net:1181/bugzilla/show_bug.cgi?id=75649" TargetMode="External"/><Relationship Id="rId4" Type="http://schemas.openxmlformats.org/officeDocument/2006/relationships/hyperlink" Target="https://bugzilla.houston.hpecorp.net:1181/bugzilla/show_bug.cgi?id=67205"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s://bugzilla.houston.hpecorp.net:1181/bugzilla/buglist.cgi?cmdtype=runnamed&amp;namedcmd=Protocols2weekResolved"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bugzilla.houston.hpecorp.net:1181/bugzilla/buglist.cgi?cmdtype=runnamed&amp;list_id=1084552&amp;namedcmd=Protocols2weekIncoming"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hyperlink" Target="https://bugzilla.houston.hpecorp.net:1181/bugzilla/show_bug.cgi?id=85210" TargetMode="External"/><Relationship Id="rId2" Type="http://schemas.openxmlformats.org/officeDocument/2006/relationships/hyperlink" Target="https://bugzilla.houston.hpecorp.net:1181/bugzilla/show_bug.cgi?id=83497" TargetMode="External"/><Relationship Id="rId1" Type="http://schemas.openxmlformats.org/officeDocument/2006/relationships/hyperlink" Target="https://bugzilla.houston.hpecorp.net:1181/bugzilla/show_bug.cgi?id=84189" TargetMode="External"/><Relationship Id="rId4" Type="http://schemas.openxmlformats.org/officeDocument/2006/relationships/hyperlink" Target="https://bugzilla.houston.hpecorp.net:1181/bugzilla/show_bug.cgi?id=82443"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mailto:roselle.fernandez@hpe.com" TargetMode="External"/><Relationship Id="rId2" Type="http://schemas.openxmlformats.org/officeDocument/2006/relationships/hyperlink" Target="mailto:brian.zimpfer@hpe.com" TargetMode="External"/><Relationship Id="rId1" Type="http://schemas.openxmlformats.org/officeDocument/2006/relationships/hyperlink" Target="mailto:tarun.sant@hpe.com" TargetMode="External"/><Relationship Id="rId6" Type="http://schemas.openxmlformats.org/officeDocument/2006/relationships/printerSettings" Target="../printerSettings/printerSettings7.bin"/><Relationship Id="rId5" Type="http://schemas.openxmlformats.org/officeDocument/2006/relationships/hyperlink" Target="mailto:tomer.meshorer@hpe.com" TargetMode="External"/><Relationship Id="rId4" Type="http://schemas.openxmlformats.org/officeDocument/2006/relationships/hyperlink" Target="mailto:arnab.das@hpe.com"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mailto:matt.dumm@hpe.com" TargetMode="External"/><Relationship Id="rId2" Type="http://schemas.openxmlformats.org/officeDocument/2006/relationships/hyperlink" Target="https://bugzilla.houston.hpecorp.net:1181/bugzilla/show_bug.cgi?id=" TargetMode="External"/><Relationship Id="rId1" Type="http://schemas.openxmlformats.org/officeDocument/2006/relationships/hyperlink" Target="http://link.hp.com/u/1l9g" TargetMode="External"/><Relationship Id="rId4"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3" Type="http://schemas.openxmlformats.org/officeDocument/2006/relationships/hyperlink" Target="mailto:douglas.lee.potts@hpe.com" TargetMode="External"/><Relationship Id="rId18" Type="http://schemas.openxmlformats.org/officeDocument/2006/relationships/hyperlink" Target="mailto:tom.connolly@hpe.com" TargetMode="External"/><Relationship Id="rId26" Type="http://schemas.openxmlformats.org/officeDocument/2006/relationships/hyperlink" Target="mailto:arnab.das@hpe.com" TargetMode="External"/><Relationship Id="rId39" Type="http://schemas.openxmlformats.org/officeDocument/2006/relationships/hyperlink" Target="mailto:philip.everitt@hpe.com" TargetMode="External"/><Relationship Id="rId3" Type="http://schemas.openxmlformats.org/officeDocument/2006/relationships/hyperlink" Target="mailto:matt.dumm@hpe.com" TargetMode="External"/><Relationship Id="rId21" Type="http://schemas.openxmlformats.org/officeDocument/2006/relationships/hyperlink" Target="mailto:sudarshan.patil@hpe.com" TargetMode="External"/><Relationship Id="rId34" Type="http://schemas.openxmlformats.org/officeDocument/2006/relationships/hyperlink" Target="mailto:ankita.kumari@hpe.com" TargetMode="External"/><Relationship Id="rId42" Type="http://schemas.openxmlformats.org/officeDocument/2006/relationships/hyperlink" Target="mailto:matthew.leach3@hpe.com" TargetMode="External"/><Relationship Id="rId47" Type="http://schemas.openxmlformats.org/officeDocument/2006/relationships/hyperlink" Target="mailto:sumit.sarkar@hpe.com" TargetMode="External"/><Relationship Id="rId7" Type="http://schemas.openxmlformats.org/officeDocument/2006/relationships/hyperlink" Target="mailto:douglas.lee.potts@hpe.com" TargetMode="External"/><Relationship Id="rId12" Type="http://schemas.openxmlformats.org/officeDocument/2006/relationships/hyperlink" Target="mailto:lincoln.thomas@hpe.com" TargetMode="External"/><Relationship Id="rId17" Type="http://schemas.openxmlformats.org/officeDocument/2006/relationships/hyperlink" Target="mailto:raju.pitta@hpe.com" TargetMode="External"/><Relationship Id="rId25" Type="http://schemas.openxmlformats.org/officeDocument/2006/relationships/hyperlink" Target="mailto:steve.e.douglas@hpe.com" TargetMode="External"/><Relationship Id="rId33" Type="http://schemas.openxmlformats.org/officeDocument/2006/relationships/hyperlink" Target="mailto:paul.evertson@hpe.com" TargetMode="External"/><Relationship Id="rId38" Type="http://schemas.openxmlformats.org/officeDocument/2006/relationships/hyperlink" Target="mailto:michael.roberts@hpe.com" TargetMode="External"/><Relationship Id="rId46" Type="http://schemas.openxmlformats.org/officeDocument/2006/relationships/hyperlink" Target="mailto:krishk@hpe.com" TargetMode="External"/><Relationship Id="rId2" Type="http://schemas.openxmlformats.org/officeDocument/2006/relationships/hyperlink" Target="mailto:matt.dumm@hpe.com" TargetMode="External"/><Relationship Id="rId16" Type="http://schemas.openxmlformats.org/officeDocument/2006/relationships/hyperlink" Target="mailto:raju.pitta@hpe.com" TargetMode="External"/><Relationship Id="rId20" Type="http://schemas.openxmlformats.org/officeDocument/2006/relationships/hyperlink" Target="mailto:jhilik.roy@hpe.com" TargetMode="External"/><Relationship Id="rId29" Type="http://schemas.openxmlformats.org/officeDocument/2006/relationships/hyperlink" Target="mailto:charles.wahlquist@hpe.com" TargetMode="External"/><Relationship Id="rId41" Type="http://schemas.openxmlformats.org/officeDocument/2006/relationships/hyperlink" Target="mailto:sandhya.dasari@hpe.com" TargetMode="External"/><Relationship Id="rId1" Type="http://schemas.openxmlformats.org/officeDocument/2006/relationships/hyperlink" Target="mailto:matt.dumm@hpe.com" TargetMode="External"/><Relationship Id="rId6" Type="http://schemas.openxmlformats.org/officeDocument/2006/relationships/hyperlink" Target="mailto:precilla.menezes@hpe.com" TargetMode="External"/><Relationship Id="rId11" Type="http://schemas.openxmlformats.org/officeDocument/2006/relationships/hyperlink" Target="mailto:marjorie.carlson@hpe.com" TargetMode="External"/><Relationship Id="rId24" Type="http://schemas.openxmlformats.org/officeDocument/2006/relationships/hyperlink" Target="mailto:santanug@hpe.com" TargetMode="External"/><Relationship Id="rId32" Type="http://schemas.openxmlformats.org/officeDocument/2006/relationships/hyperlink" Target="mailto:matt.dumm@hpe.com" TargetMode="External"/><Relationship Id="rId37" Type="http://schemas.openxmlformats.org/officeDocument/2006/relationships/hyperlink" Target="mailto:sachidananda.gs@hpe.com" TargetMode="External"/><Relationship Id="rId40" Type="http://schemas.openxmlformats.org/officeDocument/2006/relationships/hyperlink" Target="mailto:roselle.fernandez@hpe.com" TargetMode="External"/><Relationship Id="rId45" Type="http://schemas.openxmlformats.org/officeDocument/2006/relationships/hyperlink" Target="mailto:matthew.dav.bondurant@hpe.com" TargetMode="External"/><Relationship Id="rId5" Type="http://schemas.openxmlformats.org/officeDocument/2006/relationships/hyperlink" Target="mailto:matt.dumm@hpe.com" TargetMode="External"/><Relationship Id="rId15" Type="http://schemas.openxmlformats.org/officeDocument/2006/relationships/hyperlink" Target="mailto:horvath@hpe.com" TargetMode="External"/><Relationship Id="rId23" Type="http://schemas.openxmlformats.org/officeDocument/2006/relationships/hyperlink" Target="mailto:roman.duka@hpe.com" TargetMode="External"/><Relationship Id="rId28" Type="http://schemas.openxmlformats.org/officeDocument/2006/relationships/hyperlink" Target="mailto:sudarshan.patil@hpe.com" TargetMode="External"/><Relationship Id="rId36" Type="http://schemas.openxmlformats.org/officeDocument/2006/relationships/hyperlink" Target="mailto:ankita.kumari@hpe.com" TargetMode="External"/><Relationship Id="rId49" Type="http://schemas.openxmlformats.org/officeDocument/2006/relationships/hyperlink" Target="mailto:matt.dumm@hpe.com" TargetMode="External"/><Relationship Id="rId10" Type="http://schemas.openxmlformats.org/officeDocument/2006/relationships/hyperlink" Target="mailto:santanug@hpe.com" TargetMode="External"/><Relationship Id="rId19" Type="http://schemas.openxmlformats.org/officeDocument/2006/relationships/hyperlink" Target="mailto:steve.e.douglas@hpe.com" TargetMode="External"/><Relationship Id="rId31" Type="http://schemas.openxmlformats.org/officeDocument/2006/relationships/hyperlink" Target="mailto:tomer.meshorer@hpe.com" TargetMode="External"/><Relationship Id="rId44" Type="http://schemas.openxmlformats.org/officeDocument/2006/relationships/hyperlink" Target="mailto:sumit.sarkar@hpe.com" TargetMode="External"/><Relationship Id="rId4" Type="http://schemas.openxmlformats.org/officeDocument/2006/relationships/hyperlink" Target="mailto:douglas.lee.potts@hpe.com" TargetMode="External"/><Relationship Id="rId9" Type="http://schemas.openxmlformats.org/officeDocument/2006/relationships/hyperlink" Target="mailto:eddy.hutson@hpe.com" TargetMode="External"/><Relationship Id="rId14" Type="http://schemas.openxmlformats.org/officeDocument/2006/relationships/hyperlink" Target="mailto:moorthy.mm@hpe.com" TargetMode="External"/><Relationship Id="rId22" Type="http://schemas.openxmlformats.org/officeDocument/2006/relationships/hyperlink" Target="mailto:sudarshan.patil@hpe.com" TargetMode="External"/><Relationship Id="rId27" Type="http://schemas.openxmlformats.org/officeDocument/2006/relationships/hyperlink" Target="mailto:moorthy.mm@hpe.com" TargetMode="External"/><Relationship Id="rId30" Type="http://schemas.openxmlformats.org/officeDocument/2006/relationships/hyperlink" Target="mailto:paul.evertson@hpe.com" TargetMode="External"/><Relationship Id="rId35" Type="http://schemas.openxmlformats.org/officeDocument/2006/relationships/hyperlink" Target="mailto:raju.pitta@hpe.com" TargetMode="External"/><Relationship Id="rId43" Type="http://schemas.openxmlformats.org/officeDocument/2006/relationships/hyperlink" Target="mailto:sayan.ghosh@hpe.com" TargetMode="External"/><Relationship Id="rId48" Type="http://schemas.openxmlformats.org/officeDocument/2006/relationships/hyperlink" Target="mailto:matthew.dav.bondurant@hpe.com" TargetMode="External"/><Relationship Id="rId8" Type="http://schemas.openxmlformats.org/officeDocument/2006/relationships/hyperlink" Target="mailto:jvp@hpe.com"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mailto:matt.dumm@hpe.com" TargetMode="Externa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bugzilla.houston.hp.com:1181/bugzilla/show_bug.cgi?id=" TargetMode="External"/><Relationship Id="rId1" Type="http://schemas.openxmlformats.org/officeDocument/2006/relationships/hyperlink" Target="http://link.hp.com/u/1h9p"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mailto:abhisek.banerjee@h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Q204"/>
  <sheetViews>
    <sheetView zoomScale="62" zoomScaleNormal="62" zoomScalePageLayoutView="80" workbookViewId="0">
      <selection activeCell="D18" sqref="D18"/>
    </sheetView>
  </sheetViews>
  <sheetFormatPr defaultRowHeight="14.4" x14ac:dyDescent="0.3"/>
  <cols>
    <col min="1" max="1" width="19.109375" style="37" customWidth="1"/>
    <col min="2" max="2" width="4.6640625" style="37" customWidth="1"/>
    <col min="3" max="3" width="10.109375" style="37" customWidth="1"/>
    <col min="4" max="4" width="19.77734375" style="37" hidden="1" customWidth="1"/>
    <col min="5" max="5" width="125.77734375" style="37" customWidth="1"/>
    <col min="6" max="6" width="8.88671875" style="37" customWidth="1"/>
    <col min="7" max="7" width="11.6640625" style="37" customWidth="1"/>
    <col min="8" max="8" width="8.88671875" style="37" customWidth="1"/>
    <col min="9" max="9" width="45.5546875" style="37" customWidth="1"/>
    <col min="10" max="10" width="16.88671875" style="37" customWidth="1"/>
    <col min="11" max="12" width="8.88671875" style="37" customWidth="1"/>
    <col min="13" max="13" width="17.6640625" style="37" customWidth="1"/>
    <col min="14" max="18" width="8.88671875" style="37" customWidth="1"/>
    <col min="19" max="19" width="14.77734375" style="37" customWidth="1"/>
    <col min="20" max="20" width="27.109375" style="37" customWidth="1"/>
    <col min="21" max="21" width="10.109375" style="37" customWidth="1"/>
    <col min="22" max="22" width="23.5546875" style="37" customWidth="1"/>
    <col min="23" max="24" width="8.88671875" style="37" customWidth="1"/>
    <col min="25" max="25" width="13.6640625" style="37" customWidth="1"/>
    <col min="26" max="26" width="25.44140625" style="37" bestFit="1" customWidth="1"/>
    <col min="27" max="27" width="22.21875" style="37" customWidth="1"/>
    <col min="28" max="30" width="8.88671875" style="37" customWidth="1"/>
    <col min="31" max="31" width="16.6640625" style="37" customWidth="1"/>
    <col min="32" max="33" width="8.88671875" style="37" customWidth="1"/>
    <col min="34" max="34" width="72.33203125" style="37" bestFit="1" customWidth="1"/>
    <col min="35" max="16384" width="8.88671875" style="37"/>
  </cols>
  <sheetData>
    <row r="1" spans="1:14" x14ac:dyDescent="0.3">
      <c r="A1" s="8" t="s">
        <v>111</v>
      </c>
      <c r="B1" s="9">
        <f ca="1">COUNTIF(INDIRECT(A110&amp;A102):INDIRECT(A110&amp;A101),INDIRECT("c"&amp;ROW()))</f>
        <v>0</v>
      </c>
      <c r="C1" s="8" t="s">
        <v>569</v>
      </c>
      <c r="D1" s="8" t="s">
        <v>161</v>
      </c>
      <c r="E1" s="8"/>
    </row>
    <row r="2" spans="1:14" x14ac:dyDescent="0.3">
      <c r="A2" s="8"/>
      <c r="B2" s="8"/>
      <c r="C2" s="8"/>
      <c r="D2" s="8"/>
      <c r="E2" s="8"/>
    </row>
    <row r="3" spans="1:14" ht="42" customHeight="1" x14ac:dyDescent="0.3">
      <c r="A3" s="11" t="s">
        <v>59</v>
      </c>
      <c r="B3" s="8"/>
      <c r="C3" s="8"/>
      <c r="D3" s="25" t="s">
        <v>177</v>
      </c>
      <c r="E3" s="8"/>
    </row>
    <row r="4" spans="1:14" x14ac:dyDescent="0.3">
      <c r="A4" s="8" t="s">
        <v>104</v>
      </c>
      <c r="B4" s="8">
        <f ca="1">COUNTIF(INDIRECT(A103&amp;A102):INDIRECT(A103&amp;A101),INDIRECT("a"&amp;ROW()))</f>
        <v>0</v>
      </c>
      <c r="C4" s="8"/>
      <c r="D4" s="12" t="s">
        <v>107</v>
      </c>
      <c r="E4" s="13">
        <f ca="1">COUNTIFS(INDIRECT(A113&amp;A102):INDIRECT(A113&amp;A101)," ---",INDIRECT(A109&amp;A102):INDIRECT(A109&amp;A101)," ---")</f>
        <v>0</v>
      </c>
    </row>
    <row r="5" spans="1:14" x14ac:dyDescent="0.3">
      <c r="A5" s="8" t="s">
        <v>105</v>
      </c>
      <c r="B5" s="8">
        <f ca="1">COUNTIF(INDIRECT(A103&amp;A102):INDIRECT(A103&amp;A101),INDIRECT("a"&amp;ROW()))</f>
        <v>0</v>
      </c>
      <c r="C5" s="8"/>
      <c r="D5" s="14" t="s">
        <v>623</v>
      </c>
      <c r="E5" s="13">
        <f ca="1">COUNTIFS(INDIRECT(A113&amp;A102):INDIRECT(A113&amp;A101),INDIRECT("d"&amp;ROW()),INDIRECT(A109&amp;A102):INDIRECT(A109&amp;A101)," ---")</f>
        <v>0</v>
      </c>
    </row>
    <row r="6" spans="1:14" x14ac:dyDescent="0.3">
      <c r="A6" s="8" t="s">
        <v>106</v>
      </c>
      <c r="B6" s="8">
        <f ca="1">COUNTIF(INDIRECT(A103&amp;A102):INDIRECT(A103&amp;A101),INDIRECT("a"&amp;ROW()))</f>
        <v>0</v>
      </c>
      <c r="C6" s="8"/>
      <c r="D6" s="41" t="s">
        <v>302</v>
      </c>
      <c r="E6" s="13">
        <f ca="1">COUNTIFS(INDIRECT(A106&amp;A102):INDIRECT(A106&amp;A101),INDIRECT("d"&amp;ROW()),INDIRECT(A109&amp;A102):INDIRECT(A109&amp;A101)," ---")</f>
        <v>0</v>
      </c>
    </row>
    <row r="7" spans="1:14" x14ac:dyDescent="0.3">
      <c r="C7" s="8"/>
      <c r="D7" s="15" t="s">
        <v>9</v>
      </c>
      <c r="E7" s="13">
        <f ca="1">COUNTIFS(INDIRECT(A106&amp;A102):INDIRECT(A106&amp;A101),INDIRECT("d"&amp;ROW()),INDIRECT(A109&amp;A102):INDIRECT(A109&amp;A101)," ---")</f>
        <v>0</v>
      </c>
    </row>
    <row r="8" spans="1:14" x14ac:dyDescent="0.3">
      <c r="A8" s="11" t="s">
        <v>109</v>
      </c>
      <c r="B8" s="16">
        <f ca="1">COUNTIF(INDIRECT(A107&amp;A102):INDIRECT(A107&amp;A101),"&lt;2")</f>
        <v>0</v>
      </c>
      <c r="C8" s="8"/>
      <c r="D8" s="17" t="s">
        <v>55</v>
      </c>
      <c r="E8" s="13">
        <f ca="1">COUNTIFS(INDIRECT(A106&amp;A102):INDIRECT(A106&amp;A101),INDIRECT("d"&amp;ROW()),INDIRECT(A109&amp;A102):INDIRECT(A109&amp;A101)," ---")</f>
        <v>0</v>
      </c>
    </row>
    <row r="9" spans="1:14" x14ac:dyDescent="0.3">
      <c r="A9" s="8" t="s">
        <v>110</v>
      </c>
      <c r="B9" s="8">
        <f ca="1">COUNTIF(INDIRECT(A108&amp;A102):INDIRECT(A108&amp;A101),"&gt;3")</f>
        <v>1</v>
      </c>
      <c r="C9" s="8"/>
      <c r="D9" s="11" t="s">
        <v>108</v>
      </c>
      <c r="E9" s="18">
        <f ca="1">COUNTIF(INDIRECT(A109&amp;A102):INDIRECT(A109&amp;A101),C1&amp;"*")</f>
        <v>0</v>
      </c>
    </row>
    <row r="10" spans="1:14" x14ac:dyDescent="0.3">
      <c r="A10" s="11" t="s">
        <v>112</v>
      </c>
      <c r="B10" s="8"/>
      <c r="C10" s="8"/>
      <c r="D10" s="11" t="s">
        <v>73</v>
      </c>
      <c r="E10" s="8"/>
    </row>
    <row r="11" spans="1:14" x14ac:dyDescent="0.3">
      <c r="A11" s="8" t="s">
        <v>1107</v>
      </c>
      <c r="B11" s="8">
        <f ca="1">COUNTIF(INDIRECT(A105&amp;A102):INDIRECT(A105&amp;A101),INDIRECT("a"&amp;ROW()))</f>
        <v>0</v>
      </c>
      <c r="C11" s="8"/>
      <c r="D11" s="8" t="s">
        <v>13</v>
      </c>
      <c r="E11" s="13">
        <f ca="1">COUNTIF(INDIRECT(A104&amp;A102):INDIRECT(A104&amp;A101),INDIRECT("d"&amp;ROW()))</f>
        <v>0</v>
      </c>
    </row>
    <row r="12" spans="1:14" x14ac:dyDescent="0.3">
      <c r="A12" s="8" t="s">
        <v>113</v>
      </c>
      <c r="B12" s="8">
        <f ca="1">COUNTIF(INDIRECT(A105&amp;A102):INDIRECT(A105&amp;A101),"6*")+COUNTIF(INDIRECT(A105&amp;A102):INDIRECT(A105&amp;A101),"Halo")+COUNTIF(INDIRECT(A105&amp;A102):INDIRECT(A105&amp;A101),"Store*")+COUNTIF(INDIRECT(A105&amp;A102):INDIRECT(A105&amp;A101),"3*")</f>
        <v>0</v>
      </c>
      <c r="C12" s="8"/>
      <c r="D12" s="8" t="s">
        <v>8</v>
      </c>
      <c r="E12" s="13">
        <f ca="1">COUNTIF(INDIRECT(A104&amp;A102):INDIRECT(A104&amp;A101),INDIRECT("d"&amp;ROW()))</f>
        <v>0</v>
      </c>
    </row>
    <row r="13" spans="1:14" x14ac:dyDescent="0.3">
      <c r="A13" s="8" t="s">
        <v>1101</v>
      </c>
      <c r="B13" s="8">
        <f ca="1">COUNTIF(INDIRECT(A105&amp;A102):INDIRECT(A105&amp;A101),INDIRECT("a"&amp;ROW()))</f>
        <v>0</v>
      </c>
      <c r="C13" s="8"/>
      <c r="D13" s="8" t="s">
        <v>24</v>
      </c>
      <c r="E13" s="13">
        <f ca="1">COUNTIF(INDIRECT(A104&amp;A102):INDIRECT(A104&amp;A101),INDIRECT("d"&amp;ROW()))</f>
        <v>0</v>
      </c>
    </row>
    <row r="14" spans="1:14" x14ac:dyDescent="0.3">
      <c r="A14" s="8" t="s">
        <v>569</v>
      </c>
      <c r="B14" s="8">
        <f ca="1">COUNTIF(INDIRECT(A105&amp;A102):INDIRECT(A105&amp;A101),INDIRECT("a"&amp;ROW()))</f>
        <v>0</v>
      </c>
      <c r="C14" s="8"/>
      <c r="D14" s="65" t="s">
        <v>27</v>
      </c>
      <c r="E14" s="67">
        <f ca="1">COUNTIF(INDIRECT(A115&amp;A102):INDIRECT(A115&amp;A101),INDIRECT("d"&amp;ROW()))</f>
        <v>0</v>
      </c>
    </row>
    <row r="15" spans="1:14" x14ac:dyDescent="0.3">
      <c r="A15" s="24" t="s">
        <v>999</v>
      </c>
      <c r="B15" s="8">
        <f ca="1">COUNTIF(INDIRECT(A105&amp;A102):INDIRECT(A105&amp;A101),INDIRECT("a"&amp;ROW()))</f>
        <v>0</v>
      </c>
      <c r="C15" s="8"/>
      <c r="D15" s="8" t="s">
        <v>1103</v>
      </c>
      <c r="E15" s="67">
        <f ca="1">COUNTIF(INDIRECT(A115&amp;A102):INDIRECT(A115&amp;A101),INDIRECT("d"&amp;ROW()))</f>
        <v>0</v>
      </c>
      <c r="N15" s="19" t="s">
        <v>368</v>
      </c>
    </row>
    <row r="16" spans="1:14" x14ac:dyDescent="0.3">
      <c r="A16" s="24"/>
      <c r="B16" s="8">
        <f ca="1">COUNTIF(INDIRECT(A105&amp;A102):INDIRECT(A105&amp;A101),INDIRECT("a"&amp;ROW()))</f>
        <v>0</v>
      </c>
      <c r="C16" s="8"/>
      <c r="D16" s="8"/>
      <c r="E16" s="8" t="str">
        <f ca="1">CONCATENATE(SUM(B11:B16),"|",SUM(E4:E9),"|",SUM(B4:B6),"|",SUM(E11:E13),"   checksums")</f>
        <v>0|0|0|0   checksums</v>
      </c>
      <c r="F16" s="62">
        <f>SUBTOTAL(3,D18:D114)</f>
        <v>0</v>
      </c>
    </row>
    <row r="17" spans="1:43" x14ac:dyDescent="0.3">
      <c r="A17" s="37" t="s">
        <v>0</v>
      </c>
      <c r="B17" s="37" t="s">
        <v>1</v>
      </c>
      <c r="C17" s="136" t="s">
        <v>145</v>
      </c>
      <c r="D17" s="136" t="s">
        <v>57</v>
      </c>
      <c r="E17" s="136" t="s">
        <v>58</v>
      </c>
      <c r="F17" s="136" t="s">
        <v>59</v>
      </c>
      <c r="G17" s="136" t="s">
        <v>60</v>
      </c>
      <c r="H17" s="136" t="s">
        <v>61</v>
      </c>
      <c r="I17" s="136" t="s">
        <v>62</v>
      </c>
      <c r="J17" s="136" t="s">
        <v>63</v>
      </c>
      <c r="K17" s="136" t="s">
        <v>64</v>
      </c>
      <c r="L17" s="136" t="s">
        <v>65</v>
      </c>
      <c r="M17" s="136" t="s">
        <v>66</v>
      </c>
      <c r="N17" s="136" t="s">
        <v>67</v>
      </c>
      <c r="O17" s="136" t="s">
        <v>68</v>
      </c>
      <c r="P17" s="136" t="s">
        <v>69</v>
      </c>
      <c r="Q17" s="136" t="s">
        <v>70</v>
      </c>
      <c r="R17" s="136" t="s">
        <v>71</v>
      </c>
      <c r="S17" s="136" t="s">
        <v>72</v>
      </c>
      <c r="T17" s="136" t="s">
        <v>73</v>
      </c>
      <c r="U17" s="136" t="s">
        <v>74</v>
      </c>
      <c r="V17" s="136" t="s">
        <v>75</v>
      </c>
      <c r="W17" s="136" t="s">
        <v>76</v>
      </c>
      <c r="X17" s="136" t="s">
        <v>1244</v>
      </c>
      <c r="Y17" s="136" t="s">
        <v>78</v>
      </c>
      <c r="Z17" s="136" t="s">
        <v>79</v>
      </c>
      <c r="AA17" s="136" t="s">
        <v>615</v>
      </c>
      <c r="AB17" s="136" t="s">
        <v>308</v>
      </c>
      <c r="AC17" s="136" t="s">
        <v>307</v>
      </c>
      <c r="AD17" s="136" t="s">
        <v>621</v>
      </c>
      <c r="AE17" s="136" t="s">
        <v>622</v>
      </c>
      <c r="AF17" s="136" t="s">
        <v>1084</v>
      </c>
      <c r="AG17" s="136" t="s">
        <v>580</v>
      </c>
      <c r="AH17" s="136" t="s">
        <v>1191</v>
      </c>
      <c r="AI17" s="134"/>
      <c r="AJ17" s="134"/>
      <c r="AK17" s="134"/>
      <c r="AL17" s="134"/>
      <c r="AM17" s="134"/>
      <c r="AN17" s="134"/>
      <c r="AO17" s="134"/>
      <c r="AP17" s="134"/>
      <c r="AQ17" s="134"/>
    </row>
    <row r="18" spans="1:43" x14ac:dyDescent="0.3">
      <c r="A18" s="37">
        <f ca="1">DAYS360(INDIRECT(A112&amp;ROW()),TODAY())</f>
        <v>42286</v>
      </c>
      <c r="B18" s="37">
        <f ca="1">DAYS360(INDIRECT(A111&amp;ROW()),TODAY())</f>
        <v>42286</v>
      </c>
      <c r="C18" s="43"/>
      <c r="D18" s="136"/>
      <c r="E18" s="136"/>
      <c r="F18" s="136"/>
      <c r="G18" s="136"/>
      <c r="H18" s="136"/>
      <c r="I18" s="136"/>
      <c r="J18" s="136"/>
      <c r="K18" s="136"/>
      <c r="L18" s="136"/>
      <c r="M18" s="136"/>
      <c r="N18" s="136"/>
      <c r="O18" s="136"/>
      <c r="P18" s="136"/>
      <c r="Q18" s="136"/>
      <c r="R18" s="136"/>
      <c r="S18" s="136"/>
      <c r="T18" s="136"/>
      <c r="U18" s="136"/>
      <c r="V18" s="136"/>
      <c r="W18" s="136"/>
      <c r="X18" s="136"/>
      <c r="Y18" s="136"/>
      <c r="Z18" s="136"/>
      <c r="AA18" s="136"/>
      <c r="AB18" s="136"/>
      <c r="AC18" s="136"/>
      <c r="AD18" s="136"/>
      <c r="AE18" s="136"/>
      <c r="AF18" s="136"/>
      <c r="AG18" s="136"/>
      <c r="AH18" s="136"/>
      <c r="AI18" s="134"/>
      <c r="AJ18" s="134"/>
      <c r="AK18" s="134"/>
      <c r="AL18" s="134"/>
      <c r="AM18" s="134"/>
      <c r="AN18" s="134"/>
      <c r="AO18" s="134"/>
      <c r="AP18" s="134"/>
      <c r="AQ18" s="134"/>
    </row>
    <row r="19" spans="1:43" x14ac:dyDescent="0.3">
      <c r="A19" s="37">
        <f ca="1">DAYS360(INDIRECT(A112&amp;ROW()),TODAY())</f>
        <v>42286</v>
      </c>
      <c r="B19" s="37">
        <f ca="1">DAYS360(INDIRECT(A111&amp;ROW()),TODAY())</f>
        <v>42286</v>
      </c>
      <c r="C19" s="43"/>
      <c r="D19" s="136"/>
      <c r="E19" s="136"/>
      <c r="F19" s="136"/>
      <c r="G19" s="136"/>
      <c r="H19" s="136"/>
      <c r="I19" s="136"/>
      <c r="J19" s="136"/>
      <c r="K19" s="136"/>
      <c r="L19" s="136"/>
      <c r="M19" s="136"/>
      <c r="N19" s="136"/>
      <c r="O19" s="136"/>
      <c r="P19" s="136"/>
      <c r="Q19" s="136"/>
      <c r="R19" s="136"/>
      <c r="S19" s="136"/>
      <c r="T19" s="136"/>
      <c r="U19" s="136"/>
      <c r="V19" s="136"/>
      <c r="W19" s="136"/>
      <c r="X19" s="136"/>
      <c r="Y19" s="136"/>
      <c r="Z19" s="136"/>
      <c r="AA19" s="136"/>
      <c r="AB19" s="136"/>
      <c r="AC19" s="136"/>
      <c r="AD19" s="136"/>
      <c r="AE19" s="136"/>
      <c r="AF19" s="136"/>
      <c r="AG19" s="136"/>
      <c r="AH19" s="136"/>
      <c r="AI19" s="134"/>
      <c r="AJ19" s="134"/>
      <c r="AK19" s="134"/>
      <c r="AL19" s="134"/>
      <c r="AM19" s="134"/>
      <c r="AN19" s="134"/>
      <c r="AO19" s="134"/>
      <c r="AP19" s="134"/>
      <c r="AQ19" s="134"/>
    </row>
    <row r="20" spans="1:43" x14ac:dyDescent="0.3">
      <c r="A20" s="37">
        <f ca="1">DAYS360(INDIRECT(A112&amp;ROW()),TODAY())</f>
        <v>42286</v>
      </c>
      <c r="B20" s="37">
        <f ca="1">DAYS360(INDIRECT(A111&amp;ROW()),TODAY())</f>
        <v>42286</v>
      </c>
      <c r="C20" s="43"/>
      <c r="D20" s="136"/>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4"/>
      <c r="AJ20" s="134"/>
      <c r="AK20" s="134"/>
      <c r="AL20" s="134"/>
      <c r="AM20" s="134"/>
      <c r="AN20" s="134"/>
      <c r="AO20" s="134"/>
      <c r="AP20" s="134"/>
      <c r="AQ20" s="134"/>
    </row>
    <row r="21" spans="1:43" x14ac:dyDescent="0.3">
      <c r="A21" s="37">
        <f ca="1">DAYS360(INDIRECT(A112&amp;ROW()),TODAY())</f>
        <v>42286</v>
      </c>
      <c r="B21" s="37">
        <f ca="1">DAYS360(INDIRECT(A111&amp;ROW()),TODAY())</f>
        <v>42286</v>
      </c>
      <c r="C21" s="4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4"/>
      <c r="AJ21" s="134"/>
      <c r="AK21" s="134"/>
      <c r="AL21" s="134"/>
      <c r="AM21" s="134"/>
      <c r="AN21" s="134"/>
      <c r="AO21" s="134"/>
      <c r="AP21" s="134"/>
      <c r="AQ21" s="134"/>
    </row>
    <row r="22" spans="1:43" x14ac:dyDescent="0.3">
      <c r="A22" s="37">
        <f ca="1">DAYS360(INDIRECT(A112&amp;ROW()),TODAY())</f>
        <v>42286</v>
      </c>
      <c r="B22" s="37">
        <f ca="1">DAYS360(INDIRECT(A111&amp;ROW()),TODAY())</f>
        <v>42286</v>
      </c>
      <c r="C22" s="4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4"/>
      <c r="AJ22" s="134"/>
      <c r="AK22" s="134"/>
      <c r="AL22" s="134"/>
      <c r="AM22" s="134"/>
      <c r="AN22" s="134"/>
      <c r="AO22" s="134"/>
      <c r="AP22" s="134"/>
      <c r="AQ22" s="134"/>
    </row>
    <row r="23" spans="1:43" x14ac:dyDescent="0.3">
      <c r="A23" s="37">
        <f ca="1">DAYS360(INDIRECT(A112&amp;ROW()),TODAY())</f>
        <v>42286</v>
      </c>
      <c r="B23" s="37">
        <f ca="1">DAYS360(INDIRECT(A111&amp;ROW()),TODAY())</f>
        <v>42286</v>
      </c>
      <c r="C23" s="4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4"/>
      <c r="AJ23" s="134"/>
      <c r="AK23" s="134"/>
      <c r="AL23" s="134"/>
      <c r="AM23" s="134"/>
      <c r="AN23" s="134"/>
      <c r="AO23" s="134"/>
      <c r="AP23" s="134"/>
      <c r="AQ23" s="134"/>
    </row>
    <row r="24" spans="1:43" x14ac:dyDescent="0.3">
      <c r="A24" s="37">
        <f ca="1">DAYS360(INDIRECT(A112&amp;ROW()),TODAY())</f>
        <v>42286</v>
      </c>
      <c r="B24" s="37">
        <f ca="1">DAYS360(INDIRECT(A111&amp;ROW()),TODAY())</f>
        <v>42286</v>
      </c>
      <c r="C24" s="4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4"/>
      <c r="AJ24" s="134"/>
      <c r="AK24" s="134"/>
      <c r="AL24" s="134"/>
      <c r="AM24" s="134"/>
      <c r="AN24" s="134"/>
      <c r="AO24" s="134"/>
      <c r="AP24" s="134"/>
      <c r="AQ24" s="134"/>
    </row>
    <row r="25" spans="1:43" x14ac:dyDescent="0.3">
      <c r="A25" s="37">
        <f ca="1">DAYS360(INDIRECT(A112&amp;ROW()),TODAY())</f>
        <v>42286</v>
      </c>
      <c r="B25" s="37">
        <f ca="1">DAYS360(INDIRECT(A111&amp;ROW()),TODAY())</f>
        <v>42286</v>
      </c>
      <c r="C25" s="43"/>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4"/>
      <c r="AJ25" s="134"/>
      <c r="AK25" s="134"/>
      <c r="AL25" s="134"/>
      <c r="AM25" s="134"/>
      <c r="AN25" s="134"/>
      <c r="AO25" s="134"/>
      <c r="AP25" s="134"/>
      <c r="AQ25" s="134"/>
    </row>
    <row r="26" spans="1:43" x14ac:dyDescent="0.3">
      <c r="A26" s="37">
        <f ca="1">DAYS360(INDIRECT(A112&amp;ROW()),TODAY())</f>
        <v>42286</v>
      </c>
      <c r="B26" s="37">
        <f ca="1">DAYS360(INDIRECT(A111&amp;ROW()),TODAY())</f>
        <v>42286</v>
      </c>
      <c r="C26" s="43"/>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4"/>
      <c r="AJ26" s="134"/>
      <c r="AK26" s="134"/>
      <c r="AL26" s="134"/>
      <c r="AM26" s="134"/>
      <c r="AN26" s="134"/>
      <c r="AO26" s="134"/>
      <c r="AP26" s="134"/>
      <c r="AQ26" s="134"/>
    </row>
    <row r="27" spans="1:43" x14ac:dyDescent="0.3">
      <c r="A27" s="37">
        <f ca="1">DAYS360(INDIRECT(A112&amp;ROW()),TODAY())</f>
        <v>42286</v>
      </c>
      <c r="B27" s="37">
        <f ca="1">DAYS360(INDIRECT(A111&amp;ROW()),TODAY())</f>
        <v>42286</v>
      </c>
      <c r="C27" s="43"/>
      <c r="D27" s="136"/>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4"/>
      <c r="AJ27" s="134"/>
      <c r="AK27" s="134"/>
      <c r="AL27" s="134"/>
      <c r="AM27" s="134"/>
      <c r="AN27" s="134"/>
      <c r="AO27" s="134"/>
      <c r="AP27" s="134"/>
      <c r="AQ27" s="134"/>
    </row>
    <row r="28" spans="1:43" x14ac:dyDescent="0.3">
      <c r="A28" s="37">
        <f ca="1">DAYS360(INDIRECT(A112&amp;ROW()),TODAY())</f>
        <v>42286</v>
      </c>
      <c r="B28" s="37">
        <f ca="1">DAYS360(INDIRECT(A111&amp;ROW()),TODAY())</f>
        <v>42286</v>
      </c>
      <c r="C28" s="43"/>
      <c r="D28" s="136"/>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4"/>
      <c r="AJ28" s="134"/>
      <c r="AK28" s="134"/>
      <c r="AL28" s="134"/>
      <c r="AM28" s="134"/>
      <c r="AN28" s="134"/>
      <c r="AO28" s="134"/>
      <c r="AP28" s="134"/>
      <c r="AQ28" s="134"/>
    </row>
    <row r="29" spans="1:43" x14ac:dyDescent="0.3">
      <c r="A29" s="37">
        <f ca="1">DAYS360(INDIRECT(A112&amp;ROW()),TODAY())</f>
        <v>42286</v>
      </c>
      <c r="B29" s="37">
        <f ca="1">DAYS360(INDIRECT(A111&amp;ROW()),TODAY())</f>
        <v>42286</v>
      </c>
      <c r="C29" s="43"/>
      <c r="D29" s="136"/>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4"/>
      <c r="AJ29" s="134"/>
      <c r="AK29" s="134"/>
      <c r="AL29" s="134"/>
      <c r="AM29" s="134"/>
      <c r="AN29" s="134"/>
      <c r="AO29" s="134"/>
      <c r="AP29" s="134"/>
      <c r="AQ29" s="134"/>
    </row>
    <row r="30" spans="1:43" x14ac:dyDescent="0.3">
      <c r="A30" s="37">
        <f ca="1">DAYS360(INDIRECT(A112&amp;ROW()),TODAY())</f>
        <v>42286</v>
      </c>
      <c r="B30" s="37">
        <f ca="1">DAYS360(INDIRECT(A111&amp;ROW()),TODAY())</f>
        <v>42286</v>
      </c>
      <c r="C30" s="43"/>
      <c r="D30" s="136"/>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4"/>
      <c r="AJ30" s="134"/>
      <c r="AK30" s="134"/>
      <c r="AL30" s="134"/>
      <c r="AM30" s="134"/>
      <c r="AN30" s="134"/>
      <c r="AO30" s="134"/>
      <c r="AP30" s="134"/>
      <c r="AQ30" s="134"/>
    </row>
    <row r="31" spans="1:43" x14ac:dyDescent="0.3">
      <c r="A31" s="37">
        <f ca="1">DAYS360(INDIRECT(A112&amp;ROW()),TODAY())</f>
        <v>42286</v>
      </c>
      <c r="B31" s="37">
        <f ca="1">DAYS360(INDIRECT(A111&amp;ROW()),TODAY())</f>
        <v>42286</v>
      </c>
      <c r="C31" s="43"/>
      <c r="D31" s="136"/>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4"/>
      <c r="AJ31" s="134"/>
      <c r="AK31" s="134"/>
      <c r="AL31" s="134"/>
      <c r="AM31" s="134"/>
      <c r="AN31" s="134"/>
    </row>
    <row r="32" spans="1:43" x14ac:dyDescent="0.3">
      <c r="A32" s="37">
        <f ca="1">DAYS360(INDIRECT(A112&amp;ROW()),TODAY())</f>
        <v>42286</v>
      </c>
      <c r="B32" s="37">
        <f ca="1">DAYS360(INDIRECT(A111&amp;ROW()),TODAY())</f>
        <v>42286</v>
      </c>
      <c r="C32" s="43"/>
      <c r="D32" s="136"/>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4"/>
      <c r="AJ32" s="134"/>
      <c r="AK32" s="134"/>
      <c r="AL32" s="134"/>
      <c r="AM32" s="134"/>
      <c r="AN32" s="134"/>
    </row>
    <row r="33" spans="1:40" x14ac:dyDescent="0.3">
      <c r="A33" s="37">
        <f ca="1">DAYS360(INDIRECT(A112&amp;ROW()),TODAY())</f>
        <v>42286</v>
      </c>
      <c r="B33" s="37">
        <f ca="1">DAYS360(INDIRECT(A111&amp;ROW()),TODAY())</f>
        <v>42286</v>
      </c>
      <c r="C33" s="43"/>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4"/>
      <c r="AJ33" s="134"/>
      <c r="AK33" s="134"/>
      <c r="AL33" s="134"/>
      <c r="AM33" s="134"/>
      <c r="AN33" s="134"/>
    </row>
    <row r="34" spans="1:40" x14ac:dyDescent="0.3">
      <c r="A34" s="37">
        <f ca="1">DAYS360(INDIRECT(A112&amp;ROW()),TODAY())</f>
        <v>42286</v>
      </c>
      <c r="B34" s="37">
        <f ca="1">DAYS360(INDIRECT(A111&amp;ROW()),TODAY())</f>
        <v>42286</v>
      </c>
      <c r="C34" s="4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4"/>
      <c r="AJ34" s="134"/>
      <c r="AK34" s="134"/>
      <c r="AL34" s="134"/>
      <c r="AM34" s="134"/>
      <c r="AN34" s="134"/>
    </row>
    <row r="35" spans="1:40" x14ac:dyDescent="0.3">
      <c r="A35" s="37">
        <f ca="1">DAYS360(INDIRECT(A112&amp;ROW()),TODAY())</f>
        <v>42286</v>
      </c>
      <c r="B35" s="37">
        <f ca="1">DAYS360(INDIRECT(A111&amp;ROW()),TODAY())</f>
        <v>42286</v>
      </c>
      <c r="C35" s="4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4"/>
      <c r="AJ35" s="134"/>
      <c r="AK35" s="134"/>
      <c r="AL35" s="134"/>
      <c r="AM35" s="134"/>
      <c r="AN35" s="134"/>
    </row>
    <row r="36" spans="1:40" x14ac:dyDescent="0.3">
      <c r="A36" s="37">
        <f ca="1">DAYS360(INDIRECT(A112&amp;ROW()),TODAY())</f>
        <v>42286</v>
      </c>
      <c r="B36" s="37">
        <f ca="1">DAYS360(INDIRECT(A111&amp;ROW()),TODAY())</f>
        <v>42286</v>
      </c>
      <c r="C36" s="4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4"/>
      <c r="AJ36" s="134"/>
      <c r="AK36" s="134"/>
      <c r="AL36" s="134"/>
      <c r="AM36" s="134"/>
      <c r="AN36" s="134"/>
    </row>
    <row r="37" spans="1:40" x14ac:dyDescent="0.3">
      <c r="A37" s="37">
        <f ca="1">DAYS360(INDIRECT(A112&amp;ROW()),TODAY())</f>
        <v>42286</v>
      </c>
      <c r="B37" s="37">
        <f ca="1">DAYS360(INDIRECT(A111&amp;ROW()),TODAY())</f>
        <v>42286</v>
      </c>
      <c r="C37" s="4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4"/>
      <c r="AJ37" s="134"/>
      <c r="AK37" s="134"/>
      <c r="AL37" s="134"/>
      <c r="AM37" s="134"/>
      <c r="AN37" s="134"/>
    </row>
    <row r="38" spans="1:40" x14ac:dyDescent="0.3">
      <c r="A38" s="37">
        <f ca="1">DAYS360(INDIRECT(A112&amp;ROW()),TODAY())</f>
        <v>42286</v>
      </c>
      <c r="B38" s="37">
        <f ca="1">DAYS360(INDIRECT(A111&amp;ROW()),TODAY())</f>
        <v>42286</v>
      </c>
      <c r="C38" s="4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4"/>
      <c r="AJ38" s="134"/>
      <c r="AK38" s="134"/>
      <c r="AL38" s="134"/>
      <c r="AM38" s="134"/>
      <c r="AN38" s="134"/>
    </row>
    <row r="39" spans="1:40" x14ac:dyDescent="0.3">
      <c r="A39" s="37">
        <f ca="1">DAYS360(INDIRECT(A112&amp;ROW()),TODAY())</f>
        <v>42286</v>
      </c>
      <c r="B39" s="37">
        <f ca="1">DAYS360(INDIRECT(A111&amp;ROW()),TODAY())</f>
        <v>42286</v>
      </c>
      <c r="C39" s="4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4"/>
      <c r="AJ39" s="134"/>
      <c r="AK39" s="134"/>
      <c r="AL39" s="134"/>
      <c r="AM39" s="134"/>
      <c r="AN39" s="134"/>
    </row>
    <row r="40" spans="1:40" x14ac:dyDescent="0.3">
      <c r="A40" s="37">
        <f ca="1">DAYS360(INDIRECT(A112&amp;ROW()),TODAY())</f>
        <v>42286</v>
      </c>
      <c r="B40" s="37">
        <f ca="1">DAYS360(INDIRECT(A111&amp;ROW()),TODAY())</f>
        <v>42286</v>
      </c>
      <c r="C40" s="4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4"/>
      <c r="AJ40" s="134"/>
      <c r="AK40" s="134"/>
      <c r="AL40" s="134"/>
      <c r="AM40" s="134"/>
      <c r="AN40" s="134"/>
    </row>
    <row r="41" spans="1:40" x14ac:dyDescent="0.3">
      <c r="A41" s="37">
        <f ca="1">DAYS360(INDIRECT(A112&amp;ROW()),TODAY())</f>
        <v>42286</v>
      </c>
      <c r="B41" s="37">
        <f ca="1">DAYS360(INDIRECT(A111&amp;ROW()),TODAY())</f>
        <v>42286</v>
      </c>
      <c r="C41" s="4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4"/>
      <c r="AJ41" s="134"/>
      <c r="AK41" s="134"/>
      <c r="AL41" s="134"/>
      <c r="AM41" s="134"/>
      <c r="AN41" s="134"/>
    </row>
    <row r="42" spans="1:40" x14ac:dyDescent="0.3">
      <c r="A42" s="37">
        <f ca="1">DAYS360(INDIRECT(A112&amp;ROW()),TODAY())</f>
        <v>42286</v>
      </c>
      <c r="B42" s="37">
        <f ca="1">DAYS360(INDIRECT(A111&amp;ROW()),TODAY())</f>
        <v>42286</v>
      </c>
      <c r="C42" s="43"/>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4"/>
      <c r="AJ42" s="134"/>
      <c r="AK42" s="134"/>
      <c r="AL42" s="134"/>
      <c r="AM42" s="134"/>
      <c r="AN42" s="134"/>
    </row>
    <row r="43" spans="1:40" x14ac:dyDescent="0.3">
      <c r="A43" s="37">
        <f ca="1">DAYS360(INDIRECT(A112&amp;ROW()),TODAY())</f>
        <v>42286</v>
      </c>
      <c r="B43" s="37">
        <f ca="1">DAYS360(INDIRECT(A111&amp;ROW()),TODAY())</f>
        <v>42286</v>
      </c>
      <c r="C43" s="43"/>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4"/>
      <c r="AJ43" s="134"/>
      <c r="AK43" s="134"/>
      <c r="AL43" s="134"/>
      <c r="AM43" s="134"/>
      <c r="AN43" s="134"/>
    </row>
    <row r="44" spans="1:40" x14ac:dyDescent="0.3">
      <c r="A44" s="37">
        <f ca="1">DAYS360(INDIRECT(A112&amp;ROW()),TODAY())</f>
        <v>42286</v>
      </c>
      <c r="B44" s="37">
        <f ca="1">DAYS360(INDIRECT(A111&amp;ROW()),TODAY())</f>
        <v>42286</v>
      </c>
      <c r="C44" s="43"/>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4"/>
      <c r="AJ44" s="134"/>
      <c r="AK44" s="134"/>
      <c r="AL44" s="134"/>
      <c r="AM44" s="134"/>
      <c r="AN44" s="134"/>
    </row>
    <row r="45" spans="1:40" x14ac:dyDescent="0.3">
      <c r="A45" s="37">
        <f ca="1">DAYS360(INDIRECT(A112&amp;ROW()),TODAY())</f>
        <v>42286</v>
      </c>
      <c r="B45" s="37">
        <f ca="1">DAYS360(INDIRECT(A111&amp;ROW()),TODAY())</f>
        <v>42286</v>
      </c>
      <c r="C45" s="43"/>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4"/>
      <c r="AJ45" s="134"/>
      <c r="AK45" s="134"/>
      <c r="AL45" s="134"/>
      <c r="AM45" s="134"/>
      <c r="AN45" s="134"/>
    </row>
    <row r="46" spans="1:40" x14ac:dyDescent="0.3">
      <c r="A46" s="37">
        <f ca="1">DAYS360(INDIRECT(A112&amp;ROW()),TODAY())</f>
        <v>42286</v>
      </c>
      <c r="B46" s="37">
        <f ca="1">DAYS360(INDIRECT(A111&amp;ROW()),TODAY())</f>
        <v>42286</v>
      </c>
      <c r="C46" s="43"/>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4"/>
      <c r="AJ46" s="134"/>
      <c r="AK46" s="134"/>
      <c r="AL46" s="134"/>
      <c r="AM46" s="134"/>
      <c r="AN46" s="134"/>
    </row>
    <row r="47" spans="1:40" x14ac:dyDescent="0.3">
      <c r="A47" s="37">
        <f ca="1">DAYS360(INDIRECT(A112&amp;ROW()),TODAY())</f>
        <v>42286</v>
      </c>
      <c r="B47" s="37">
        <f ca="1">DAYS360(INDIRECT(A111&amp;ROW()),TODAY())</f>
        <v>42286</v>
      </c>
      <c r="C47" s="43"/>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4"/>
      <c r="AJ47" s="134"/>
      <c r="AK47" s="134"/>
      <c r="AL47" s="134"/>
      <c r="AM47" s="134"/>
      <c r="AN47" s="134"/>
    </row>
    <row r="48" spans="1:40" x14ac:dyDescent="0.3">
      <c r="A48" s="37">
        <f ca="1">DAYS360(INDIRECT(A112&amp;ROW()),TODAY())</f>
        <v>42286</v>
      </c>
      <c r="B48" s="37">
        <f ca="1">DAYS360(INDIRECT(A111&amp;ROW()),TODAY())</f>
        <v>42286</v>
      </c>
      <c r="C48" s="43"/>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4"/>
      <c r="AJ48" s="134"/>
      <c r="AK48" s="134"/>
      <c r="AL48" s="134"/>
      <c r="AM48" s="134"/>
      <c r="AN48" s="134"/>
    </row>
    <row r="49" spans="1:37" x14ac:dyDescent="0.3">
      <c r="A49" s="37">
        <f ca="1">DAYS360(INDIRECT(A112&amp;ROW()),TODAY())</f>
        <v>42286</v>
      </c>
      <c r="B49" s="37">
        <f ca="1">DAYS360(INDIRECT(A111&amp;ROW()),TODAY())</f>
        <v>42286</v>
      </c>
      <c r="C49" s="43"/>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4"/>
      <c r="AJ49" s="134"/>
      <c r="AK49" s="122"/>
    </row>
    <row r="50" spans="1:37" x14ac:dyDescent="0.3">
      <c r="A50" s="37">
        <f ca="1">DAYS360(INDIRECT(A112&amp;ROW()),TODAY())</f>
        <v>42286</v>
      </c>
      <c r="B50" s="37">
        <f ca="1">DAYS360(INDIRECT(A111&amp;ROW()),TODAY())</f>
        <v>42286</v>
      </c>
      <c r="C50" s="43"/>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4"/>
      <c r="AJ50" s="134"/>
      <c r="AK50" s="122"/>
    </row>
    <row r="51" spans="1:37" x14ac:dyDescent="0.3">
      <c r="A51" s="37">
        <f ca="1">DAYS360(INDIRECT(A112&amp;ROW()),TODAY())</f>
        <v>42286</v>
      </c>
      <c r="B51" s="37">
        <f ca="1">DAYS360(INDIRECT(A111&amp;ROW()),TODAY())</f>
        <v>42286</v>
      </c>
      <c r="C51" s="43"/>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4"/>
      <c r="AJ51" s="134"/>
      <c r="AK51" s="122"/>
    </row>
    <row r="52" spans="1:37" x14ac:dyDescent="0.3">
      <c r="A52" s="37">
        <f ca="1">DAYS360(INDIRECT(A112&amp;ROW()),TODAY())</f>
        <v>42286</v>
      </c>
      <c r="B52" s="37">
        <f ca="1">DAYS360(INDIRECT(A111&amp;ROW()),TODAY())</f>
        <v>42286</v>
      </c>
      <c r="C52" s="43"/>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4"/>
      <c r="AJ52" s="134"/>
    </row>
    <row r="53" spans="1:37" x14ac:dyDescent="0.3">
      <c r="A53" s="37">
        <f ca="1">DAYS360(INDIRECT(A112&amp;ROW()),TODAY())</f>
        <v>42286</v>
      </c>
      <c r="B53" s="37">
        <f ca="1">DAYS360(INDIRECT(A111&amp;ROW()),TODAY())</f>
        <v>42286</v>
      </c>
      <c r="C53" s="43"/>
      <c r="D53" s="136"/>
      <c r="E53" s="136"/>
      <c r="F53" s="136"/>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4"/>
      <c r="AJ53" s="134"/>
    </row>
    <row r="54" spans="1:37" x14ac:dyDescent="0.3">
      <c r="A54" s="37">
        <f ca="1">DAYS360(INDIRECT(A112&amp;ROW()),TODAY())</f>
        <v>42286</v>
      </c>
      <c r="B54" s="37">
        <f ca="1">DAYS360(INDIRECT(A111&amp;ROW()),TODAY())</f>
        <v>42286</v>
      </c>
      <c r="C54" s="43"/>
      <c r="D54" s="136"/>
      <c r="E54" s="136"/>
      <c r="F54" s="136"/>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2"/>
      <c r="AJ54" s="108"/>
    </row>
    <row r="55" spans="1:37" x14ac:dyDescent="0.3">
      <c r="A55" s="37">
        <f ca="1">DAYS360(INDIRECT(A112&amp;ROW()),TODAY())</f>
        <v>42286</v>
      </c>
      <c r="B55" s="37">
        <f ca="1">DAYS360(INDIRECT(A111&amp;ROW()),TODAY())</f>
        <v>42286</v>
      </c>
      <c r="C55" s="43"/>
      <c r="D55" s="136"/>
      <c r="E55" s="136"/>
      <c r="F55" s="136"/>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28"/>
      <c r="AJ55" s="108"/>
    </row>
    <row r="56" spans="1:37" x14ac:dyDescent="0.3">
      <c r="A56" s="37">
        <f ca="1">DAYS360(INDIRECT(A112&amp;ROW()),TODAY())</f>
        <v>42286</v>
      </c>
      <c r="B56" s="37">
        <f ca="1">DAYS360(INDIRECT(A111&amp;ROW()),TODAY())</f>
        <v>42286</v>
      </c>
      <c r="C56" s="43"/>
      <c r="D56" s="136"/>
      <c r="E56" s="136"/>
      <c r="F56" s="136"/>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17"/>
      <c r="AJ56" s="108"/>
    </row>
    <row r="57" spans="1:37" ht="15" customHeight="1" x14ac:dyDescent="0.3">
      <c r="A57" s="37">
        <f ca="1">DAYS360(INDIRECT(A112&amp;ROW()),TODAY())</f>
        <v>42286</v>
      </c>
      <c r="B57" s="37">
        <f ca="1">DAYS360(INDIRECT(A111&amp;ROW()),TODAY())</f>
        <v>42286</v>
      </c>
      <c r="C57" s="43"/>
      <c r="D57" s="136"/>
      <c r="E57" s="136"/>
      <c r="F57" s="136"/>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17"/>
      <c r="AJ57" s="108"/>
    </row>
    <row r="58" spans="1:37" x14ac:dyDescent="0.3">
      <c r="A58" s="37">
        <f ca="1">DAYS360(INDIRECT(A112&amp;ROW()),TODAY())</f>
        <v>42286</v>
      </c>
      <c r="B58" s="37">
        <f ca="1">DAYS360(INDIRECT(A111&amp;ROW()),TODAY())</f>
        <v>42286</v>
      </c>
      <c r="C58" s="43"/>
      <c r="D58" s="136"/>
      <c r="E58" s="136"/>
      <c r="F58" s="136"/>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17"/>
      <c r="AJ58" s="108"/>
    </row>
    <row r="59" spans="1:37" x14ac:dyDescent="0.3">
      <c r="A59" s="37">
        <f ca="1">DAYS360(INDIRECT(A112&amp;ROW()),TODAY())</f>
        <v>42286</v>
      </c>
      <c r="B59" s="37">
        <f ca="1">DAYS360(INDIRECT(A111&amp;ROW()),TODAY())</f>
        <v>42286</v>
      </c>
      <c r="C59" s="43"/>
      <c r="D59" s="136"/>
      <c r="E59" s="136"/>
      <c r="F59" s="136"/>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17"/>
    </row>
    <row r="60" spans="1:37" x14ac:dyDescent="0.3">
      <c r="A60" s="37">
        <f ca="1">DAYS360(INDIRECT(A112&amp;ROW()),TODAY())</f>
        <v>42286</v>
      </c>
      <c r="B60" s="37">
        <f ca="1">DAYS360(INDIRECT(A111&amp;ROW()),TODAY())</f>
        <v>42286</v>
      </c>
      <c r="C60" s="43"/>
      <c r="D60" s="136"/>
      <c r="E60" s="136"/>
      <c r="F60" s="136"/>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17"/>
    </row>
    <row r="61" spans="1:37" x14ac:dyDescent="0.3">
      <c r="A61" s="37">
        <f ca="1">DAYS360(INDIRECT(A112&amp;ROW()),TODAY())</f>
        <v>42286</v>
      </c>
      <c r="B61" s="37">
        <f ca="1">DAYS360(INDIRECT(A111&amp;ROW()),TODAY())</f>
        <v>42286</v>
      </c>
      <c r="C61" s="43"/>
      <c r="D61" s="136"/>
      <c r="E61" s="136"/>
      <c r="F61" s="136"/>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17"/>
    </row>
    <row r="62" spans="1:37" x14ac:dyDescent="0.3">
      <c r="A62" s="37">
        <f ca="1">DAYS360(INDIRECT(A112&amp;ROW()),TODAY())</f>
        <v>42286</v>
      </c>
      <c r="B62" s="37">
        <f ca="1">DAYS360(INDIRECT(A111&amp;ROW()),TODAY())</f>
        <v>42286</v>
      </c>
      <c r="C62" s="43"/>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17"/>
    </row>
    <row r="63" spans="1:37" x14ac:dyDescent="0.3">
      <c r="A63" s="37">
        <f ca="1">DAYS360(INDIRECT(A112&amp;ROW()),TODAY())</f>
        <v>42286</v>
      </c>
      <c r="B63" s="37">
        <f ca="1">DAYS360(INDIRECT(A111&amp;ROW()),TODAY())</f>
        <v>42286</v>
      </c>
      <c r="C63" s="43"/>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17"/>
    </row>
    <row r="64" spans="1:37" x14ac:dyDescent="0.3">
      <c r="A64" s="37">
        <f ca="1">DAYS360(INDIRECT(A112&amp;ROW()),TODAY())</f>
        <v>42286</v>
      </c>
      <c r="B64" s="37">
        <f ca="1">DAYS360(INDIRECT(A111&amp;ROW()),TODAY())</f>
        <v>42286</v>
      </c>
      <c r="C64" s="43"/>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17"/>
    </row>
    <row r="65" spans="1:35" x14ac:dyDescent="0.3">
      <c r="A65" s="37">
        <f ca="1">DAYS360(INDIRECT(A112&amp;ROW()),TODAY())</f>
        <v>42286</v>
      </c>
      <c r="B65" s="37">
        <f ca="1">DAYS360(INDIRECT(A111&amp;ROW()),TODAY())</f>
        <v>42286</v>
      </c>
      <c r="C65" s="43"/>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13"/>
    </row>
    <row r="66" spans="1:35" x14ac:dyDescent="0.3">
      <c r="A66" s="37">
        <f ca="1">DAYS360(INDIRECT(A112&amp;ROW()),TODAY())</f>
        <v>42286</v>
      </c>
      <c r="B66" s="37">
        <f ca="1">DAYS360(INDIRECT(A111&amp;ROW()),TODAY())</f>
        <v>42286</v>
      </c>
      <c r="C66" s="43"/>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13"/>
    </row>
    <row r="67" spans="1:35" x14ac:dyDescent="0.3">
      <c r="A67" s="37">
        <f ca="1">DAYS360(INDIRECT(A112&amp;ROW()),TODAY())</f>
        <v>42286</v>
      </c>
      <c r="B67" s="37">
        <f ca="1">DAYS360(INDIRECT(A111&amp;ROW()),TODAY())</f>
        <v>42286</v>
      </c>
      <c r="C67" s="43"/>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13"/>
    </row>
    <row r="68" spans="1:35" x14ac:dyDescent="0.3">
      <c r="A68" s="37">
        <f ca="1">DAYS360(INDIRECT(A112&amp;ROW()),TODAY())</f>
        <v>42286</v>
      </c>
      <c r="B68" s="37">
        <f ca="1">DAYS360(INDIRECT(A111&amp;ROW()),TODAY())</f>
        <v>42286</v>
      </c>
      <c r="C68" s="43"/>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13"/>
    </row>
    <row r="69" spans="1:35" x14ac:dyDescent="0.3">
      <c r="A69" s="37">
        <f ca="1">DAYS360(INDIRECT(A112&amp;ROW()),TODAY())</f>
        <v>42286</v>
      </c>
      <c r="B69" s="37">
        <f ca="1">DAYS360(INDIRECT(A111&amp;ROW()),TODAY())</f>
        <v>42286</v>
      </c>
      <c r="C69" s="4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row>
    <row r="70" spans="1:35" x14ac:dyDescent="0.3">
      <c r="A70" s="37">
        <f ca="1">DAYS360(INDIRECT(A112&amp;ROW()),TODAY())</f>
        <v>42286</v>
      </c>
      <c r="B70" s="37">
        <f ca="1">DAYS360(INDIRECT(A111&amp;ROW()),TODAY())</f>
        <v>42286</v>
      </c>
      <c r="C70" s="4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row>
    <row r="71" spans="1:35" x14ac:dyDescent="0.3">
      <c r="A71" s="37">
        <f ca="1">DAYS360(INDIRECT(A112&amp;ROW()),TODAY())</f>
        <v>42286</v>
      </c>
      <c r="B71" s="37">
        <f ca="1">DAYS360(INDIRECT(A111&amp;ROW()),TODAY())</f>
        <v>42286</v>
      </c>
      <c r="C71" s="4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row>
    <row r="72" spans="1:35" x14ac:dyDescent="0.3">
      <c r="A72" s="37">
        <f ca="1">DAYS360(INDIRECT(A112&amp;ROW()),TODAY())</f>
        <v>42286</v>
      </c>
      <c r="B72" s="37">
        <f ca="1">DAYS360(INDIRECT(A111&amp;ROW()),TODAY())</f>
        <v>42286</v>
      </c>
      <c r="C72" s="4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row>
    <row r="73" spans="1:35" x14ac:dyDescent="0.3">
      <c r="A73" s="37">
        <f ca="1">DAYS360(INDIRECT(A112&amp;ROW()),TODAY())</f>
        <v>42286</v>
      </c>
      <c r="B73" s="37">
        <f ca="1">DAYS360(INDIRECT(A111&amp;ROW()),TODAY())</f>
        <v>42286</v>
      </c>
      <c r="C73" s="43"/>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row>
    <row r="74" spans="1:35" x14ac:dyDescent="0.3">
      <c r="A74" s="37">
        <f t="shared" ref="A74:A98" ca="1" si="0">DAYS360(INDIRECT($A$112&amp;ROW()),TODAY())</f>
        <v>42286</v>
      </c>
      <c r="B74" s="37">
        <f t="shared" ref="B74:B98" ca="1" si="1">DAYS360(INDIRECT($A$111&amp;ROW()),TODAY())</f>
        <v>42286</v>
      </c>
      <c r="C74" s="43"/>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row>
    <row r="75" spans="1:35" x14ac:dyDescent="0.3">
      <c r="A75" s="47">
        <f t="shared" ca="1" si="0"/>
        <v>42286</v>
      </c>
      <c r="B75" s="47">
        <f t="shared" ca="1" si="1"/>
        <v>42286</v>
      </c>
      <c r="C75" s="43"/>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row>
    <row r="76" spans="1:35" x14ac:dyDescent="0.3">
      <c r="A76" s="47">
        <f t="shared" ca="1" si="0"/>
        <v>42286</v>
      </c>
      <c r="B76" s="47">
        <f t="shared" ca="1" si="1"/>
        <v>42286</v>
      </c>
      <c r="C76" s="43"/>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row>
    <row r="77" spans="1:35" x14ac:dyDescent="0.3">
      <c r="A77" s="47">
        <f t="shared" ca="1" si="0"/>
        <v>42286</v>
      </c>
      <c r="B77" s="47">
        <f t="shared" ca="1" si="1"/>
        <v>42286</v>
      </c>
      <c r="C77" s="43"/>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row>
    <row r="78" spans="1:35" x14ac:dyDescent="0.3">
      <c r="A78" s="47">
        <f t="shared" ca="1" si="0"/>
        <v>42286</v>
      </c>
      <c r="B78" s="47">
        <f t="shared" ca="1" si="1"/>
        <v>42286</v>
      </c>
      <c r="C78" s="43"/>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row>
    <row r="79" spans="1:35" x14ac:dyDescent="0.3">
      <c r="A79" s="47">
        <f t="shared" ca="1" si="0"/>
        <v>42286</v>
      </c>
      <c r="B79" s="47">
        <f t="shared" ca="1" si="1"/>
        <v>42286</v>
      </c>
      <c r="C79" s="43"/>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row>
    <row r="80" spans="1:35" x14ac:dyDescent="0.3">
      <c r="A80" s="47">
        <f t="shared" ca="1" si="0"/>
        <v>42286</v>
      </c>
      <c r="B80" s="47">
        <f t="shared" ca="1" si="1"/>
        <v>42286</v>
      </c>
      <c r="C80" s="43"/>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row>
    <row r="81" spans="1:34" x14ac:dyDescent="0.3">
      <c r="A81" s="47">
        <f t="shared" ca="1" si="0"/>
        <v>42286</v>
      </c>
      <c r="B81" s="47">
        <f t="shared" ca="1" si="1"/>
        <v>42286</v>
      </c>
      <c r="C81" s="43"/>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row>
    <row r="82" spans="1:34" x14ac:dyDescent="0.3">
      <c r="A82" s="47">
        <f t="shared" ca="1" si="0"/>
        <v>42286</v>
      </c>
      <c r="B82" s="47">
        <f t="shared" ca="1" si="1"/>
        <v>42286</v>
      </c>
      <c r="C82" s="43"/>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row>
    <row r="83" spans="1:34" x14ac:dyDescent="0.3">
      <c r="A83" s="47">
        <f t="shared" ca="1" si="0"/>
        <v>42286</v>
      </c>
      <c r="B83" s="47">
        <f t="shared" ca="1" si="1"/>
        <v>42286</v>
      </c>
      <c r="C83" s="43"/>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row>
    <row r="84" spans="1:34" x14ac:dyDescent="0.3">
      <c r="A84" s="47">
        <f t="shared" ca="1" si="0"/>
        <v>42286</v>
      </c>
      <c r="B84" s="47">
        <f t="shared" ca="1" si="1"/>
        <v>42286</v>
      </c>
      <c r="C84" s="43"/>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row>
    <row r="85" spans="1:34" x14ac:dyDescent="0.3">
      <c r="A85" s="47">
        <f t="shared" ca="1" si="0"/>
        <v>42286</v>
      </c>
      <c r="B85" s="47">
        <f t="shared" ca="1" si="1"/>
        <v>42286</v>
      </c>
      <c r="C85" s="43"/>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row>
    <row r="86" spans="1:34" x14ac:dyDescent="0.3">
      <c r="A86" s="47">
        <f t="shared" ca="1" si="0"/>
        <v>42286</v>
      </c>
      <c r="B86" s="47">
        <f t="shared" ca="1" si="1"/>
        <v>42286</v>
      </c>
      <c r="C86" s="43"/>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row>
    <row r="87" spans="1:34" x14ac:dyDescent="0.3">
      <c r="A87" s="47">
        <f t="shared" ca="1" si="0"/>
        <v>42286</v>
      </c>
      <c r="B87" s="47">
        <f t="shared" ca="1" si="1"/>
        <v>42286</v>
      </c>
      <c r="C87" s="43"/>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row>
    <row r="88" spans="1:34" x14ac:dyDescent="0.3">
      <c r="A88" s="47">
        <f t="shared" ca="1" si="0"/>
        <v>42286</v>
      </c>
      <c r="B88" s="47">
        <f t="shared" ca="1" si="1"/>
        <v>42286</v>
      </c>
      <c r="C88" s="43"/>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row>
    <row r="89" spans="1:34" x14ac:dyDescent="0.3">
      <c r="A89" s="47">
        <f t="shared" ca="1" si="0"/>
        <v>42286</v>
      </c>
      <c r="B89" s="47">
        <f t="shared" ca="1" si="1"/>
        <v>42286</v>
      </c>
      <c r="C89" s="43"/>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row>
    <row r="90" spans="1:34" x14ac:dyDescent="0.3">
      <c r="A90" s="47">
        <f t="shared" ca="1" si="0"/>
        <v>42286</v>
      </c>
      <c r="B90" s="47">
        <f t="shared" ca="1" si="1"/>
        <v>42286</v>
      </c>
      <c r="C90" s="43"/>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row>
    <row r="91" spans="1:34" x14ac:dyDescent="0.3">
      <c r="A91" s="47">
        <f t="shared" ca="1" si="0"/>
        <v>42286</v>
      </c>
      <c r="B91" s="47">
        <f t="shared" ca="1" si="1"/>
        <v>42286</v>
      </c>
      <c r="C91" s="43"/>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row>
    <row r="92" spans="1:34" x14ac:dyDescent="0.3">
      <c r="A92" s="47">
        <f t="shared" ca="1" si="0"/>
        <v>42286</v>
      </c>
      <c r="B92" s="47">
        <f t="shared" ca="1" si="1"/>
        <v>42286</v>
      </c>
      <c r="C92" s="43"/>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row>
    <row r="93" spans="1:34" x14ac:dyDescent="0.3">
      <c r="A93" s="47">
        <f t="shared" ca="1" si="0"/>
        <v>42286</v>
      </c>
      <c r="B93" s="47">
        <f t="shared" ca="1" si="1"/>
        <v>42286</v>
      </c>
      <c r="C93" s="43"/>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row>
    <row r="94" spans="1:34" x14ac:dyDescent="0.3">
      <c r="A94" s="47">
        <f t="shared" ca="1" si="0"/>
        <v>42286</v>
      </c>
      <c r="B94" s="47">
        <f t="shared" ca="1" si="1"/>
        <v>42286</v>
      </c>
      <c r="C94" s="43"/>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row>
    <row r="95" spans="1:34" x14ac:dyDescent="0.3">
      <c r="A95" s="47">
        <f t="shared" ca="1" si="0"/>
        <v>42286</v>
      </c>
      <c r="B95" s="47">
        <f t="shared" ca="1" si="1"/>
        <v>42286</v>
      </c>
      <c r="C95" s="43"/>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row>
    <row r="96" spans="1:34" x14ac:dyDescent="0.3">
      <c r="A96" s="47">
        <f t="shared" ca="1" si="0"/>
        <v>42286</v>
      </c>
      <c r="B96" s="47">
        <f t="shared" ca="1" si="1"/>
        <v>42286</v>
      </c>
      <c r="C96" s="43"/>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row>
    <row r="97" spans="1:34" x14ac:dyDescent="0.3">
      <c r="A97" s="47">
        <f t="shared" ca="1" si="0"/>
        <v>42286</v>
      </c>
      <c r="B97" s="47">
        <f t="shared" ca="1" si="1"/>
        <v>42286</v>
      </c>
      <c r="C97" s="43"/>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row>
    <row r="98" spans="1:34" x14ac:dyDescent="0.3">
      <c r="A98" s="47">
        <f t="shared" ca="1" si="0"/>
        <v>42286</v>
      </c>
      <c r="B98" s="47">
        <f t="shared" ca="1" si="1"/>
        <v>42286</v>
      </c>
      <c r="C98" s="43"/>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row>
    <row r="99" spans="1:34" x14ac:dyDescent="0.3">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row>
    <row r="100" spans="1:34" x14ac:dyDescent="0.3">
      <c r="A100" s="19" t="s">
        <v>977</v>
      </c>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row>
    <row r="101" spans="1:34" x14ac:dyDescent="0.3">
      <c r="A101" s="37">
        <f>COUNTA(D18:D98)+(A102-1)</f>
        <v>17</v>
      </c>
      <c r="B101" s="37" t="s">
        <v>123</v>
      </c>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row>
    <row r="102" spans="1:34" x14ac:dyDescent="0.3">
      <c r="A102" s="37">
        <v>18</v>
      </c>
      <c r="B102" s="37" t="s">
        <v>124</v>
      </c>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row>
    <row r="103" spans="1:34" x14ac:dyDescent="0.3">
      <c r="A103" s="37" t="s">
        <v>125</v>
      </c>
      <c r="B103" s="37" t="s">
        <v>59</v>
      </c>
      <c r="C103" s="136"/>
      <c r="D103" s="136"/>
      <c r="E103" s="136"/>
      <c r="F103" s="13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row>
    <row r="104" spans="1:34" x14ac:dyDescent="0.3">
      <c r="A104" s="37" t="s">
        <v>126</v>
      </c>
      <c r="B104" s="37" t="s">
        <v>72</v>
      </c>
      <c r="C104" s="136"/>
      <c r="D104" s="136"/>
      <c r="E104" s="136"/>
      <c r="F104" s="13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row>
    <row r="105" spans="1:34" x14ac:dyDescent="0.3">
      <c r="A105" s="37" t="s">
        <v>127</v>
      </c>
      <c r="B105" s="37" t="s">
        <v>65</v>
      </c>
      <c r="C105" s="136"/>
      <c r="D105" s="136"/>
      <c r="E105" s="136"/>
      <c r="F105" s="13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row>
    <row r="106" spans="1:34" x14ac:dyDescent="0.3">
      <c r="A106" s="37" t="s">
        <v>128</v>
      </c>
      <c r="B106" s="37" t="s">
        <v>129</v>
      </c>
      <c r="C106" s="136"/>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row>
    <row r="107" spans="1:34" x14ac:dyDescent="0.3">
      <c r="A107" s="37" t="s">
        <v>130</v>
      </c>
      <c r="B107" s="37" t="s">
        <v>131</v>
      </c>
      <c r="C107" s="136"/>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row>
    <row r="108" spans="1:34" x14ac:dyDescent="0.3">
      <c r="A108" s="37" t="s">
        <v>132</v>
      </c>
      <c r="B108" s="37" t="s">
        <v>133</v>
      </c>
      <c r="C108" s="136"/>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row>
    <row r="109" spans="1:34" x14ac:dyDescent="0.3">
      <c r="A109" s="37" t="s">
        <v>134</v>
      </c>
      <c r="B109" s="37" t="s">
        <v>135</v>
      </c>
      <c r="C109" s="136"/>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row>
    <row r="110" spans="1:34" x14ac:dyDescent="0.3">
      <c r="A110" s="37" t="s">
        <v>136</v>
      </c>
      <c r="B110" s="37" t="s">
        <v>137</v>
      </c>
      <c r="C110" s="136"/>
      <c r="D110" s="136"/>
      <c r="E110" s="136"/>
      <c r="F110" s="13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row>
    <row r="111" spans="1:34" x14ac:dyDescent="0.3">
      <c r="A111" s="37" t="s">
        <v>140</v>
      </c>
      <c r="B111" s="37" t="s">
        <v>141</v>
      </c>
      <c r="C111" s="136"/>
      <c r="D111" s="136"/>
      <c r="E111" s="136"/>
      <c r="F111" s="13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row>
    <row r="112" spans="1:34" x14ac:dyDescent="0.3">
      <c r="A112" s="37" t="s">
        <v>142</v>
      </c>
      <c r="B112" s="37" t="s">
        <v>143</v>
      </c>
      <c r="C112" s="136"/>
      <c r="D112" s="136"/>
      <c r="E112" s="136"/>
      <c r="F112" s="13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row>
    <row r="113" spans="1:34" x14ac:dyDescent="0.3">
      <c r="A113" s="37" t="s">
        <v>646</v>
      </c>
      <c r="B113" s="37" t="s">
        <v>647</v>
      </c>
      <c r="C113" s="136"/>
      <c r="D113" s="136"/>
      <c r="E113" s="136"/>
      <c r="F113" s="13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row>
    <row r="114" spans="1:34" x14ac:dyDescent="0.3">
      <c r="A114" s="37" t="s">
        <v>837</v>
      </c>
      <c r="B114" s="37" t="s">
        <v>58</v>
      </c>
      <c r="C114" s="136"/>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row>
    <row r="115" spans="1:34" x14ac:dyDescent="0.3">
      <c r="A115" s="37" t="s">
        <v>1102</v>
      </c>
      <c r="B115" s="37" t="s">
        <v>73</v>
      </c>
    </row>
    <row r="117" spans="1:34" x14ac:dyDescent="0.3">
      <c r="A117" s="19" t="s">
        <v>369</v>
      </c>
      <c r="D117" s="37">
        <f>SUBTOTAL(3,D18:D114)</f>
        <v>0</v>
      </c>
    </row>
    <row r="120" spans="1:34" x14ac:dyDescent="0.3">
      <c r="A120" s="19" t="s">
        <v>708</v>
      </c>
    </row>
    <row r="121" spans="1:34" x14ac:dyDescent="0.3">
      <c r="A121" s="35" t="s">
        <v>976</v>
      </c>
    </row>
    <row r="122" spans="1:34" x14ac:dyDescent="0.3">
      <c r="A122" s="19" t="s">
        <v>304</v>
      </c>
    </row>
    <row r="124" spans="1:34" x14ac:dyDescent="0.3">
      <c r="C124" s="136"/>
      <c r="D124" s="19" t="str">
        <f t="shared" ref="D124:D155" ca="1" si="2">HYPERLINK(CONCATENATE("https://bugzilla.houston.hpecorp.net:1181/bugzilla/show_bug.cgi?id=",MID(INDIRECT($A$114&amp;(ROW()-106)),9,5)),MID(INDIRECT($A$114&amp;(ROW()-106)),9,5))</f>
        <v/>
      </c>
      <c r="E124" s="37">
        <f>ROW()-18</f>
        <v>106</v>
      </c>
    </row>
    <row r="125" spans="1:34" x14ac:dyDescent="0.3">
      <c r="C125" s="136"/>
      <c r="D125" s="19" t="str">
        <f t="shared" ca="1" si="2"/>
        <v/>
      </c>
      <c r="E125" s="91" t="s">
        <v>1423</v>
      </c>
    </row>
    <row r="126" spans="1:34" x14ac:dyDescent="0.3">
      <c r="C126" s="136"/>
      <c r="D126" s="19" t="str">
        <f t="shared" ca="1" si="2"/>
        <v/>
      </c>
    </row>
    <row r="127" spans="1:34" x14ac:dyDescent="0.3">
      <c r="C127" s="136"/>
      <c r="D127" s="19" t="str">
        <f t="shared" ca="1" si="2"/>
        <v/>
      </c>
    </row>
    <row r="128" spans="1:34" x14ac:dyDescent="0.3">
      <c r="C128" s="136"/>
      <c r="D128" s="19" t="str">
        <f t="shared" ca="1" si="2"/>
        <v/>
      </c>
    </row>
    <row r="129" spans="3:4" x14ac:dyDescent="0.3">
      <c r="C129" s="136"/>
      <c r="D129" s="19" t="str">
        <f t="shared" ca="1" si="2"/>
        <v/>
      </c>
    </row>
    <row r="130" spans="3:4" x14ac:dyDescent="0.3">
      <c r="C130" s="136"/>
      <c r="D130" s="19" t="str">
        <f t="shared" ca="1" si="2"/>
        <v/>
      </c>
    </row>
    <row r="131" spans="3:4" x14ac:dyDescent="0.3">
      <c r="C131" s="136"/>
      <c r="D131" s="19" t="str">
        <f t="shared" ca="1" si="2"/>
        <v/>
      </c>
    </row>
    <row r="132" spans="3:4" x14ac:dyDescent="0.3">
      <c r="C132" s="136"/>
      <c r="D132" s="19" t="str">
        <f t="shared" ca="1" si="2"/>
        <v/>
      </c>
    </row>
    <row r="133" spans="3:4" x14ac:dyDescent="0.3">
      <c r="C133" s="136"/>
      <c r="D133" s="19" t="str">
        <f t="shared" ca="1" si="2"/>
        <v/>
      </c>
    </row>
    <row r="134" spans="3:4" x14ac:dyDescent="0.3">
      <c r="C134" s="136"/>
      <c r="D134" s="19" t="str">
        <f t="shared" ca="1" si="2"/>
        <v/>
      </c>
    </row>
    <row r="135" spans="3:4" x14ac:dyDescent="0.3">
      <c r="C135" s="136"/>
      <c r="D135" s="19" t="str">
        <f t="shared" ca="1" si="2"/>
        <v/>
      </c>
    </row>
    <row r="136" spans="3:4" x14ac:dyDescent="0.3">
      <c r="C136" s="136"/>
      <c r="D136" s="19" t="str">
        <f t="shared" ca="1" si="2"/>
        <v/>
      </c>
    </row>
    <row r="137" spans="3:4" x14ac:dyDescent="0.3">
      <c r="C137" s="136"/>
      <c r="D137" s="19" t="str">
        <f t="shared" ca="1" si="2"/>
        <v/>
      </c>
    </row>
    <row r="138" spans="3:4" x14ac:dyDescent="0.3">
      <c r="C138" s="136"/>
      <c r="D138" s="19" t="str">
        <f t="shared" ca="1" si="2"/>
        <v/>
      </c>
    </row>
    <row r="139" spans="3:4" x14ac:dyDescent="0.3">
      <c r="C139" s="136"/>
      <c r="D139" s="19" t="str">
        <f t="shared" ca="1" si="2"/>
        <v/>
      </c>
    </row>
    <row r="140" spans="3:4" x14ac:dyDescent="0.3">
      <c r="C140" s="136"/>
      <c r="D140" s="19" t="str">
        <f t="shared" ca="1" si="2"/>
        <v/>
      </c>
    </row>
    <row r="141" spans="3:4" x14ac:dyDescent="0.3">
      <c r="C141" s="136"/>
      <c r="D141" s="19" t="str">
        <f t="shared" ca="1" si="2"/>
        <v/>
      </c>
    </row>
    <row r="142" spans="3:4" x14ac:dyDescent="0.3">
      <c r="C142" s="136"/>
      <c r="D142" s="19" t="str">
        <f t="shared" ca="1" si="2"/>
        <v/>
      </c>
    </row>
    <row r="143" spans="3:4" x14ac:dyDescent="0.3">
      <c r="C143" s="136"/>
      <c r="D143" s="19" t="str">
        <f t="shared" ca="1" si="2"/>
        <v/>
      </c>
    </row>
    <row r="144" spans="3:4" x14ac:dyDescent="0.3">
      <c r="C144" s="136"/>
      <c r="D144" s="19" t="str">
        <f t="shared" ca="1" si="2"/>
        <v/>
      </c>
    </row>
    <row r="145" spans="3:4" x14ac:dyDescent="0.3">
      <c r="C145" s="136"/>
      <c r="D145" s="19" t="str">
        <f t="shared" ca="1" si="2"/>
        <v/>
      </c>
    </row>
    <row r="146" spans="3:4" x14ac:dyDescent="0.3">
      <c r="C146" s="136"/>
      <c r="D146" s="19" t="str">
        <f t="shared" ca="1" si="2"/>
        <v/>
      </c>
    </row>
    <row r="147" spans="3:4" x14ac:dyDescent="0.3">
      <c r="C147" s="136"/>
      <c r="D147" s="19" t="str">
        <f t="shared" ca="1" si="2"/>
        <v/>
      </c>
    </row>
    <row r="148" spans="3:4" x14ac:dyDescent="0.3">
      <c r="C148" s="136"/>
      <c r="D148" s="19" t="str">
        <f t="shared" ca="1" si="2"/>
        <v/>
      </c>
    </row>
    <row r="149" spans="3:4" x14ac:dyDescent="0.3">
      <c r="C149" s="136"/>
      <c r="D149" s="19" t="str">
        <f t="shared" ca="1" si="2"/>
        <v/>
      </c>
    </row>
    <row r="150" spans="3:4" x14ac:dyDescent="0.3">
      <c r="C150" s="136"/>
      <c r="D150" s="19" t="str">
        <f t="shared" ca="1" si="2"/>
        <v/>
      </c>
    </row>
    <row r="151" spans="3:4" x14ac:dyDescent="0.3">
      <c r="C151" s="136"/>
      <c r="D151" s="19" t="str">
        <f t="shared" ca="1" si="2"/>
        <v/>
      </c>
    </row>
    <row r="152" spans="3:4" x14ac:dyDescent="0.3">
      <c r="C152" s="136"/>
      <c r="D152" s="19" t="str">
        <f t="shared" ca="1" si="2"/>
        <v/>
      </c>
    </row>
    <row r="153" spans="3:4" x14ac:dyDescent="0.3">
      <c r="C153" s="136"/>
      <c r="D153" s="19" t="str">
        <f t="shared" ca="1" si="2"/>
        <v/>
      </c>
    </row>
    <row r="154" spans="3:4" x14ac:dyDescent="0.3">
      <c r="C154" s="136"/>
      <c r="D154" s="19" t="str">
        <f t="shared" ca="1" si="2"/>
        <v/>
      </c>
    </row>
    <row r="155" spans="3:4" x14ac:dyDescent="0.3">
      <c r="C155" s="136"/>
      <c r="D155" s="19" t="str">
        <f t="shared" ca="1" si="2"/>
        <v/>
      </c>
    </row>
    <row r="156" spans="3:4" x14ac:dyDescent="0.3">
      <c r="C156" s="136"/>
      <c r="D156" s="19" t="str">
        <f t="shared" ref="D156:D187" ca="1" si="3">HYPERLINK(CONCATENATE("https://bugzilla.houston.hpecorp.net:1181/bugzilla/show_bug.cgi?id=",MID(INDIRECT($A$114&amp;(ROW()-106)),9,5)),MID(INDIRECT($A$114&amp;(ROW()-106)),9,5))</f>
        <v/>
      </c>
    </row>
    <row r="157" spans="3:4" x14ac:dyDescent="0.3">
      <c r="C157" s="136"/>
      <c r="D157" s="19" t="str">
        <f t="shared" ca="1" si="3"/>
        <v/>
      </c>
    </row>
    <row r="158" spans="3:4" x14ac:dyDescent="0.3">
      <c r="C158" s="136"/>
      <c r="D158" s="19" t="str">
        <f t="shared" ca="1" si="3"/>
        <v/>
      </c>
    </row>
    <row r="159" spans="3:4" x14ac:dyDescent="0.3">
      <c r="C159" s="136"/>
      <c r="D159" s="19" t="str">
        <f t="shared" ca="1" si="3"/>
        <v/>
      </c>
    </row>
    <row r="160" spans="3:4" x14ac:dyDescent="0.3">
      <c r="C160" s="136"/>
      <c r="D160" s="19" t="str">
        <f t="shared" ca="1" si="3"/>
        <v/>
      </c>
    </row>
    <row r="161" spans="3:4" x14ac:dyDescent="0.3">
      <c r="C161" s="136"/>
      <c r="D161" s="19" t="str">
        <f t="shared" ca="1" si="3"/>
        <v/>
      </c>
    </row>
    <row r="162" spans="3:4" x14ac:dyDescent="0.3">
      <c r="C162" s="136"/>
      <c r="D162" s="19" t="str">
        <f t="shared" ca="1" si="3"/>
        <v/>
      </c>
    </row>
    <row r="163" spans="3:4" x14ac:dyDescent="0.3">
      <c r="C163" s="136"/>
      <c r="D163" s="19" t="str">
        <f t="shared" ca="1" si="3"/>
        <v/>
      </c>
    </row>
    <row r="164" spans="3:4" x14ac:dyDescent="0.3">
      <c r="C164" s="136"/>
      <c r="D164" s="19" t="str">
        <f t="shared" ca="1" si="3"/>
        <v/>
      </c>
    </row>
    <row r="165" spans="3:4" x14ac:dyDescent="0.3">
      <c r="C165" s="136"/>
      <c r="D165" s="19" t="str">
        <f t="shared" ca="1" si="3"/>
        <v/>
      </c>
    </row>
    <row r="166" spans="3:4" x14ac:dyDescent="0.3">
      <c r="C166" s="136"/>
      <c r="D166" s="19" t="str">
        <f t="shared" ca="1" si="3"/>
        <v/>
      </c>
    </row>
    <row r="167" spans="3:4" x14ac:dyDescent="0.3">
      <c r="C167" s="136"/>
      <c r="D167" s="19" t="str">
        <f t="shared" ca="1" si="3"/>
        <v/>
      </c>
    </row>
    <row r="168" spans="3:4" x14ac:dyDescent="0.3">
      <c r="C168" s="136"/>
      <c r="D168" s="19" t="str">
        <f t="shared" ca="1" si="3"/>
        <v/>
      </c>
    </row>
    <row r="169" spans="3:4" x14ac:dyDescent="0.3">
      <c r="C169" s="136"/>
      <c r="D169" s="19" t="str">
        <f t="shared" ca="1" si="3"/>
        <v/>
      </c>
    </row>
    <row r="170" spans="3:4" x14ac:dyDescent="0.3">
      <c r="C170" s="136"/>
      <c r="D170" s="19" t="str">
        <f t="shared" ca="1" si="3"/>
        <v/>
      </c>
    </row>
    <row r="171" spans="3:4" x14ac:dyDescent="0.3">
      <c r="C171" s="136"/>
      <c r="D171" s="19" t="str">
        <f t="shared" ca="1" si="3"/>
        <v/>
      </c>
    </row>
    <row r="172" spans="3:4" x14ac:dyDescent="0.3">
      <c r="C172" s="136"/>
      <c r="D172" s="19" t="str">
        <f t="shared" ca="1" si="3"/>
        <v/>
      </c>
    </row>
    <row r="173" spans="3:4" x14ac:dyDescent="0.3">
      <c r="C173" s="136"/>
      <c r="D173" s="19" t="str">
        <f t="shared" ca="1" si="3"/>
        <v/>
      </c>
    </row>
    <row r="174" spans="3:4" x14ac:dyDescent="0.3">
      <c r="C174" s="136"/>
      <c r="D174" s="19" t="str">
        <f t="shared" ca="1" si="3"/>
        <v/>
      </c>
    </row>
    <row r="175" spans="3:4" x14ac:dyDescent="0.3">
      <c r="C175" s="136"/>
      <c r="D175" s="19" t="str">
        <f t="shared" ca="1" si="3"/>
        <v/>
      </c>
    </row>
    <row r="176" spans="3:4" x14ac:dyDescent="0.3">
      <c r="C176" s="136"/>
      <c r="D176" s="19" t="str">
        <f t="shared" ca="1" si="3"/>
        <v/>
      </c>
    </row>
    <row r="177" spans="3:4" x14ac:dyDescent="0.3">
      <c r="C177" s="136"/>
      <c r="D177" s="19" t="str">
        <f t="shared" ca="1" si="3"/>
        <v/>
      </c>
    </row>
    <row r="178" spans="3:4" x14ac:dyDescent="0.3">
      <c r="C178" s="136"/>
      <c r="D178" s="19" t="str">
        <f t="shared" ca="1" si="3"/>
        <v/>
      </c>
    </row>
    <row r="179" spans="3:4" x14ac:dyDescent="0.3">
      <c r="C179" s="136"/>
      <c r="D179" s="19" t="str">
        <f t="shared" ca="1" si="3"/>
        <v/>
      </c>
    </row>
    <row r="180" spans="3:4" x14ac:dyDescent="0.3">
      <c r="C180" s="136"/>
      <c r="D180" s="19" t="str">
        <f t="shared" ca="1" si="3"/>
        <v/>
      </c>
    </row>
    <row r="181" spans="3:4" x14ac:dyDescent="0.3">
      <c r="C181" s="136"/>
      <c r="D181" s="19" t="str">
        <f t="shared" ca="1" si="3"/>
        <v/>
      </c>
    </row>
    <row r="182" spans="3:4" x14ac:dyDescent="0.3">
      <c r="C182" s="136"/>
      <c r="D182" s="19" t="str">
        <f t="shared" ca="1" si="3"/>
        <v/>
      </c>
    </row>
    <row r="183" spans="3:4" x14ac:dyDescent="0.3">
      <c r="C183" s="136"/>
      <c r="D183" s="19" t="str">
        <f t="shared" ca="1" si="3"/>
        <v/>
      </c>
    </row>
    <row r="184" spans="3:4" x14ac:dyDescent="0.3">
      <c r="C184" s="136"/>
      <c r="D184" s="19" t="str">
        <f t="shared" ca="1" si="3"/>
        <v/>
      </c>
    </row>
    <row r="185" spans="3:4" x14ac:dyDescent="0.3">
      <c r="C185" s="136"/>
      <c r="D185" s="19" t="str">
        <f t="shared" ca="1" si="3"/>
        <v/>
      </c>
    </row>
    <row r="186" spans="3:4" x14ac:dyDescent="0.3">
      <c r="C186" s="136"/>
      <c r="D186" s="19" t="str">
        <f t="shared" ca="1" si="3"/>
        <v/>
      </c>
    </row>
    <row r="187" spans="3:4" x14ac:dyDescent="0.3">
      <c r="C187" s="136"/>
      <c r="D187" s="19" t="str">
        <f t="shared" ca="1" si="3"/>
        <v/>
      </c>
    </row>
    <row r="188" spans="3:4" x14ac:dyDescent="0.3">
      <c r="C188" s="136"/>
      <c r="D188" s="19" t="str">
        <f t="shared" ref="D188:D200" ca="1" si="4">HYPERLINK(CONCATENATE("https://bugzilla.houston.hpecorp.net:1181/bugzilla/show_bug.cgi?id=",MID(INDIRECT($A$114&amp;(ROW()-106)),9,5)),MID(INDIRECT($A$114&amp;(ROW()-106)),9,5))</f>
        <v/>
      </c>
    </row>
    <row r="189" spans="3:4" x14ac:dyDescent="0.3">
      <c r="C189" s="136"/>
      <c r="D189" s="19" t="str">
        <f t="shared" ca="1" si="4"/>
        <v/>
      </c>
    </row>
    <row r="190" spans="3:4" x14ac:dyDescent="0.3">
      <c r="C190" s="136"/>
      <c r="D190" s="19" t="str">
        <f t="shared" ca="1" si="4"/>
        <v/>
      </c>
    </row>
    <row r="191" spans="3:4" x14ac:dyDescent="0.3">
      <c r="C191" s="136"/>
      <c r="D191" s="19" t="str">
        <f t="shared" ca="1" si="4"/>
        <v/>
      </c>
    </row>
    <row r="192" spans="3:4" x14ac:dyDescent="0.3">
      <c r="C192" s="136"/>
      <c r="D192" s="19" t="str">
        <f t="shared" ca="1" si="4"/>
        <v/>
      </c>
    </row>
    <row r="193" spans="3:4" x14ac:dyDescent="0.3">
      <c r="C193" s="136"/>
      <c r="D193" s="19" t="str">
        <f t="shared" ca="1" si="4"/>
        <v/>
      </c>
    </row>
    <row r="194" spans="3:4" x14ac:dyDescent="0.3">
      <c r="C194" s="136"/>
      <c r="D194" s="19" t="str">
        <f t="shared" ca="1" si="4"/>
        <v/>
      </c>
    </row>
    <row r="195" spans="3:4" x14ac:dyDescent="0.3">
      <c r="C195" s="136"/>
      <c r="D195" s="19" t="str">
        <f t="shared" ca="1" si="4"/>
        <v/>
      </c>
    </row>
    <row r="196" spans="3:4" x14ac:dyDescent="0.3">
      <c r="C196" s="136"/>
      <c r="D196" s="19" t="str">
        <f t="shared" ca="1" si="4"/>
        <v/>
      </c>
    </row>
    <row r="197" spans="3:4" x14ac:dyDescent="0.3">
      <c r="C197" s="136"/>
      <c r="D197" s="19" t="str">
        <f t="shared" ca="1" si="4"/>
        <v/>
      </c>
    </row>
    <row r="198" spans="3:4" x14ac:dyDescent="0.3">
      <c r="C198" s="136"/>
      <c r="D198" s="19" t="str">
        <f t="shared" ca="1" si="4"/>
        <v/>
      </c>
    </row>
    <row r="199" spans="3:4" x14ac:dyDescent="0.3">
      <c r="C199" s="136"/>
      <c r="D199" s="19" t="str">
        <f t="shared" ca="1" si="4"/>
        <v/>
      </c>
    </row>
    <row r="200" spans="3:4" x14ac:dyDescent="0.3">
      <c r="C200" s="136"/>
      <c r="D200" s="19" t="str">
        <f t="shared" ca="1" si="4"/>
        <v/>
      </c>
    </row>
    <row r="201" spans="3:4" x14ac:dyDescent="0.3">
      <c r="C201" s="136"/>
    </row>
    <row r="202" spans="3:4" x14ac:dyDescent="0.3">
      <c r="C202" s="136"/>
    </row>
    <row r="203" spans="3:4" x14ac:dyDescent="0.3">
      <c r="C203" s="136"/>
    </row>
    <row r="204" spans="3:4" x14ac:dyDescent="0.3">
      <c r="C204" s="136"/>
    </row>
  </sheetData>
  <autoFilter ref="A17:AH98"/>
  <conditionalFormatting sqref="C18:C98">
    <cfRule type="expression" dxfId="357" priority="1292">
      <formula>IF(FIND("Denied",V18),1,0)</formula>
    </cfRule>
    <cfRule type="expression" dxfId="356" priority="3575">
      <formula>IF(FIND("Director",V18,11),1,0)</formula>
    </cfRule>
    <cfRule type="expression" dxfId="355" priority="3576">
      <formula>IF(FIND("Approve",V18),1,0)</formula>
    </cfRule>
    <cfRule type="expression" dxfId="354" priority="3577">
      <formula>IF(FIND("Request",V18),1,0)</formula>
    </cfRule>
    <cfRule type="expression" dxfId="353" priority="3578">
      <formula>IF(FIND("Requested",AE18),1,0)</formula>
    </cfRule>
    <cfRule type="expression" dxfId="352" priority="3579">
      <formula>IF(Z18=" ---",1,0)</formula>
    </cfRule>
  </conditionalFormatting>
  <conditionalFormatting sqref="G18:G98">
    <cfRule type="expression" dxfId="351" priority="1291">
      <formula>IF(G18="For Review",1,0)</formula>
    </cfRule>
  </conditionalFormatting>
  <conditionalFormatting sqref="C124:C204">
    <cfRule type="expression" dxfId="350" priority="1">
      <formula>IF(FIND("Denied",V124),1,0)</formula>
    </cfRule>
    <cfRule type="expression" dxfId="349" priority="2">
      <formula>IF(FIND("Director",V124,11),1,0)</formula>
    </cfRule>
    <cfRule type="expression" dxfId="348" priority="3">
      <formula>IF(FIND("Approve",V124),1,0)</formula>
    </cfRule>
    <cfRule type="expression" dxfId="347" priority="4">
      <formula>IF(FIND("Request",V124),1,0)</formula>
    </cfRule>
    <cfRule type="expression" dxfId="346" priority="5">
      <formula>IF(FIND("Requested",AE124),1,0)</formula>
    </cfRule>
    <cfRule type="expression" dxfId="345" priority="6">
      <formula>IF(Z124=" ---",1,0)</formula>
    </cfRule>
  </conditionalFormatting>
  <hyperlinks>
    <hyperlink ref="A117" r:id="rId1"/>
    <hyperlink ref="A120" r:id="rId2"/>
    <hyperlink ref="A122" location="RedZone!C18" display="C18"/>
    <hyperlink ref="A100" location="RedZone!C124" display="c124"/>
    <hyperlink ref="N15" location="RedZone!C100" display="c100"/>
    <hyperlink ref="E125" r:id="rId3" tooltip="ASSIGNED - [Master=91429, Aurora] Race condition during saves to SMB share using Notepad on nearly full fpg results in user data not being saved and no user error returned" display="https://bugzilla.houston.hpecorp.net:1181/bugzilla/show_bug.cgi?id=91456"/>
  </hyperlinks>
  <pageMargins left="0.25" right="0.25" top="0.75" bottom="0.75" header="0.3" footer="0.3"/>
  <pageSetup scale="25" fitToHeight="0"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RedZoneStatusSetup">
                <anchor moveWithCells="1" sizeWithCells="1">
                  <from>
                    <xdr:col>12</xdr:col>
                    <xdr:colOff>76200</xdr:colOff>
                    <xdr:row>13</xdr:row>
                    <xdr:rowOff>167640</xdr:rowOff>
                  </from>
                  <to>
                    <xdr:col>12</xdr:col>
                    <xdr:colOff>1043940</xdr:colOff>
                    <xdr:row>15</xdr:row>
                    <xdr:rowOff>0</xdr:rowOff>
                  </to>
                </anchor>
              </controlPr>
            </control>
          </mc:Choice>
        </mc:AlternateContent>
        <mc:AlternateContent xmlns:mc="http://schemas.openxmlformats.org/markup-compatibility/2006">
          <mc:Choice Requires="x14">
            <control shapeId="1026" r:id="rId8" name="Button 2">
              <controlPr defaultSize="0" print="0" autoFill="0" autoPict="0" macro="[0]!RedZoneStatusSetup">
                <anchor moveWithCells="1" sizeWithCells="1">
                  <from>
                    <xdr:col>6</xdr:col>
                    <xdr:colOff>0</xdr:colOff>
                    <xdr:row>14</xdr:row>
                    <xdr:rowOff>0</xdr:rowOff>
                  </from>
                  <to>
                    <xdr:col>7</xdr:col>
                    <xdr:colOff>167640</xdr:colOff>
                    <xdr:row>15</xdr:row>
                    <xdr:rowOff>15240</xdr:rowOff>
                  </to>
                </anchor>
              </controlPr>
            </control>
          </mc:Choice>
        </mc:AlternateContent>
        <mc:AlternateContent xmlns:mc="http://schemas.openxmlformats.org/markup-compatibility/2006">
          <mc:Choice Requires="x14">
            <control shapeId="1027" r:id="rId9" name="Button 3">
              <controlPr defaultSize="0" print="0" autoFill="0" autoPict="0" macro="[0]!UntargRZ">
                <anchor moveWithCells="1" sizeWithCells="1">
                  <from>
                    <xdr:col>8</xdr:col>
                    <xdr:colOff>0</xdr:colOff>
                    <xdr:row>13</xdr:row>
                    <xdr:rowOff>175260</xdr:rowOff>
                  </from>
                  <to>
                    <xdr:col>9</xdr:col>
                    <xdr:colOff>335280</xdr:colOff>
                    <xdr:row>14</xdr:row>
                    <xdr:rowOff>175260</xdr:rowOff>
                  </to>
                </anchor>
              </controlPr>
            </control>
          </mc:Choice>
        </mc:AlternateContent>
        <mc:AlternateContent xmlns:mc="http://schemas.openxmlformats.org/markup-compatibility/2006">
          <mc:Choice Requires="x14">
            <control shapeId="1028" r:id="rId10" name="Button 4">
              <controlPr defaultSize="0" print="0" autoFill="0" autoPict="0" macro="[0]!Newest">
                <anchor moveWithCells="1" sizeWithCells="1">
                  <from>
                    <xdr:col>9</xdr:col>
                    <xdr:colOff>762000</xdr:colOff>
                    <xdr:row>13</xdr:row>
                    <xdr:rowOff>175260</xdr:rowOff>
                  </from>
                  <to>
                    <xdr:col>11</xdr:col>
                    <xdr:colOff>22860</xdr:colOff>
                    <xdr:row>15</xdr:row>
                    <xdr:rowOff>0</xdr:rowOff>
                  </to>
                </anchor>
              </controlPr>
            </control>
          </mc:Choice>
        </mc:AlternateContent>
        <mc:AlternateContent xmlns:mc="http://schemas.openxmlformats.org/markup-compatibility/2006">
          <mc:Choice Requires="x14">
            <control shapeId="1029" r:id="rId11" name="Button 5">
              <controlPr defaultSize="0" print="0" autoFill="0" autoPict="0" macro="[0]!Targeted">
                <anchor moveWithCells="1" sizeWithCells="1">
                  <from>
                    <xdr:col>8</xdr:col>
                    <xdr:colOff>30480</xdr:colOff>
                    <xdr:row>12</xdr:row>
                    <xdr:rowOff>7620</xdr:rowOff>
                  </from>
                  <to>
                    <xdr:col>9</xdr:col>
                    <xdr:colOff>99060</xdr:colOff>
                    <xdr:row>13</xdr:row>
                    <xdr:rowOff>7620</xdr:rowOff>
                  </to>
                </anchor>
              </controlPr>
            </control>
          </mc:Choice>
        </mc:AlternateContent>
        <mc:AlternateContent xmlns:mc="http://schemas.openxmlformats.org/markup-compatibility/2006">
          <mc:Choice Requires="x14">
            <control shapeId="1063" r:id="rId12" name="Button 39">
              <controlPr defaultSize="0" print="0" autoFill="0" autoPict="0" macro="[0]!ClearFilters">
                <anchor moveWithCells="1" sizeWithCells="1">
                  <from>
                    <xdr:col>9</xdr:col>
                    <xdr:colOff>373380</xdr:colOff>
                    <xdr:row>12</xdr:row>
                    <xdr:rowOff>7620</xdr:rowOff>
                  </from>
                  <to>
                    <xdr:col>10</xdr:col>
                    <xdr:colOff>22860</xdr:colOff>
                    <xdr:row>13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M90"/>
  <sheetViews>
    <sheetView zoomScale="60" zoomScaleNormal="60" workbookViewId="0">
      <pane ySplit="1" topLeftCell="A2" activePane="bottomLeft" state="frozen"/>
      <selection pane="bottomLeft" activeCell="F6" sqref="F6"/>
    </sheetView>
  </sheetViews>
  <sheetFormatPr defaultColWidth="12.21875" defaultRowHeight="14.4" x14ac:dyDescent="0.3"/>
  <cols>
    <col min="1" max="1" width="12" style="118" customWidth="1"/>
    <col min="2" max="2" width="20.33203125" style="118" customWidth="1"/>
    <col min="3" max="3" width="14.77734375" style="118" bestFit="1" customWidth="1"/>
    <col min="4" max="4" width="15.44140625" style="118" bestFit="1" customWidth="1"/>
    <col min="5" max="5" width="8.21875" style="118" customWidth="1"/>
    <col min="6" max="6" width="33.44140625" style="118" customWidth="1"/>
    <col min="7" max="7" width="9.5546875" style="118" customWidth="1"/>
    <col min="8" max="8" width="11.5546875" style="118" bestFit="1" customWidth="1"/>
    <col min="9" max="9" width="27.88671875" style="118" customWidth="1"/>
    <col min="10" max="10" width="122.21875" style="118" customWidth="1"/>
    <col min="11" max="11" width="12.6640625" style="118" bestFit="1" customWidth="1"/>
    <col min="12" max="12" width="21.21875" style="118" hidden="1" customWidth="1"/>
    <col min="13" max="13" width="38.109375" style="118" hidden="1" customWidth="1"/>
    <col min="14" max="14" width="30.88671875" style="118" customWidth="1"/>
    <col min="15" max="15" width="14.77734375" style="118" hidden="1" customWidth="1"/>
    <col min="16" max="16" width="13.21875" style="118" hidden="1" customWidth="1"/>
    <col min="17" max="17" width="19.33203125" style="118" hidden="1" customWidth="1"/>
    <col min="18" max="18" width="14.77734375" style="118" hidden="1" customWidth="1"/>
    <col min="19" max="19" width="18.77734375" style="118" hidden="1" customWidth="1"/>
    <col min="20" max="20" width="30.44140625" style="118" hidden="1" customWidth="1"/>
    <col min="21" max="21" width="13.21875" style="118" customWidth="1"/>
    <col min="22" max="22" width="10" style="118" customWidth="1"/>
    <col min="23" max="23" width="19.77734375" style="118" hidden="1" customWidth="1"/>
    <col min="24" max="24" width="17.33203125" style="118" hidden="1" customWidth="1"/>
    <col min="25" max="25" width="27.109375" style="118" hidden="1" customWidth="1"/>
    <col min="26" max="26" width="13.44140625" style="118" hidden="1" customWidth="1"/>
    <col min="27" max="27" width="26.21875" style="118" hidden="1" customWidth="1"/>
    <col min="28" max="28" width="17.5546875" style="118" hidden="1" customWidth="1"/>
    <col min="29" max="29" width="17.21875" style="118" customWidth="1"/>
    <col min="30" max="30" width="19.21875" style="118" hidden="1" customWidth="1"/>
    <col min="31" max="31" width="23.44140625" style="118" hidden="1" customWidth="1"/>
    <col min="32" max="32" width="32.5546875" style="118" hidden="1" customWidth="1"/>
    <col min="33" max="36" width="0" style="118" hidden="1" customWidth="1"/>
    <col min="37" max="37" width="8.33203125" style="118" customWidth="1"/>
    <col min="38" max="38" width="7.21875" style="118" customWidth="1"/>
    <col min="39" max="16384" width="12.21875" style="118"/>
  </cols>
  <sheetData>
    <row r="1" spans="1:39" x14ac:dyDescent="0.3">
      <c r="A1" s="118" t="s">
        <v>217</v>
      </c>
      <c r="B1" s="118" t="s">
        <v>208</v>
      </c>
      <c r="C1" s="118" t="s">
        <v>1331</v>
      </c>
      <c r="D1" s="118" t="s">
        <v>194</v>
      </c>
      <c r="E1" s="118" t="s">
        <v>258</v>
      </c>
      <c r="F1" s="118" t="s">
        <v>259</v>
      </c>
      <c r="G1" s="118" t="s">
        <v>173</v>
      </c>
      <c r="H1" s="134" t="s">
        <v>145</v>
      </c>
      <c r="I1" s="134" t="s">
        <v>57</v>
      </c>
      <c r="J1" s="134" t="s">
        <v>58</v>
      </c>
      <c r="K1" s="134" t="s">
        <v>59</v>
      </c>
      <c r="L1" s="134" t="s">
        <v>60</v>
      </c>
      <c r="M1" s="134" t="s">
        <v>61</v>
      </c>
      <c r="N1" s="134" t="s">
        <v>62</v>
      </c>
      <c r="O1" s="134" t="s">
        <v>63</v>
      </c>
      <c r="P1" s="134" t="s">
        <v>64</v>
      </c>
      <c r="Q1" s="134" t="s">
        <v>65</v>
      </c>
      <c r="R1" s="134" t="s">
        <v>66</v>
      </c>
      <c r="S1" s="134" t="s">
        <v>67</v>
      </c>
      <c r="T1" s="134" t="s">
        <v>68</v>
      </c>
      <c r="U1" s="134" t="s">
        <v>69</v>
      </c>
      <c r="V1" s="134" t="s">
        <v>70</v>
      </c>
      <c r="W1" s="134" t="s">
        <v>71</v>
      </c>
      <c r="X1" s="134" t="s">
        <v>72</v>
      </c>
      <c r="Y1" s="134" t="s">
        <v>73</v>
      </c>
      <c r="Z1" s="134" t="s">
        <v>74</v>
      </c>
      <c r="AA1" s="134" t="s">
        <v>75</v>
      </c>
      <c r="AB1" s="134" t="s">
        <v>76</v>
      </c>
      <c r="AC1" s="134" t="s">
        <v>1244</v>
      </c>
      <c r="AD1" s="134" t="s">
        <v>78</v>
      </c>
      <c r="AE1" s="134" t="s">
        <v>79</v>
      </c>
      <c r="AF1" s="134" t="s">
        <v>615</v>
      </c>
      <c r="AG1" s="134" t="s">
        <v>308</v>
      </c>
      <c r="AH1" s="134" t="s">
        <v>307</v>
      </c>
      <c r="AI1" s="134" t="s">
        <v>621</v>
      </c>
      <c r="AJ1" s="134" t="s">
        <v>622</v>
      </c>
      <c r="AK1" s="134" t="s">
        <v>1084</v>
      </c>
      <c r="AL1" s="134" t="s">
        <v>580</v>
      </c>
      <c r="AM1" s="134" t="s">
        <v>1191</v>
      </c>
    </row>
    <row r="2" spans="1:39" x14ac:dyDescent="0.3">
      <c r="D2" s="118" t="s">
        <v>1460</v>
      </c>
      <c r="F2" s="118" t="s">
        <v>1456</v>
      </c>
      <c r="G2" s="19" t="str">
        <f ca="1">HYPERLINK(CONCATENATE("https://bugzilla.houston.hpecorp.net:1181/bugzilla/show_bug.cgi?id=",MID(INDIRECT($G$45&amp;ROW()),9,5)),MID(INDIRECT($G$45&amp;ROW()),9,5))</f>
        <v>61184</v>
      </c>
      <c r="H2" s="42">
        <v>74861</v>
      </c>
      <c r="I2" s="134" t="s">
        <v>337</v>
      </c>
      <c r="J2" s="134" t="s">
        <v>658</v>
      </c>
      <c r="K2" s="134" t="s">
        <v>2</v>
      </c>
      <c r="L2" s="134" t="s">
        <v>569</v>
      </c>
      <c r="M2" s="134" t="s">
        <v>81</v>
      </c>
      <c r="N2" s="134" t="s">
        <v>1075</v>
      </c>
      <c r="O2" s="135">
        <v>42669.322916666664</v>
      </c>
      <c r="P2" s="134" t="s">
        <v>159</v>
      </c>
      <c r="Q2" s="134" t="s">
        <v>83</v>
      </c>
      <c r="R2" s="135">
        <v>42390.520092592589</v>
      </c>
      <c r="S2" s="134" t="s">
        <v>16</v>
      </c>
      <c r="T2" s="134"/>
      <c r="U2" s="134" t="s">
        <v>347</v>
      </c>
      <c r="V2" s="134" t="s">
        <v>12</v>
      </c>
      <c r="W2" s="134" t="s">
        <v>30</v>
      </c>
      <c r="X2" s="134" t="s">
        <v>13</v>
      </c>
      <c r="Y2" s="134" t="s">
        <v>19</v>
      </c>
      <c r="Z2" s="134"/>
      <c r="AA2" s="134" t="s">
        <v>7</v>
      </c>
      <c r="AB2" s="134" t="s">
        <v>10</v>
      </c>
      <c r="AC2" s="134" t="s">
        <v>7</v>
      </c>
      <c r="AD2" s="134" t="s">
        <v>82</v>
      </c>
      <c r="AE2" s="134" t="s">
        <v>7</v>
      </c>
      <c r="AF2" s="134" t="s">
        <v>7</v>
      </c>
      <c r="AG2" s="134" t="s">
        <v>363</v>
      </c>
      <c r="AH2" s="134" t="s">
        <v>7</v>
      </c>
      <c r="AI2" s="134" t="s">
        <v>7</v>
      </c>
      <c r="AJ2" s="134" t="s">
        <v>623</v>
      </c>
      <c r="AK2" s="134" t="s">
        <v>1085</v>
      </c>
      <c r="AL2" s="134" t="s">
        <v>1398</v>
      </c>
      <c r="AM2" s="134" t="s">
        <v>1419</v>
      </c>
    </row>
    <row r="3" spans="1:39" x14ac:dyDescent="0.3">
      <c r="F3" s="118" t="s">
        <v>1455</v>
      </c>
      <c r="G3" s="19" t="str">
        <f ca="1">HYPERLINK(CONCATENATE("https://bugzilla.houston.hpecorp.net:1181/bugzilla/show_bug.cgi?id=",MID(INDIRECT($G$45&amp;ROW()),9,5)),MID(INDIRECT($G$45&amp;ROW()),9,5))</f>
        <v>75405</v>
      </c>
      <c r="H3" s="42">
        <v>75421</v>
      </c>
      <c r="I3" s="134" t="s">
        <v>581</v>
      </c>
      <c r="J3" s="134" t="s">
        <v>660</v>
      </c>
      <c r="K3" s="134" t="s">
        <v>2</v>
      </c>
      <c r="L3" s="134" t="s">
        <v>569</v>
      </c>
      <c r="M3" s="134" t="s">
        <v>81</v>
      </c>
      <c r="N3" s="134"/>
      <c r="O3" s="135">
        <v>42689.420069444444</v>
      </c>
      <c r="P3" s="134" t="s">
        <v>159</v>
      </c>
      <c r="Q3" s="134" t="s">
        <v>3</v>
      </c>
      <c r="R3" s="135">
        <v>42391.330185185187</v>
      </c>
      <c r="S3" s="134" t="s">
        <v>56</v>
      </c>
      <c r="T3" s="134"/>
      <c r="U3" s="134" t="s">
        <v>347</v>
      </c>
      <c r="V3" s="134" t="s">
        <v>6</v>
      </c>
      <c r="W3" s="134" t="s">
        <v>30</v>
      </c>
      <c r="X3" s="134" t="s">
        <v>8</v>
      </c>
      <c r="Y3" s="134" t="s">
        <v>38</v>
      </c>
      <c r="Z3" s="134"/>
      <c r="AA3" s="134" t="s">
        <v>7</v>
      </c>
      <c r="AB3" s="134" t="s">
        <v>10</v>
      </c>
      <c r="AC3" s="134" t="s">
        <v>1253</v>
      </c>
      <c r="AD3" s="134" t="s">
        <v>82</v>
      </c>
      <c r="AE3" s="134" t="s">
        <v>7</v>
      </c>
      <c r="AF3" s="134" t="s">
        <v>7</v>
      </c>
      <c r="AG3" s="134" t="s">
        <v>7</v>
      </c>
      <c r="AH3" s="134" t="s">
        <v>7</v>
      </c>
      <c r="AI3" s="134" t="s">
        <v>7</v>
      </c>
      <c r="AJ3" s="134" t="s">
        <v>623</v>
      </c>
      <c r="AK3" s="134" t="s">
        <v>7</v>
      </c>
      <c r="AL3" s="134"/>
      <c r="AM3" s="134" t="s">
        <v>1420</v>
      </c>
    </row>
    <row r="4" spans="1:39" x14ac:dyDescent="0.3">
      <c r="F4" s="138" t="s">
        <v>1458</v>
      </c>
      <c r="G4" s="19" t="str">
        <f t="shared" ref="G4:G20" ca="1" si="0">HYPERLINK(CONCATENATE("https://bugzilla.houston.hpecorp.net:1181/bugzilla/show_bug.cgi?id=",MID(INDIRECT($G$45&amp;ROW()),9,5)),MID(INDIRECT($G$45&amp;ROW()),9,5))</f>
        <v>96715</v>
      </c>
      <c r="H4" s="42">
        <v>96620</v>
      </c>
      <c r="I4" s="134" t="s">
        <v>1413</v>
      </c>
      <c r="J4" s="134" t="s">
        <v>1454</v>
      </c>
      <c r="K4" s="134" t="s">
        <v>2</v>
      </c>
      <c r="L4" s="134" t="s">
        <v>569</v>
      </c>
      <c r="M4" s="134" t="s">
        <v>81</v>
      </c>
      <c r="N4" s="134"/>
      <c r="O4" s="135">
        <v>42689.558171296296</v>
      </c>
      <c r="P4" s="134" t="s">
        <v>4</v>
      </c>
      <c r="Q4" s="134" t="s">
        <v>48</v>
      </c>
      <c r="R4" s="135">
        <v>42395.328229166669</v>
      </c>
      <c r="S4" s="134" t="s">
        <v>638</v>
      </c>
      <c r="T4" s="134"/>
      <c r="U4" s="134" t="s">
        <v>347</v>
      </c>
      <c r="V4" s="134" t="s">
        <v>6</v>
      </c>
      <c r="W4" s="134" t="s">
        <v>30</v>
      </c>
      <c r="X4" s="134" t="s">
        <v>24</v>
      </c>
      <c r="Y4" s="134" t="s">
        <v>31</v>
      </c>
      <c r="Z4" s="134"/>
      <c r="AA4" s="134" t="s">
        <v>7</v>
      </c>
      <c r="AB4" s="134" t="s">
        <v>10</v>
      </c>
      <c r="AC4" s="134" t="s">
        <v>7</v>
      </c>
      <c r="AD4" s="134" t="s">
        <v>82</v>
      </c>
      <c r="AE4" s="134" t="s">
        <v>7</v>
      </c>
      <c r="AF4" s="134" t="s">
        <v>7</v>
      </c>
      <c r="AG4" s="134" t="s">
        <v>7</v>
      </c>
      <c r="AH4" s="134" t="s">
        <v>7</v>
      </c>
      <c r="AI4" s="134" t="s">
        <v>7</v>
      </c>
      <c r="AJ4" s="134" t="s">
        <v>623</v>
      </c>
      <c r="AK4" s="134" t="s">
        <v>1086</v>
      </c>
      <c r="AL4" s="134"/>
      <c r="AM4" s="134" t="s">
        <v>1406</v>
      </c>
    </row>
    <row r="5" spans="1:39" x14ac:dyDescent="0.3">
      <c r="F5" s="118" t="s">
        <v>1456</v>
      </c>
      <c r="G5" s="19" t="str">
        <f t="shared" ca="1" si="0"/>
        <v>75770</v>
      </c>
      <c r="H5" s="42">
        <v>75911</v>
      </c>
      <c r="I5" s="134" t="s">
        <v>1444</v>
      </c>
      <c r="J5" s="134" t="s">
        <v>709</v>
      </c>
      <c r="K5" s="134" t="s">
        <v>2</v>
      </c>
      <c r="L5" s="134" t="s">
        <v>569</v>
      </c>
      <c r="M5" s="134" t="s">
        <v>81</v>
      </c>
      <c r="N5" s="134"/>
      <c r="O5" s="135">
        <v>42675.410960648151</v>
      </c>
      <c r="P5" s="134" t="s">
        <v>20</v>
      </c>
      <c r="Q5" s="134" t="s">
        <v>80</v>
      </c>
      <c r="R5" s="135">
        <v>42426.024108796293</v>
      </c>
      <c r="S5" s="134" t="s">
        <v>116</v>
      </c>
      <c r="T5" s="134"/>
      <c r="U5" s="134" t="s">
        <v>366</v>
      </c>
      <c r="V5" s="134" t="s">
        <v>6</v>
      </c>
      <c r="W5" s="134" t="s">
        <v>30</v>
      </c>
      <c r="X5" s="134" t="s">
        <v>13</v>
      </c>
      <c r="Y5" s="134" t="s">
        <v>19</v>
      </c>
      <c r="Z5" s="134"/>
      <c r="AA5" s="134" t="s">
        <v>7</v>
      </c>
      <c r="AB5" s="134" t="s">
        <v>10</v>
      </c>
      <c r="AC5" s="134" t="s">
        <v>44</v>
      </c>
      <c r="AD5" s="134" t="s">
        <v>82</v>
      </c>
      <c r="AE5" s="134" t="s">
        <v>7</v>
      </c>
      <c r="AF5" s="134" t="s">
        <v>7</v>
      </c>
      <c r="AG5" s="134" t="s">
        <v>7</v>
      </c>
      <c r="AH5" s="134" t="s">
        <v>7</v>
      </c>
      <c r="AI5" s="134" t="s">
        <v>7</v>
      </c>
      <c r="AJ5" s="134" t="s">
        <v>623</v>
      </c>
      <c r="AK5" s="134" t="s">
        <v>1085</v>
      </c>
      <c r="AL5" s="134">
        <v>10375</v>
      </c>
      <c r="AM5" s="134" t="s">
        <v>1420</v>
      </c>
    </row>
    <row r="6" spans="1:39" x14ac:dyDescent="0.3">
      <c r="F6" s="118" t="s">
        <v>1459</v>
      </c>
      <c r="G6" s="19" t="str">
        <f t="shared" ca="1" si="0"/>
        <v>67205</v>
      </c>
      <c r="H6" s="42">
        <v>75649</v>
      </c>
      <c r="I6" s="134" t="s">
        <v>1017</v>
      </c>
      <c r="J6" s="134" t="s">
        <v>1418</v>
      </c>
      <c r="K6" s="134" t="s">
        <v>11</v>
      </c>
      <c r="L6" s="134" t="s">
        <v>569</v>
      </c>
      <c r="M6" s="134" t="s">
        <v>81</v>
      </c>
      <c r="N6" s="134" t="s">
        <v>1130</v>
      </c>
      <c r="O6" s="135">
        <v>42677.845682870371</v>
      </c>
      <c r="P6" s="134" t="s">
        <v>20</v>
      </c>
      <c r="Q6" s="134" t="s">
        <v>1034</v>
      </c>
      <c r="R6" s="135">
        <v>42489.026493055557</v>
      </c>
      <c r="S6" s="134" t="s">
        <v>16</v>
      </c>
      <c r="T6" s="134"/>
      <c r="U6" s="134" t="s">
        <v>366</v>
      </c>
      <c r="V6" s="134" t="s">
        <v>17</v>
      </c>
      <c r="W6" s="134" t="s">
        <v>30</v>
      </c>
      <c r="X6" s="134" t="s">
        <v>13</v>
      </c>
      <c r="Y6" s="134" t="s">
        <v>19</v>
      </c>
      <c r="Z6" s="134"/>
      <c r="AA6" s="134" t="s">
        <v>7</v>
      </c>
      <c r="AB6" s="134" t="s">
        <v>10</v>
      </c>
      <c r="AC6" s="134" t="s">
        <v>1253</v>
      </c>
      <c r="AD6" s="134" t="s">
        <v>82</v>
      </c>
      <c r="AE6" s="134" t="s">
        <v>7</v>
      </c>
      <c r="AF6" s="134" t="s">
        <v>7</v>
      </c>
      <c r="AG6" s="134" t="s">
        <v>7</v>
      </c>
      <c r="AH6" s="134" t="s">
        <v>7</v>
      </c>
      <c r="AI6" s="134" t="s">
        <v>7</v>
      </c>
      <c r="AJ6" s="134" t="s">
        <v>623</v>
      </c>
      <c r="AK6" s="134" t="s">
        <v>7</v>
      </c>
      <c r="AL6" s="134">
        <v>10905</v>
      </c>
      <c r="AM6" s="134" t="s">
        <v>1420</v>
      </c>
    </row>
    <row r="7" spans="1:39" x14ac:dyDescent="0.3">
      <c r="D7" s="118" t="s">
        <v>1460</v>
      </c>
      <c r="F7" s="118" t="s">
        <v>1457</v>
      </c>
      <c r="G7" s="19" t="str">
        <f t="shared" ca="1" si="0"/>
        <v>94906</v>
      </c>
      <c r="H7" s="42">
        <v>95134</v>
      </c>
      <c r="I7" s="134" t="s">
        <v>695</v>
      </c>
      <c r="J7" s="134" t="s">
        <v>1450</v>
      </c>
      <c r="K7" s="134" t="s">
        <v>2</v>
      </c>
      <c r="L7" s="134" t="s">
        <v>569</v>
      </c>
      <c r="M7" s="134" t="s">
        <v>81</v>
      </c>
      <c r="N7" s="134"/>
      <c r="O7" s="135">
        <v>42677.845092592594</v>
      </c>
      <c r="P7" s="134" t="s">
        <v>20</v>
      </c>
      <c r="Q7" s="134" t="s">
        <v>1034</v>
      </c>
      <c r="R7" s="135">
        <v>42494.026886574073</v>
      </c>
      <c r="S7" s="134" t="s">
        <v>16</v>
      </c>
      <c r="T7" s="134"/>
      <c r="U7" s="134" t="s">
        <v>366</v>
      </c>
      <c r="V7" s="134" t="s">
        <v>17</v>
      </c>
      <c r="W7" s="134" t="s">
        <v>30</v>
      </c>
      <c r="X7" s="134" t="s">
        <v>13</v>
      </c>
      <c r="Y7" s="134" t="s">
        <v>19</v>
      </c>
      <c r="Z7" s="134"/>
      <c r="AA7" s="134" t="s">
        <v>7</v>
      </c>
      <c r="AB7" s="134" t="s">
        <v>10</v>
      </c>
      <c r="AC7" s="134" t="s">
        <v>1253</v>
      </c>
      <c r="AD7" s="134" t="s">
        <v>82</v>
      </c>
      <c r="AE7" s="134" t="s">
        <v>7</v>
      </c>
      <c r="AF7" s="134" t="s">
        <v>7</v>
      </c>
      <c r="AG7" s="134" t="s">
        <v>7</v>
      </c>
      <c r="AH7" s="134" t="s">
        <v>7</v>
      </c>
      <c r="AI7" s="134" t="s">
        <v>7</v>
      </c>
      <c r="AJ7" s="134" t="s">
        <v>623</v>
      </c>
      <c r="AK7" s="134" t="s">
        <v>7</v>
      </c>
      <c r="AL7" s="134">
        <v>10938</v>
      </c>
      <c r="AM7" s="134" t="s">
        <v>1420</v>
      </c>
    </row>
    <row r="8" spans="1:39" x14ac:dyDescent="0.3">
      <c r="D8" s="118" t="s">
        <v>1460</v>
      </c>
      <c r="F8" s="118" t="s">
        <v>1461</v>
      </c>
      <c r="G8" s="19" t="str">
        <f t="shared" ca="1" si="0"/>
        <v>95967</v>
      </c>
      <c r="H8" s="42">
        <v>96031</v>
      </c>
      <c r="I8" s="134" t="s">
        <v>1414</v>
      </c>
      <c r="J8" s="134" t="s">
        <v>1451</v>
      </c>
      <c r="K8" s="134" t="s">
        <v>2</v>
      </c>
      <c r="L8" s="134" t="s">
        <v>569</v>
      </c>
      <c r="M8" s="134" t="s">
        <v>81</v>
      </c>
      <c r="N8" s="134"/>
      <c r="O8" s="135">
        <v>42655.555775462963</v>
      </c>
      <c r="P8" s="134" t="s">
        <v>4</v>
      </c>
      <c r="Q8" s="134" t="s">
        <v>1034</v>
      </c>
      <c r="R8" s="135">
        <v>42508.027349537035</v>
      </c>
      <c r="S8" s="134" t="s">
        <v>628</v>
      </c>
      <c r="T8" s="134"/>
      <c r="U8" s="134" t="s">
        <v>366</v>
      </c>
      <c r="V8" s="134" t="s">
        <v>6</v>
      </c>
      <c r="W8" s="134" t="s">
        <v>30</v>
      </c>
      <c r="X8" s="134" t="s">
        <v>13</v>
      </c>
      <c r="Y8" s="134" t="s">
        <v>19</v>
      </c>
      <c r="Z8" s="134"/>
      <c r="AA8" s="134" t="s">
        <v>7</v>
      </c>
      <c r="AB8" s="134" t="s">
        <v>1106</v>
      </c>
      <c r="AC8" s="134" t="s">
        <v>7</v>
      </c>
      <c r="AD8" s="134" t="s">
        <v>82</v>
      </c>
      <c r="AE8" s="134" t="s">
        <v>7</v>
      </c>
      <c r="AF8" s="134" t="s">
        <v>7</v>
      </c>
      <c r="AG8" s="134" t="s">
        <v>7</v>
      </c>
      <c r="AH8" s="134" t="s">
        <v>7</v>
      </c>
      <c r="AI8" s="134" t="s">
        <v>7</v>
      </c>
      <c r="AJ8" s="134" t="s">
        <v>623</v>
      </c>
      <c r="AK8" s="134" t="s">
        <v>1085</v>
      </c>
      <c r="AL8" s="134"/>
      <c r="AM8" s="134" t="s">
        <v>1407</v>
      </c>
    </row>
    <row r="9" spans="1:39" x14ac:dyDescent="0.3">
      <c r="D9" s="118" t="s">
        <v>1460</v>
      </c>
      <c r="F9" s="118" t="s">
        <v>1427</v>
      </c>
      <c r="G9" s="19" t="str">
        <f t="shared" ca="1" si="0"/>
        <v>96452</v>
      </c>
      <c r="H9" s="42">
        <v>96671</v>
      </c>
      <c r="I9" s="134" t="s">
        <v>695</v>
      </c>
      <c r="J9" s="134" t="s">
        <v>1453</v>
      </c>
      <c r="K9" s="134" t="s">
        <v>11</v>
      </c>
      <c r="L9" s="134" t="s">
        <v>569</v>
      </c>
      <c r="M9" s="134" t="s">
        <v>81</v>
      </c>
      <c r="N9" s="134"/>
      <c r="O9" s="135">
        <v>42695.468032407407</v>
      </c>
      <c r="P9" s="134" t="s">
        <v>4</v>
      </c>
      <c r="Q9" s="134" t="s">
        <v>569</v>
      </c>
      <c r="R9" s="135">
        <v>42566.347881944443</v>
      </c>
      <c r="S9" s="134" t="s">
        <v>628</v>
      </c>
      <c r="T9" s="134"/>
      <c r="U9" s="134" t="s">
        <v>366</v>
      </c>
      <c r="V9" s="134" t="s">
        <v>12</v>
      </c>
      <c r="W9" s="134" t="s">
        <v>30</v>
      </c>
      <c r="X9" s="134" t="s">
        <v>8</v>
      </c>
      <c r="Y9" s="134" t="s">
        <v>38</v>
      </c>
      <c r="Z9" s="134"/>
      <c r="AA9" s="134" t="s">
        <v>7</v>
      </c>
      <c r="AB9" s="134" t="s">
        <v>10</v>
      </c>
      <c r="AC9" s="134" t="s">
        <v>44</v>
      </c>
      <c r="AD9" s="134" t="s">
        <v>82</v>
      </c>
      <c r="AE9" s="134" t="s">
        <v>7</v>
      </c>
      <c r="AF9" s="134" t="s">
        <v>7</v>
      </c>
      <c r="AG9" s="134" t="s">
        <v>7</v>
      </c>
      <c r="AH9" s="134" t="s">
        <v>7</v>
      </c>
      <c r="AI9" s="134" t="s">
        <v>7</v>
      </c>
      <c r="AJ9" s="134" t="s">
        <v>623</v>
      </c>
      <c r="AK9" s="134" t="s">
        <v>7</v>
      </c>
      <c r="AL9" s="134"/>
      <c r="AM9" s="134" t="s">
        <v>1424</v>
      </c>
    </row>
    <row r="10" spans="1:39" x14ac:dyDescent="0.3">
      <c r="G10" s="19" t="str">
        <f t="shared" ca="1" si="0"/>
        <v/>
      </c>
      <c r="H10" s="42"/>
      <c r="I10" s="134"/>
      <c r="J10" s="134"/>
      <c r="K10" s="134"/>
      <c r="L10" s="134" t="s">
        <v>569</v>
      </c>
      <c r="M10" s="134" t="s">
        <v>81</v>
      </c>
      <c r="N10" s="134"/>
      <c r="O10" s="135">
        <v>42689.419953703706</v>
      </c>
      <c r="P10" s="134" t="s">
        <v>20</v>
      </c>
      <c r="Q10" s="134" t="s">
        <v>569</v>
      </c>
      <c r="R10" s="135">
        <v>42570.509074074071</v>
      </c>
      <c r="S10" s="134" t="s">
        <v>628</v>
      </c>
      <c r="T10" s="134"/>
      <c r="U10" s="134" t="s">
        <v>366</v>
      </c>
      <c r="V10" s="134" t="s">
        <v>6</v>
      </c>
      <c r="W10" s="134" t="s">
        <v>30</v>
      </c>
      <c r="X10" s="134" t="s">
        <v>8</v>
      </c>
      <c r="Y10" s="134" t="s">
        <v>122</v>
      </c>
      <c r="Z10" s="134"/>
      <c r="AA10" s="134" t="s">
        <v>7</v>
      </c>
      <c r="AB10" s="134" t="s">
        <v>10</v>
      </c>
      <c r="AC10" s="134" t="s">
        <v>7</v>
      </c>
      <c r="AD10" s="134" t="s">
        <v>82</v>
      </c>
      <c r="AE10" s="134" t="s">
        <v>7</v>
      </c>
      <c r="AF10" s="134" t="s">
        <v>7</v>
      </c>
      <c r="AG10" s="134" t="s">
        <v>7</v>
      </c>
      <c r="AH10" s="134" t="s">
        <v>7</v>
      </c>
      <c r="AI10" s="134" t="s">
        <v>7</v>
      </c>
      <c r="AJ10" s="134" t="s">
        <v>623</v>
      </c>
      <c r="AK10" s="134" t="s">
        <v>7</v>
      </c>
      <c r="AL10" s="134"/>
      <c r="AM10" s="134" t="s">
        <v>1409</v>
      </c>
    </row>
    <row r="11" spans="1:39" x14ac:dyDescent="0.3">
      <c r="G11" s="19" t="str">
        <f t="shared" ca="1" si="0"/>
        <v/>
      </c>
      <c r="H11" s="42"/>
      <c r="I11" s="134"/>
      <c r="J11" s="134"/>
      <c r="K11" s="134"/>
      <c r="L11" s="134" t="s">
        <v>569</v>
      </c>
      <c r="M11" s="134" t="s">
        <v>81</v>
      </c>
      <c r="N11" s="134" t="s">
        <v>1249</v>
      </c>
      <c r="O11" s="135">
        <v>42677.844537037039</v>
      </c>
      <c r="P11" s="134" t="s">
        <v>20</v>
      </c>
      <c r="Q11" s="134" t="s">
        <v>80</v>
      </c>
      <c r="R11" s="135">
        <v>42590.50571759259</v>
      </c>
      <c r="S11" s="134" t="s">
        <v>16</v>
      </c>
      <c r="T11" s="134"/>
      <c r="U11" s="134" t="s">
        <v>366</v>
      </c>
      <c r="V11" s="134" t="s">
        <v>17</v>
      </c>
      <c r="W11" s="134" t="s">
        <v>30</v>
      </c>
      <c r="X11" s="134" t="s">
        <v>13</v>
      </c>
      <c r="Y11" s="134" t="s">
        <v>19</v>
      </c>
      <c r="Z11" s="134"/>
      <c r="AA11" s="134" t="s">
        <v>7</v>
      </c>
      <c r="AB11" s="134" t="s">
        <v>10</v>
      </c>
      <c r="AC11" s="134" t="s">
        <v>1253</v>
      </c>
      <c r="AD11" s="134" t="s">
        <v>82</v>
      </c>
      <c r="AE11" s="134" t="s">
        <v>7</v>
      </c>
      <c r="AF11" s="134" t="s">
        <v>7</v>
      </c>
      <c r="AG11" s="134" t="s">
        <v>7</v>
      </c>
      <c r="AH11" s="134" t="s">
        <v>309</v>
      </c>
      <c r="AI11" s="134" t="s">
        <v>7</v>
      </c>
      <c r="AJ11" s="134" t="s">
        <v>623</v>
      </c>
      <c r="AK11" s="134" t="s">
        <v>1085</v>
      </c>
      <c r="AL11" s="134">
        <v>11924</v>
      </c>
      <c r="AM11" s="134" t="s">
        <v>1420</v>
      </c>
    </row>
    <row r="12" spans="1:39" x14ac:dyDescent="0.3">
      <c r="G12" s="19" t="str">
        <f t="shared" ca="1" si="0"/>
        <v/>
      </c>
      <c r="H12" s="42"/>
      <c r="I12" s="134"/>
      <c r="J12" s="134"/>
      <c r="K12" s="134"/>
      <c r="L12" s="134" t="s">
        <v>569</v>
      </c>
      <c r="M12" s="134" t="s">
        <v>81</v>
      </c>
      <c r="N12" s="134" t="s">
        <v>1075</v>
      </c>
      <c r="O12" s="135">
        <v>42675.525821759256</v>
      </c>
      <c r="P12" s="134" t="s">
        <v>159</v>
      </c>
      <c r="Q12" s="134" t="s">
        <v>569</v>
      </c>
      <c r="R12" s="135">
        <v>42613.499328703707</v>
      </c>
      <c r="S12" s="134" t="s">
        <v>600</v>
      </c>
      <c r="T12" s="134"/>
      <c r="U12" s="134" t="s">
        <v>366</v>
      </c>
      <c r="V12" s="134" t="s">
        <v>17</v>
      </c>
      <c r="W12" s="134" t="s">
        <v>30</v>
      </c>
      <c r="X12" s="134" t="s">
        <v>24</v>
      </c>
      <c r="Y12" s="134" t="s">
        <v>47</v>
      </c>
      <c r="Z12" s="134"/>
      <c r="AA12" s="134" t="s">
        <v>7</v>
      </c>
      <c r="AB12" s="134" t="s">
        <v>10</v>
      </c>
      <c r="AC12" s="134" t="s">
        <v>1253</v>
      </c>
      <c r="AD12" s="134" t="s">
        <v>82</v>
      </c>
      <c r="AE12" s="134" t="s">
        <v>7</v>
      </c>
      <c r="AF12" s="134" t="s">
        <v>7</v>
      </c>
      <c r="AG12" s="134" t="s">
        <v>7</v>
      </c>
      <c r="AH12" s="134" t="s">
        <v>7</v>
      </c>
      <c r="AI12" s="134" t="s">
        <v>7</v>
      </c>
      <c r="AJ12" s="134" t="s">
        <v>623</v>
      </c>
      <c r="AK12" s="134" t="s">
        <v>7</v>
      </c>
      <c r="AL12" s="134"/>
      <c r="AM12" s="134" t="s">
        <v>1421</v>
      </c>
    </row>
    <row r="13" spans="1:39" x14ac:dyDescent="0.3">
      <c r="G13" s="19" t="str">
        <f t="shared" ca="1" si="0"/>
        <v/>
      </c>
      <c r="H13" s="42"/>
      <c r="I13" s="134"/>
      <c r="J13" s="134"/>
      <c r="K13" s="134"/>
      <c r="L13" s="134" t="s">
        <v>569</v>
      </c>
      <c r="M13" s="134" t="s">
        <v>81</v>
      </c>
      <c r="N13" s="134" t="s">
        <v>1075</v>
      </c>
      <c r="O13" s="135">
        <v>42695.418402777781</v>
      </c>
      <c r="P13" s="134" t="s">
        <v>4</v>
      </c>
      <c r="Q13" s="134" t="s">
        <v>569</v>
      </c>
      <c r="R13" s="135">
        <v>42635.303159722222</v>
      </c>
      <c r="S13" s="134" t="s">
        <v>600</v>
      </c>
      <c r="T13" s="134"/>
      <c r="U13" s="134" t="s">
        <v>366</v>
      </c>
      <c r="V13" s="134" t="s">
        <v>17</v>
      </c>
      <c r="W13" s="134" t="s">
        <v>30</v>
      </c>
      <c r="X13" s="134" t="s">
        <v>13</v>
      </c>
      <c r="Y13" s="134" t="s">
        <v>292</v>
      </c>
      <c r="Z13" s="134"/>
      <c r="AA13" s="134" t="s">
        <v>7</v>
      </c>
      <c r="AB13" s="134" t="s">
        <v>10</v>
      </c>
      <c r="AC13" s="134" t="s">
        <v>7</v>
      </c>
      <c r="AD13" s="134" t="s">
        <v>82</v>
      </c>
      <c r="AE13" s="134" t="s">
        <v>7</v>
      </c>
      <c r="AF13" s="134" t="s">
        <v>7</v>
      </c>
      <c r="AG13" s="134" t="s">
        <v>7</v>
      </c>
      <c r="AH13" s="134" t="s">
        <v>7</v>
      </c>
      <c r="AI13" s="134" t="s">
        <v>7</v>
      </c>
      <c r="AJ13" s="134" t="s">
        <v>623</v>
      </c>
      <c r="AK13" s="134" t="s">
        <v>7</v>
      </c>
      <c r="AL13" s="134"/>
      <c r="AM13" s="134" t="s">
        <v>1408</v>
      </c>
    </row>
    <row r="14" spans="1:39" x14ac:dyDescent="0.3">
      <c r="G14" s="19" t="str">
        <f t="shared" ca="1" si="0"/>
        <v/>
      </c>
      <c r="H14" s="42"/>
      <c r="I14" s="134"/>
      <c r="J14" s="134"/>
      <c r="K14" s="134"/>
      <c r="L14" s="134" t="s">
        <v>569</v>
      </c>
      <c r="M14" s="134" t="s">
        <v>81</v>
      </c>
      <c r="N14" s="134" t="s">
        <v>1412</v>
      </c>
      <c r="O14" s="135">
        <v>42675.536493055559</v>
      </c>
      <c r="P14" s="134" t="s">
        <v>4</v>
      </c>
      <c r="Q14" s="134" t="s">
        <v>80</v>
      </c>
      <c r="R14" s="135">
        <v>42660.449803240743</v>
      </c>
      <c r="S14" s="134" t="s">
        <v>628</v>
      </c>
      <c r="T14" s="134"/>
      <c r="U14" s="134" t="s">
        <v>366</v>
      </c>
      <c r="V14" s="134" t="s">
        <v>6</v>
      </c>
      <c r="W14" s="134" t="s">
        <v>30</v>
      </c>
      <c r="X14" s="134" t="s">
        <v>24</v>
      </c>
      <c r="Y14" s="134" t="s">
        <v>47</v>
      </c>
      <c r="Z14" s="134"/>
      <c r="AA14" s="134" t="s">
        <v>7</v>
      </c>
      <c r="AB14" s="134" t="s">
        <v>10</v>
      </c>
      <c r="AC14" s="134" t="s">
        <v>1253</v>
      </c>
      <c r="AD14" s="134" t="s">
        <v>82</v>
      </c>
      <c r="AE14" s="134" t="s">
        <v>7</v>
      </c>
      <c r="AF14" s="134" t="s">
        <v>7</v>
      </c>
      <c r="AG14" s="134" t="s">
        <v>7</v>
      </c>
      <c r="AH14" s="134" t="s">
        <v>7</v>
      </c>
      <c r="AI14" s="134" t="s">
        <v>7</v>
      </c>
      <c r="AJ14" s="134" t="s">
        <v>623</v>
      </c>
      <c r="AK14" s="134" t="s">
        <v>7</v>
      </c>
      <c r="AL14" s="134"/>
      <c r="AM14" s="134" t="s">
        <v>1422</v>
      </c>
    </row>
    <row r="15" spans="1:39" x14ac:dyDescent="0.3">
      <c r="G15" s="19" t="str">
        <f t="shared" ca="1" si="0"/>
        <v/>
      </c>
      <c r="O15" s="119"/>
      <c r="R15" s="119"/>
    </row>
    <row r="16" spans="1:39" x14ac:dyDescent="0.3">
      <c r="G16" s="19" t="str">
        <f t="shared" ca="1" si="0"/>
        <v/>
      </c>
      <c r="O16" s="119"/>
      <c r="R16" s="119"/>
    </row>
    <row r="17" spans="7:18" x14ac:dyDescent="0.3">
      <c r="G17" s="19" t="str">
        <f t="shared" ca="1" si="0"/>
        <v/>
      </c>
      <c r="O17" s="119"/>
      <c r="R17" s="119"/>
    </row>
    <row r="18" spans="7:18" x14ac:dyDescent="0.3">
      <c r="G18" s="19" t="str">
        <f t="shared" ca="1" si="0"/>
        <v/>
      </c>
      <c r="O18" s="119"/>
      <c r="R18" s="119"/>
    </row>
    <row r="19" spans="7:18" x14ac:dyDescent="0.3">
      <c r="G19" s="19" t="str">
        <f t="shared" ca="1" si="0"/>
        <v/>
      </c>
      <c r="O19" s="119"/>
      <c r="R19" s="119"/>
    </row>
    <row r="20" spans="7:18" x14ac:dyDescent="0.3">
      <c r="G20" s="19" t="str">
        <f t="shared" ca="1" si="0"/>
        <v/>
      </c>
      <c r="O20" s="119"/>
      <c r="R20" s="119"/>
    </row>
    <row r="21" spans="7:18" x14ac:dyDescent="0.3">
      <c r="G21" s="19" t="str">
        <f t="shared" ref="G21:G42" ca="1" si="1">HYPERLINK(CONCATENATE("https://bugzilla.houston.hp.com:1181/bugzilla/show_bug.cgi?id=",MID(INDIRECT($G$45&amp;ROW()),9,5)),MID(INDIRECT($G$45&amp;ROW()),9,5))</f>
        <v/>
      </c>
      <c r="O21" s="119"/>
      <c r="R21" s="119"/>
    </row>
    <row r="22" spans="7:18" x14ac:dyDescent="0.3">
      <c r="G22" s="19" t="str">
        <f t="shared" ca="1" si="1"/>
        <v/>
      </c>
      <c r="O22" s="119"/>
      <c r="R22" s="119"/>
    </row>
    <row r="23" spans="7:18" x14ac:dyDescent="0.3">
      <c r="G23" s="19" t="str">
        <f t="shared" ca="1" si="1"/>
        <v/>
      </c>
      <c r="O23" s="119"/>
      <c r="R23" s="119"/>
    </row>
    <row r="24" spans="7:18" x14ac:dyDescent="0.3">
      <c r="G24" s="19" t="str">
        <f t="shared" ca="1" si="1"/>
        <v/>
      </c>
      <c r="O24" s="119"/>
      <c r="R24" s="119"/>
    </row>
    <row r="25" spans="7:18" x14ac:dyDescent="0.3">
      <c r="G25" s="19" t="str">
        <f t="shared" ca="1" si="1"/>
        <v/>
      </c>
      <c r="O25" s="119"/>
      <c r="R25" s="119"/>
    </row>
    <row r="26" spans="7:18" x14ac:dyDescent="0.3">
      <c r="G26" s="19" t="str">
        <f t="shared" ca="1" si="1"/>
        <v/>
      </c>
      <c r="O26" s="119"/>
      <c r="R26" s="119"/>
    </row>
    <row r="27" spans="7:18" x14ac:dyDescent="0.3">
      <c r="G27" s="19" t="str">
        <f t="shared" ca="1" si="1"/>
        <v/>
      </c>
      <c r="O27" s="119"/>
      <c r="R27" s="119"/>
    </row>
    <row r="28" spans="7:18" x14ac:dyDescent="0.3">
      <c r="G28" s="19" t="str">
        <f t="shared" ca="1" si="1"/>
        <v/>
      </c>
      <c r="O28" s="119"/>
      <c r="R28" s="119"/>
    </row>
    <row r="29" spans="7:18" x14ac:dyDescent="0.3">
      <c r="G29" s="19" t="str">
        <f t="shared" ca="1" si="1"/>
        <v/>
      </c>
      <c r="O29" s="119"/>
      <c r="R29" s="119"/>
    </row>
    <row r="30" spans="7:18" x14ac:dyDescent="0.3">
      <c r="G30" s="19" t="str">
        <f t="shared" ca="1" si="1"/>
        <v/>
      </c>
      <c r="O30" s="119"/>
      <c r="R30" s="119"/>
    </row>
    <row r="31" spans="7:18" x14ac:dyDescent="0.3">
      <c r="G31" s="19" t="str">
        <f t="shared" ca="1" si="1"/>
        <v/>
      </c>
      <c r="O31" s="119"/>
      <c r="R31" s="119"/>
    </row>
    <row r="32" spans="7:18" x14ac:dyDescent="0.3">
      <c r="G32" s="19" t="str">
        <f t="shared" ca="1" si="1"/>
        <v/>
      </c>
      <c r="O32" s="119"/>
      <c r="R32" s="119"/>
    </row>
    <row r="33" spans="1:18" x14ac:dyDescent="0.3">
      <c r="G33" s="19" t="str">
        <f t="shared" ca="1" si="1"/>
        <v/>
      </c>
      <c r="O33" s="119"/>
      <c r="R33" s="119"/>
    </row>
    <row r="34" spans="1:18" x14ac:dyDescent="0.3">
      <c r="G34" s="19" t="str">
        <f t="shared" ca="1" si="1"/>
        <v/>
      </c>
      <c r="O34" s="119"/>
      <c r="R34" s="119"/>
    </row>
    <row r="35" spans="1:18" x14ac:dyDescent="0.3">
      <c r="G35" s="19" t="str">
        <f t="shared" ca="1" si="1"/>
        <v/>
      </c>
      <c r="O35" s="119"/>
      <c r="R35" s="119"/>
    </row>
    <row r="36" spans="1:18" x14ac:dyDescent="0.3">
      <c r="G36" s="19" t="str">
        <f t="shared" ca="1" si="1"/>
        <v/>
      </c>
      <c r="O36" s="119"/>
      <c r="R36" s="119"/>
    </row>
    <row r="37" spans="1:18" x14ac:dyDescent="0.3">
      <c r="G37" s="19" t="str">
        <f t="shared" ca="1" si="1"/>
        <v/>
      </c>
      <c r="O37" s="119"/>
      <c r="R37" s="119"/>
    </row>
    <row r="38" spans="1:18" x14ac:dyDescent="0.3">
      <c r="G38" s="19" t="str">
        <f t="shared" ca="1" si="1"/>
        <v/>
      </c>
      <c r="O38" s="119"/>
      <c r="R38" s="119"/>
    </row>
    <row r="39" spans="1:18" x14ac:dyDescent="0.3">
      <c r="G39" s="19" t="str">
        <f t="shared" ca="1" si="1"/>
        <v/>
      </c>
      <c r="O39" s="119"/>
      <c r="R39" s="119"/>
    </row>
    <row r="40" spans="1:18" x14ac:dyDescent="0.3">
      <c r="G40" s="19" t="str">
        <f t="shared" ca="1" si="1"/>
        <v/>
      </c>
      <c r="O40" s="119"/>
      <c r="R40" s="119"/>
    </row>
    <row r="41" spans="1:18" x14ac:dyDescent="0.3">
      <c r="G41" s="19" t="str">
        <f t="shared" ca="1" si="1"/>
        <v/>
      </c>
      <c r="O41" s="119"/>
      <c r="R41" s="119"/>
    </row>
    <row r="42" spans="1:18" x14ac:dyDescent="0.3">
      <c r="G42" s="19" t="str">
        <f t="shared" ca="1" si="1"/>
        <v/>
      </c>
      <c r="O42" s="119"/>
      <c r="R42" s="119"/>
    </row>
    <row r="43" spans="1:18" x14ac:dyDescent="0.3">
      <c r="G43" s="19"/>
      <c r="O43" s="119"/>
      <c r="R43" s="119"/>
    </row>
    <row r="45" spans="1:18" x14ac:dyDescent="0.3">
      <c r="A45" s="118">
        <f>COUNTIF(A2:A42,"y")</f>
        <v>0</v>
      </c>
      <c r="D45" s="118">
        <f>SUBTOTAL(3,C2:C42)</f>
        <v>0</v>
      </c>
      <c r="G45" s="118" t="s">
        <v>142</v>
      </c>
      <c r="H45" s="118" t="s">
        <v>1251</v>
      </c>
    </row>
    <row r="48" spans="1:18" x14ac:dyDescent="0.3">
      <c r="G48" s="19" t="s">
        <v>708</v>
      </c>
    </row>
    <row r="50" spans="1:19" x14ac:dyDescent="0.3">
      <c r="G50" s="118" t="s">
        <v>1330</v>
      </c>
    </row>
    <row r="55" spans="1:19" x14ac:dyDescent="0.3">
      <c r="D55" s="118" t="s">
        <v>206</v>
      </c>
      <c r="G55" s="19" t="str">
        <f ca="1">HYPERLINK(CONCATENATE("https://bugzilla.houston.hp.com:1181/bugzilla/show_bug.cgi?id=",MID(INDIRECT($G$45&amp;ROW()),9,5)),MID(INDIRECT($G$45&amp;ROW()),9,5))</f>
        <v/>
      </c>
      <c r="O55" s="34"/>
      <c r="S55" s="34"/>
    </row>
    <row r="57" spans="1:19" x14ac:dyDescent="0.3">
      <c r="A57" s="36" t="s">
        <v>247</v>
      </c>
      <c r="G57" s="19"/>
      <c r="O57" s="119"/>
      <c r="R57" s="119"/>
    </row>
    <row r="58" spans="1:19" x14ac:dyDescent="0.3">
      <c r="A58" s="40" t="s">
        <v>290</v>
      </c>
      <c r="G58" s="19"/>
      <c r="O58" s="119"/>
      <c r="R58" s="119"/>
    </row>
    <row r="59" spans="1:19" x14ac:dyDescent="0.3">
      <c r="A59" s="118" t="s">
        <v>294</v>
      </c>
      <c r="G59" s="19"/>
      <c r="O59" s="119"/>
      <c r="R59" s="119"/>
    </row>
    <row r="60" spans="1:19" x14ac:dyDescent="0.3">
      <c r="A60" s="118" t="s">
        <v>300</v>
      </c>
      <c r="G60" s="19"/>
      <c r="O60" s="119"/>
      <c r="R60" s="119"/>
    </row>
    <row r="61" spans="1:19" x14ac:dyDescent="0.3">
      <c r="G61" s="19"/>
      <c r="O61" s="119"/>
      <c r="R61" s="119"/>
    </row>
    <row r="62" spans="1:19" x14ac:dyDescent="0.3">
      <c r="G62" s="19"/>
      <c r="O62" s="119"/>
      <c r="R62" s="119"/>
    </row>
    <row r="64" spans="1:19" x14ac:dyDescent="0.3">
      <c r="G64" s="2" t="s">
        <v>260</v>
      </c>
    </row>
    <row r="65" spans="7:10" x14ac:dyDescent="0.3">
      <c r="G65" s="2" t="s">
        <v>261</v>
      </c>
    </row>
    <row r="66" spans="7:10" x14ac:dyDescent="0.3">
      <c r="G66" s="2" t="s">
        <v>262</v>
      </c>
    </row>
    <row r="67" spans="7:10" x14ac:dyDescent="0.3">
      <c r="G67" s="2" t="s">
        <v>263</v>
      </c>
    </row>
    <row r="68" spans="7:10" x14ac:dyDescent="0.3">
      <c r="G68" s="2" t="s">
        <v>264</v>
      </c>
    </row>
    <row r="74" spans="7:10" x14ac:dyDescent="0.3">
      <c r="J74" s="118" t="s">
        <v>1437</v>
      </c>
    </row>
    <row r="75" spans="7:10" x14ac:dyDescent="0.3">
      <c r="I75" s="118" t="s">
        <v>1158</v>
      </c>
      <c r="J75" s="134" t="s">
        <v>663</v>
      </c>
    </row>
    <row r="76" spans="7:10" x14ac:dyDescent="0.3">
      <c r="I76" s="118" t="s">
        <v>1158</v>
      </c>
      <c r="J76" s="134" t="s">
        <v>986</v>
      </c>
    </row>
    <row r="77" spans="7:10" x14ac:dyDescent="0.3">
      <c r="I77" s="118" t="s">
        <v>1158</v>
      </c>
      <c r="J77" s="134" t="s">
        <v>1082</v>
      </c>
    </row>
    <row r="78" spans="7:10" x14ac:dyDescent="0.3">
      <c r="I78" s="118" t="s">
        <v>1158</v>
      </c>
      <c r="J78" s="134" t="s">
        <v>1090</v>
      </c>
    </row>
    <row r="79" spans="7:10" x14ac:dyDescent="0.3">
      <c r="I79" s="118" t="s">
        <v>1158</v>
      </c>
      <c r="J79" s="134" t="s">
        <v>1237</v>
      </c>
    </row>
    <row r="82" spans="7:39" x14ac:dyDescent="0.3">
      <c r="J82" t="s">
        <v>1438</v>
      </c>
    </row>
    <row r="84" spans="7:39" x14ac:dyDescent="0.3">
      <c r="H84" s="134" t="s">
        <v>145</v>
      </c>
      <c r="I84" s="134" t="s">
        <v>57</v>
      </c>
      <c r="J84" s="134" t="s">
        <v>58</v>
      </c>
      <c r="K84" s="134" t="s">
        <v>59</v>
      </c>
      <c r="L84" s="134" t="s">
        <v>60</v>
      </c>
      <c r="M84" s="134" t="s">
        <v>61</v>
      </c>
      <c r="N84" s="134" t="s">
        <v>62</v>
      </c>
      <c r="O84" s="134" t="s">
        <v>63</v>
      </c>
      <c r="P84" s="134" t="s">
        <v>64</v>
      </c>
      <c r="Q84" s="134" t="s">
        <v>65</v>
      </c>
      <c r="R84" s="134" t="s">
        <v>66</v>
      </c>
      <c r="S84" s="134" t="s">
        <v>67</v>
      </c>
      <c r="T84" s="134" t="s">
        <v>68</v>
      </c>
      <c r="U84" s="134" t="s">
        <v>69</v>
      </c>
      <c r="V84" s="134" t="s">
        <v>70</v>
      </c>
      <c r="W84" s="134" t="s">
        <v>71</v>
      </c>
      <c r="X84" s="134" t="s">
        <v>72</v>
      </c>
      <c r="Y84" s="134" t="s">
        <v>73</v>
      </c>
      <c r="Z84" s="134" t="s">
        <v>74</v>
      </c>
      <c r="AA84" s="134" t="s">
        <v>75</v>
      </c>
      <c r="AB84" s="134" t="s">
        <v>76</v>
      </c>
      <c r="AC84" s="134" t="s">
        <v>1244</v>
      </c>
      <c r="AD84" s="134" t="s">
        <v>78</v>
      </c>
      <c r="AE84" s="134" t="s">
        <v>79</v>
      </c>
      <c r="AF84" s="134" t="s">
        <v>615</v>
      </c>
      <c r="AG84" s="134" t="s">
        <v>308</v>
      </c>
      <c r="AH84" s="134" t="s">
        <v>307</v>
      </c>
      <c r="AI84" s="134" t="s">
        <v>621</v>
      </c>
      <c r="AJ84" s="134" t="s">
        <v>622</v>
      </c>
      <c r="AK84" s="134" t="s">
        <v>1084</v>
      </c>
      <c r="AL84" s="134" t="s">
        <v>580</v>
      </c>
      <c r="AM84" s="134" t="s">
        <v>1191</v>
      </c>
    </row>
    <row r="85" spans="7:39" x14ac:dyDescent="0.3">
      <c r="G85" s="118" t="str">
        <f t="shared" ref="G85:G90" ca="1" si="2">HYPERLINK(CONCATENATE("https://bugzilla.houston.hpecorp.net:1181/bugzilla/show_bug.cgi?id=",MID(INDIRECT($G$45&amp;ROW()),9,5)),MID(INDIRECT($G$45&amp;ROW()),9,5))</f>
        <v>91565</v>
      </c>
      <c r="H85" s="42">
        <v>91628</v>
      </c>
      <c r="I85" s="134" t="s">
        <v>336</v>
      </c>
      <c r="J85" s="77" t="s">
        <v>1425</v>
      </c>
      <c r="K85" s="134" t="s">
        <v>11</v>
      </c>
      <c r="L85" s="134" t="s">
        <v>569</v>
      </c>
      <c r="M85" s="134" t="s">
        <v>81</v>
      </c>
      <c r="N85" s="134" t="s">
        <v>1428</v>
      </c>
      <c r="O85" s="135">
        <v>42747.3440162037</v>
      </c>
      <c r="P85" s="134" t="s">
        <v>20</v>
      </c>
      <c r="Q85" s="134" t="s">
        <v>1397</v>
      </c>
      <c r="R85" s="135">
        <v>42675.623692129629</v>
      </c>
      <c r="S85" s="134" t="s">
        <v>16</v>
      </c>
      <c r="T85" s="134"/>
      <c r="U85" s="134" t="s">
        <v>366</v>
      </c>
      <c r="V85" s="134" t="s">
        <v>17</v>
      </c>
      <c r="W85" s="134" t="s">
        <v>30</v>
      </c>
      <c r="X85" s="134" t="s">
        <v>13</v>
      </c>
      <c r="Y85" s="134" t="s">
        <v>19</v>
      </c>
      <c r="Z85" s="134"/>
      <c r="AA85" s="134" t="s">
        <v>7</v>
      </c>
      <c r="AB85" s="134" t="s">
        <v>89</v>
      </c>
      <c r="AC85" s="134" t="s">
        <v>7</v>
      </c>
      <c r="AD85" s="134" t="s">
        <v>82</v>
      </c>
      <c r="AE85" s="134" t="s">
        <v>7</v>
      </c>
      <c r="AF85" s="134" t="s">
        <v>7</v>
      </c>
      <c r="AG85" s="134" t="s">
        <v>7</v>
      </c>
      <c r="AH85" s="134" t="s">
        <v>7</v>
      </c>
      <c r="AI85" s="134" t="s">
        <v>7</v>
      </c>
      <c r="AJ85" s="134" t="s">
        <v>623</v>
      </c>
      <c r="AK85" s="134" t="s">
        <v>7</v>
      </c>
      <c r="AL85" s="134">
        <v>12271</v>
      </c>
      <c r="AM85" s="134" t="s">
        <v>1439</v>
      </c>
    </row>
    <row r="86" spans="7:39" x14ac:dyDescent="0.3">
      <c r="G86" s="134" t="str">
        <f t="shared" ca="1" si="2"/>
        <v>92075</v>
      </c>
      <c r="H86" s="42">
        <v>92080</v>
      </c>
      <c r="I86" s="134" t="s">
        <v>332</v>
      </c>
      <c r="J86" s="77" t="s">
        <v>1426</v>
      </c>
      <c r="K86" s="134" t="s">
        <v>2</v>
      </c>
      <c r="L86" s="134" t="s">
        <v>569</v>
      </c>
      <c r="M86" s="134" t="s">
        <v>81</v>
      </c>
      <c r="N86" s="134" t="s">
        <v>666</v>
      </c>
      <c r="O86" s="135">
        <v>42739.4374537037</v>
      </c>
      <c r="P86" s="134" t="s">
        <v>4</v>
      </c>
      <c r="Q86" s="134" t="s">
        <v>569</v>
      </c>
      <c r="R86" s="135">
        <v>42683.658645833333</v>
      </c>
      <c r="S86" s="134" t="s">
        <v>628</v>
      </c>
      <c r="T86" s="134"/>
      <c r="U86" s="134" t="s">
        <v>366</v>
      </c>
      <c r="V86" s="134" t="s">
        <v>6</v>
      </c>
      <c r="W86" s="134" t="s">
        <v>30</v>
      </c>
      <c r="X86" s="134" t="s">
        <v>8</v>
      </c>
      <c r="Y86" s="134" t="s">
        <v>38</v>
      </c>
      <c r="Z86" s="134"/>
      <c r="AA86" s="134" t="s">
        <v>7</v>
      </c>
      <c r="AB86" s="134" t="s">
        <v>10</v>
      </c>
      <c r="AC86" s="134" t="s">
        <v>7</v>
      </c>
      <c r="AD86" s="134" t="s">
        <v>82</v>
      </c>
      <c r="AE86" s="134" t="s">
        <v>7</v>
      </c>
      <c r="AF86" s="134" t="s">
        <v>7</v>
      </c>
      <c r="AG86" s="134" t="s">
        <v>7</v>
      </c>
      <c r="AH86" s="134" t="s">
        <v>7</v>
      </c>
      <c r="AI86" s="134" t="s">
        <v>7</v>
      </c>
      <c r="AJ86" s="134" t="s">
        <v>623</v>
      </c>
      <c r="AK86" s="134" t="s">
        <v>7</v>
      </c>
      <c r="AL86" s="134"/>
      <c r="AM86" s="134" t="s">
        <v>1440</v>
      </c>
    </row>
    <row r="87" spans="7:39" x14ac:dyDescent="0.3">
      <c r="G87" s="134" t="str">
        <f t="shared" ca="1" si="2"/>
        <v>93460</v>
      </c>
      <c r="H87" s="42">
        <v>93597</v>
      </c>
      <c r="I87" s="134" t="s">
        <v>695</v>
      </c>
      <c r="J87" s="77" t="s">
        <v>1429</v>
      </c>
      <c r="K87" s="134" t="s">
        <v>2</v>
      </c>
      <c r="L87" s="134" t="s">
        <v>569</v>
      </c>
      <c r="M87" s="134" t="s">
        <v>1017</v>
      </c>
      <c r="N87" s="134"/>
      <c r="O87" s="135">
        <v>42747.205497685187</v>
      </c>
      <c r="P87" s="134" t="s">
        <v>4</v>
      </c>
      <c r="Q87" s="134" t="s">
        <v>1430</v>
      </c>
      <c r="R87" s="135">
        <v>42716.119120370371</v>
      </c>
      <c r="S87" s="134" t="s">
        <v>1370</v>
      </c>
      <c r="T87" s="134"/>
      <c r="U87" s="134" t="s">
        <v>366</v>
      </c>
      <c r="V87" s="134" t="s">
        <v>17</v>
      </c>
      <c r="W87" s="134" t="s">
        <v>30</v>
      </c>
      <c r="X87" s="134" t="s">
        <v>8</v>
      </c>
      <c r="Y87" s="134" t="s">
        <v>153</v>
      </c>
      <c r="Z87" s="134"/>
      <c r="AA87" s="134" t="s">
        <v>7</v>
      </c>
      <c r="AB87" s="134" t="s">
        <v>10</v>
      </c>
      <c r="AC87" s="134" t="s">
        <v>7</v>
      </c>
      <c r="AD87" s="134" t="s">
        <v>82</v>
      </c>
      <c r="AE87" s="134" t="s">
        <v>7</v>
      </c>
      <c r="AF87" s="134" t="s">
        <v>7</v>
      </c>
      <c r="AG87" s="134" t="s">
        <v>7</v>
      </c>
      <c r="AH87" s="134" t="s">
        <v>7</v>
      </c>
      <c r="AI87" s="134" t="s">
        <v>1446</v>
      </c>
      <c r="AJ87" s="134" t="s">
        <v>623</v>
      </c>
      <c r="AK87" s="134" t="s">
        <v>7</v>
      </c>
      <c r="AL87" s="134"/>
      <c r="AM87" s="134" t="s">
        <v>1441</v>
      </c>
    </row>
    <row r="88" spans="7:39" x14ac:dyDescent="0.3">
      <c r="G88" s="134" t="str">
        <f t="shared" ca="1" si="2"/>
        <v>94041</v>
      </c>
      <c r="H88" s="42">
        <v>94187</v>
      </c>
      <c r="I88" s="134" t="s">
        <v>1443</v>
      </c>
      <c r="J88" s="77" t="s">
        <v>1442</v>
      </c>
      <c r="K88" s="134" t="s">
        <v>2</v>
      </c>
      <c r="L88" s="134" t="s">
        <v>569</v>
      </c>
      <c r="M88" s="134" t="s">
        <v>81</v>
      </c>
      <c r="N88" s="134" t="s">
        <v>1445</v>
      </c>
      <c r="O88" s="135">
        <v>42747.346620370372</v>
      </c>
      <c r="P88" s="134" t="s">
        <v>4</v>
      </c>
      <c r="Q88" s="134" t="s">
        <v>1034</v>
      </c>
      <c r="R88" s="135">
        <v>42739.996388888889</v>
      </c>
      <c r="S88" s="134" t="s">
        <v>16</v>
      </c>
      <c r="T88" s="134"/>
      <c r="U88" s="134" t="s">
        <v>366</v>
      </c>
      <c r="V88" s="134" t="s">
        <v>6</v>
      </c>
      <c r="W88" s="134" t="s">
        <v>30</v>
      </c>
      <c r="X88" s="134" t="s">
        <v>13</v>
      </c>
      <c r="Y88" s="134" t="s">
        <v>292</v>
      </c>
      <c r="Z88" s="134"/>
      <c r="AA88" s="134" t="s">
        <v>7</v>
      </c>
      <c r="AB88" s="134" t="s">
        <v>89</v>
      </c>
      <c r="AC88" s="134" t="s">
        <v>7</v>
      </c>
      <c r="AD88" s="134" t="s">
        <v>82</v>
      </c>
      <c r="AE88" s="134" t="s">
        <v>7</v>
      </c>
      <c r="AF88" s="134" t="s">
        <v>7</v>
      </c>
      <c r="AG88" s="134" t="s">
        <v>7</v>
      </c>
      <c r="AH88" s="134" t="s">
        <v>7</v>
      </c>
      <c r="AI88" s="134" t="s">
        <v>7</v>
      </c>
      <c r="AJ88" s="134" t="s">
        <v>623</v>
      </c>
      <c r="AK88" s="134" t="s">
        <v>1085</v>
      </c>
      <c r="AL88" s="134"/>
      <c r="AM88" s="134"/>
    </row>
    <row r="89" spans="7:39" x14ac:dyDescent="0.3">
      <c r="G89" s="134" t="str">
        <f t="shared" ca="1" si="2"/>
        <v/>
      </c>
      <c r="H89" s="42"/>
      <c r="I89" s="134"/>
      <c r="J89" s="134"/>
      <c r="K89" s="134"/>
      <c r="L89" s="134" t="s">
        <v>569</v>
      </c>
      <c r="M89" s="134" t="s">
        <v>81</v>
      </c>
      <c r="N89" s="134"/>
      <c r="O89" s="135">
        <v>42709.960381944446</v>
      </c>
      <c r="P89" s="134" t="s">
        <v>20</v>
      </c>
      <c r="Q89" s="134" t="s">
        <v>569</v>
      </c>
      <c r="R89" s="135">
        <v>42570.509074074071</v>
      </c>
      <c r="S89" s="134" t="s">
        <v>628</v>
      </c>
      <c r="T89" s="134"/>
      <c r="U89" s="134"/>
      <c r="V89" s="134"/>
      <c r="W89" s="134" t="s">
        <v>30</v>
      </c>
      <c r="X89" s="134" t="s">
        <v>8</v>
      </c>
      <c r="Y89" s="134" t="s">
        <v>122</v>
      </c>
      <c r="Z89" s="134"/>
      <c r="AA89" s="134" t="s">
        <v>7</v>
      </c>
      <c r="AB89" s="134" t="s">
        <v>10</v>
      </c>
      <c r="AC89" s="134"/>
      <c r="AD89" s="134" t="s">
        <v>82</v>
      </c>
      <c r="AE89" s="134" t="s">
        <v>7</v>
      </c>
      <c r="AF89" s="134" t="s">
        <v>7</v>
      </c>
      <c r="AG89" s="134" t="s">
        <v>7</v>
      </c>
      <c r="AH89" s="134" t="s">
        <v>7</v>
      </c>
      <c r="AI89" s="134" t="s">
        <v>7</v>
      </c>
      <c r="AJ89" s="134" t="s">
        <v>623</v>
      </c>
      <c r="AK89" s="134"/>
      <c r="AL89" s="134"/>
      <c r="AM89" s="134"/>
    </row>
    <row r="90" spans="7:39" x14ac:dyDescent="0.3">
      <c r="G90" s="134" t="str">
        <f t="shared" ca="1" si="2"/>
        <v/>
      </c>
      <c r="H90" s="42"/>
      <c r="I90" s="134"/>
      <c r="J90" s="134"/>
      <c r="K90" s="134"/>
      <c r="L90" s="134" t="s">
        <v>569</v>
      </c>
      <c r="M90" s="134" t="s">
        <v>81</v>
      </c>
      <c r="N90" s="134"/>
      <c r="O90" s="135">
        <v>42709.944918981484</v>
      </c>
      <c r="P90" s="134" t="s">
        <v>4</v>
      </c>
      <c r="Q90" s="134" t="s">
        <v>569</v>
      </c>
      <c r="R90" s="135">
        <v>42635.303159722222</v>
      </c>
      <c r="S90" s="134" t="s">
        <v>600</v>
      </c>
      <c r="T90" s="134"/>
      <c r="U90" s="134"/>
      <c r="V90" s="134"/>
      <c r="W90" s="134" t="s">
        <v>30</v>
      </c>
      <c r="X90" s="134" t="s">
        <v>13</v>
      </c>
      <c r="Y90" s="134" t="s">
        <v>19</v>
      </c>
      <c r="Z90" s="134"/>
      <c r="AA90" s="134" t="s">
        <v>7</v>
      </c>
      <c r="AB90" s="134" t="s">
        <v>10</v>
      </c>
      <c r="AC90" s="134"/>
      <c r="AD90" s="134" t="s">
        <v>82</v>
      </c>
      <c r="AE90" s="134" t="s">
        <v>7</v>
      </c>
      <c r="AF90" s="134" t="s">
        <v>7</v>
      </c>
      <c r="AG90" s="134" t="s">
        <v>7</v>
      </c>
      <c r="AH90" s="134" t="s">
        <v>7</v>
      </c>
      <c r="AI90" s="134" t="s">
        <v>7</v>
      </c>
      <c r="AJ90" s="134" t="s">
        <v>623</v>
      </c>
      <c r="AK90" s="134"/>
      <c r="AL90" s="134"/>
      <c r="AM90" s="134"/>
    </row>
  </sheetData>
  <autoFilter ref="A1:AM68"/>
  <conditionalFormatting sqref="H21:H42">
    <cfRule type="expression" dxfId="344" priority="29">
      <formula>IF(AA21="---",IF(AE21="---",1,0),0)</formula>
    </cfRule>
    <cfRule type="expression" dxfId="343" priority="30">
      <formula>IF(FIND("Denied",AA21),1,0)</formula>
    </cfRule>
    <cfRule type="expression" dxfId="342" priority="31">
      <formula>IF(FIND("Request",AA21),1,0)</formula>
    </cfRule>
    <cfRule type="expression" dxfId="341" priority="32">
      <formula>IF(FIND("Approve",AA21),1,0)</formula>
    </cfRule>
  </conditionalFormatting>
  <conditionalFormatting sqref="H15:H20">
    <cfRule type="expression" dxfId="340" priority="23">
      <formula>IF(FIND("Denied",AA15),1,0)</formula>
    </cfRule>
    <cfRule type="expression" dxfId="339" priority="24">
      <formula>IF(FIND("Director",AA15,11),1,0)</formula>
    </cfRule>
    <cfRule type="expression" dxfId="338" priority="25">
      <formula>IF(FIND("Approve",AA15),1,0)</formula>
    </cfRule>
    <cfRule type="expression" dxfId="337" priority="26">
      <formula>IF(FIND("Request",AA15),1,0)</formula>
    </cfRule>
    <cfRule type="expression" dxfId="336" priority="27">
      <formula>IF(FIND("Requested",AJ15),1,0)</formula>
    </cfRule>
    <cfRule type="expression" dxfId="335" priority="28">
      <formula>IF(AA15="---",IF(AE15="---",1,0),0)</formula>
    </cfRule>
  </conditionalFormatting>
  <conditionalFormatting sqref="H2:H14">
    <cfRule type="expression" dxfId="334" priority="17">
      <formula>IF(FIND("Denied",AA2),1,0)</formula>
    </cfRule>
    <cfRule type="expression" dxfId="333" priority="18">
      <formula>IF(FIND("Director",AA2,11),1,0)</formula>
    </cfRule>
    <cfRule type="expression" dxfId="332" priority="19">
      <formula>IF(FIND("Approve",AA2),1,0)</formula>
    </cfRule>
    <cfRule type="expression" dxfId="331" priority="20">
      <formula>IF(FIND("Request",AA2),1,0)</formula>
    </cfRule>
    <cfRule type="expression" dxfId="330" priority="21">
      <formula>IF(FIND("Requested",AJ2),1,0)</formula>
    </cfRule>
    <cfRule type="expression" dxfId="329" priority="22">
      <formula>IF(AA2="---",IF(AE2="---",1,0),0)</formula>
    </cfRule>
  </conditionalFormatting>
  <conditionalFormatting sqref="L2:L14">
    <cfRule type="expression" dxfId="328" priority="16">
      <formula>IF(L2="For Review",1,0)</formula>
    </cfRule>
  </conditionalFormatting>
  <conditionalFormatting sqref="J75:J79">
    <cfRule type="expression" dxfId="327" priority="15">
      <formula>MOD(ROW(),2)=0</formula>
    </cfRule>
  </conditionalFormatting>
  <conditionalFormatting sqref="H89:H90">
    <cfRule type="expression" dxfId="326" priority="9">
      <formula>IF(FIND("Denied",AA89),1,0)</formula>
    </cfRule>
    <cfRule type="expression" dxfId="325" priority="10">
      <formula>IF(FIND("Director",AA89,11),1,0)</formula>
    </cfRule>
    <cfRule type="expression" dxfId="324" priority="11">
      <formula>IF(FIND("Approve",AA89),1,0)</formula>
    </cfRule>
    <cfRule type="expression" dxfId="323" priority="12">
      <formula>IF(FIND("Request",AA89),1,0)</formula>
    </cfRule>
    <cfRule type="expression" dxfId="322" priority="13">
      <formula>IF(FIND("Requested",AJ89),1,0)</formula>
    </cfRule>
    <cfRule type="expression" dxfId="321" priority="14">
      <formula>IF(AA89="---",IF(AE89="---",1,0),0)</formula>
    </cfRule>
  </conditionalFormatting>
  <conditionalFormatting sqref="L89:L90">
    <cfRule type="expression" dxfId="320" priority="8">
      <formula>IF(L89="For Review",1,0)</formula>
    </cfRule>
  </conditionalFormatting>
  <conditionalFormatting sqref="H85:H88">
    <cfRule type="expression" dxfId="319" priority="2">
      <formula>IF(FIND("Denied",AA85),1,0)</formula>
    </cfRule>
    <cfRule type="expression" dxfId="318" priority="3">
      <formula>IF(FIND("Director",AA85,11),1,0)</formula>
    </cfRule>
    <cfRule type="expression" dxfId="317" priority="4">
      <formula>IF(FIND("Approve",AA85),1,0)</formula>
    </cfRule>
    <cfRule type="expression" dxfId="316" priority="5">
      <formula>IF(FIND("Request",AA85),1,0)</formula>
    </cfRule>
    <cfRule type="expression" dxfId="315" priority="6">
      <formula>IF(FIND("Requested",AJ85),1,0)</formula>
    </cfRule>
    <cfRule type="expression" dxfId="314" priority="7">
      <formula>IF(AA85="---",IF(AE85="---",1,0),0)</formula>
    </cfRule>
  </conditionalFormatting>
  <conditionalFormatting sqref="L85:L88">
    <cfRule type="expression" dxfId="313" priority="1">
      <formula>IF(L85="For Review",1,0)</formula>
    </cfRule>
  </conditionalFormatting>
  <hyperlinks>
    <hyperlink ref="G48" r:id="rId1"/>
    <hyperlink ref="I87" r:id="rId2" display="moorthy.mm@hpe.com"/>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filterMode="1">
    <pageSetUpPr fitToPage="1"/>
  </sheetPr>
  <dimension ref="A1:AJ216"/>
  <sheetViews>
    <sheetView tabSelected="1" zoomScale="59" zoomScaleNormal="59" zoomScalePageLayoutView="80" workbookViewId="0">
      <selection activeCell="E40" sqref="E40"/>
    </sheetView>
  </sheetViews>
  <sheetFormatPr defaultRowHeight="14.4" x14ac:dyDescent="0.3"/>
  <cols>
    <col min="1" max="1" width="19.109375" style="47" customWidth="1"/>
    <col min="2" max="2" width="4.6640625" style="47" customWidth="1"/>
    <col min="3" max="3" width="10.109375" style="47" customWidth="1"/>
    <col min="4" max="4" width="22.77734375" style="47" customWidth="1"/>
    <col min="5" max="5" width="114.109375" style="47" customWidth="1"/>
    <col min="6" max="6" width="8.88671875" style="47" customWidth="1"/>
    <col min="7" max="7" width="11.6640625" style="47" customWidth="1"/>
    <col min="8" max="9" width="8.88671875" style="47" customWidth="1"/>
    <col min="10" max="10" width="16.33203125" style="47" customWidth="1"/>
    <col min="11" max="12" width="8.88671875" style="47" customWidth="1"/>
    <col min="13" max="13" width="16.6640625" style="47" customWidth="1"/>
    <col min="14" max="18" width="8.88671875" style="47" customWidth="1"/>
    <col min="19" max="19" width="14.77734375" style="47" customWidth="1"/>
    <col min="20" max="20" width="20.33203125" style="47" customWidth="1"/>
    <col min="21" max="21" width="10.109375" style="47" customWidth="1"/>
    <col min="22" max="22" width="23.5546875" style="47" customWidth="1"/>
    <col min="23" max="24" width="8.88671875" style="47" customWidth="1"/>
    <col min="25" max="25" width="13.6640625" style="47" customWidth="1"/>
    <col min="26" max="26" width="27.109375" style="47" customWidth="1"/>
    <col min="27" max="27" width="22.21875" style="47" customWidth="1"/>
    <col min="28" max="30" width="8.88671875" style="47" customWidth="1"/>
    <col min="31" max="31" width="15.88671875" style="47" customWidth="1"/>
    <col min="32" max="16384" width="8.88671875" style="47"/>
  </cols>
  <sheetData>
    <row r="1" spans="1:14" x14ac:dyDescent="0.3">
      <c r="A1" s="8" t="s">
        <v>111</v>
      </c>
      <c r="B1" s="9">
        <f ca="1">COUNTIF(INDIRECT(A125&amp;A117):INDIRECT(A125&amp;A116),INDIRECT("c"&amp;ROW()))</f>
        <v>18</v>
      </c>
      <c r="C1" s="8" t="s">
        <v>999</v>
      </c>
      <c r="D1" s="8" t="s">
        <v>161</v>
      </c>
      <c r="E1" s="8"/>
    </row>
    <row r="2" spans="1:14" x14ac:dyDescent="0.3">
      <c r="A2" s="8"/>
      <c r="B2" s="8"/>
      <c r="C2" s="8"/>
      <c r="D2" s="8"/>
      <c r="E2" s="8"/>
    </row>
    <row r="3" spans="1:14" ht="42" customHeight="1" x14ac:dyDescent="0.3">
      <c r="A3" s="11" t="s">
        <v>59</v>
      </c>
      <c r="B3" s="8"/>
      <c r="C3" s="8"/>
      <c r="D3" s="25" t="s">
        <v>177</v>
      </c>
      <c r="E3" s="8"/>
    </row>
    <row r="4" spans="1:14" x14ac:dyDescent="0.3">
      <c r="A4" s="8" t="s">
        <v>104</v>
      </c>
      <c r="B4" s="8">
        <f ca="1">COUNTIF(INDIRECT(A118&amp;A117):INDIRECT(A118&amp;A116),INDIRECT("a"&amp;ROW()))</f>
        <v>1</v>
      </c>
      <c r="C4" s="8"/>
      <c r="D4" s="12" t="s">
        <v>107</v>
      </c>
      <c r="E4" s="13">
        <f ca="1">COUNTIFS(INDIRECT(A128&amp;A117):INDIRECT(A128&amp;A116)," ---",INDIRECT(A124&amp;A117):INDIRECT(A124&amp;A116)," ---")</f>
        <v>15</v>
      </c>
    </row>
    <row r="5" spans="1:14" x14ac:dyDescent="0.3">
      <c r="A5" s="8" t="s">
        <v>105</v>
      </c>
      <c r="B5" s="8">
        <f ca="1">COUNTIF(INDIRECT(A118&amp;A117):INDIRECT(A118&amp;A116),INDIRECT("a"&amp;ROW()))</f>
        <v>14</v>
      </c>
      <c r="C5" s="8"/>
      <c r="D5" s="14" t="s">
        <v>623</v>
      </c>
      <c r="E5" s="13">
        <f ca="1">COUNTIFS(INDIRECT(A128&amp;A117):INDIRECT(A128&amp;A116),INDIRECT("d"&amp;ROW()),INDIRECT(A124&amp;A117):INDIRECT(A124&amp;A116)," ---")</f>
        <v>0</v>
      </c>
    </row>
    <row r="6" spans="1:14" x14ac:dyDescent="0.3">
      <c r="A6" s="8" t="s">
        <v>106</v>
      </c>
      <c r="B6" s="8">
        <f ca="1">COUNTIF(INDIRECT(A118&amp;A117):INDIRECT(A118&amp;A116),INDIRECT("a"&amp;ROW()))</f>
        <v>8</v>
      </c>
      <c r="C6" s="8"/>
      <c r="D6" s="41" t="s">
        <v>302</v>
      </c>
      <c r="E6" s="13">
        <f ca="1">COUNTIFS(INDIRECT(A121&amp;A117):INDIRECT(A121&amp;A116),INDIRECT("d"&amp;ROW()),INDIRECT(A124&amp;A117):INDIRECT(A124&amp;A116)," ---")</f>
        <v>0</v>
      </c>
    </row>
    <row r="7" spans="1:14" x14ac:dyDescent="0.3">
      <c r="C7" s="8"/>
      <c r="D7" s="15" t="s">
        <v>9</v>
      </c>
      <c r="E7" s="13">
        <f ca="1">COUNTIFS(INDIRECT(A121&amp;A117):INDIRECT(A121&amp;A116),INDIRECT("d"&amp;ROW()),INDIRECT(A124&amp;A117):INDIRECT(A124&amp;A116)," ---")</f>
        <v>1</v>
      </c>
    </row>
    <row r="8" spans="1:14" x14ac:dyDescent="0.3">
      <c r="A8" s="11" t="s">
        <v>109</v>
      </c>
      <c r="B8" s="16">
        <f ca="1">COUNTIF(INDIRECT(A122&amp;A117):INDIRECT(A122&amp;A116),"&lt;2")</f>
        <v>2</v>
      </c>
      <c r="C8" s="8"/>
      <c r="D8" s="17" t="s">
        <v>55</v>
      </c>
      <c r="E8" s="13">
        <f ca="1">COUNTIFS(INDIRECT(A121&amp;A117):INDIRECT(A121&amp;A116),INDIRECT("d"&amp;ROW()),INDIRECT(A124&amp;A117):INDIRECT(A124&amp;A116)," ---")</f>
        <v>0</v>
      </c>
    </row>
    <row r="9" spans="1:14" x14ac:dyDescent="0.3">
      <c r="A9" s="8" t="s">
        <v>110</v>
      </c>
      <c r="B9" s="8">
        <f ca="1">COUNTIF(INDIRECT(A123&amp;A117):INDIRECT(A123&amp;A116),"&gt;3")</f>
        <v>5</v>
      </c>
      <c r="C9" s="8"/>
      <c r="D9" s="11" t="s">
        <v>108</v>
      </c>
      <c r="E9" s="18">
        <f ca="1">COUNTIF(INDIRECT(A124&amp;A117):INDIRECT(A124&amp;A116),"&lt;&gt; ---")</f>
        <v>2</v>
      </c>
    </row>
    <row r="10" spans="1:14" x14ac:dyDescent="0.3">
      <c r="A10" s="11" t="s">
        <v>112</v>
      </c>
      <c r="B10" s="8"/>
      <c r="C10" s="8"/>
      <c r="D10" s="11" t="s">
        <v>73</v>
      </c>
      <c r="E10" s="8"/>
    </row>
    <row r="11" spans="1:14" x14ac:dyDescent="0.3">
      <c r="A11" s="8" t="s">
        <v>1463</v>
      </c>
      <c r="B11" s="8">
        <f ca="1">COUNTIF(INDIRECT(A120&amp;A117):INDIRECT(A120&amp;A116),INDIRECT("a"&amp;ROW()))</f>
        <v>2</v>
      </c>
      <c r="C11" s="8"/>
      <c r="D11" s="8" t="s">
        <v>13</v>
      </c>
      <c r="E11" s="13">
        <f ca="1">COUNTIF(INDIRECT(A119&amp;A117):INDIRECT(A119&amp;A116),INDIRECT("d"&amp;ROW()))</f>
        <v>18</v>
      </c>
    </row>
    <row r="12" spans="1:14" x14ac:dyDescent="0.3">
      <c r="A12" s="8" t="s">
        <v>1472</v>
      </c>
      <c r="B12" s="8">
        <f ca="1">COUNTIF(INDIRECT(A120&amp;A117):INDIRECT(A120&amp;A116),INDIRECT("a"&amp;ROW()))</f>
        <v>0</v>
      </c>
      <c r="C12" s="8"/>
      <c r="D12" s="8" t="s">
        <v>8</v>
      </c>
      <c r="E12" s="13">
        <f ca="1">COUNTIF(INDIRECT(A119&amp;A117):INDIRECT(A119&amp;A116),INDIRECT("d"&amp;ROW()))</f>
        <v>3</v>
      </c>
    </row>
    <row r="13" spans="1:14" x14ac:dyDescent="0.3">
      <c r="A13" s="8" t="s">
        <v>999</v>
      </c>
      <c r="B13" s="8">
        <f ca="1">COUNTIF(INDIRECT(A120&amp;A117):INDIRECT(A120&amp;A116),INDIRECT("a"&amp;ROW()))+COUNTIF(INDIRECT(A120&amp;A117):INDIRECT(A120&amp;A116),"Astra-Post*")+COUNTIF(INDIRECT(A120&amp;A117):INDIRECT(A120&amp;A116),"Astra-IR*")</f>
        <v>4</v>
      </c>
      <c r="C13" s="8"/>
      <c r="D13" s="8" t="s">
        <v>24</v>
      </c>
      <c r="E13" s="13">
        <f ca="1">COUNTIF(INDIRECT(A119&amp;A117):INDIRECT(A119&amp;A116),INDIRECT("d"&amp;ROW()))</f>
        <v>1</v>
      </c>
    </row>
    <row r="14" spans="1:14" x14ac:dyDescent="0.3">
      <c r="A14" s="8" t="s">
        <v>113</v>
      </c>
      <c r="B14" s="8">
        <f ca="1">COUNTIF(INDIRECT(A120&amp;A117):INDIRECT(A120&amp;A116),"6*")+COUNTIF(INDIRECT(A120&amp;A117):INDIRECT(A120&amp;A116),"Halo")+COUNTIF(INDIRECT(A120&amp;A117):INDIRECT(A120&amp;A116),"Store*")+COUNTIF(INDIRECT(A120&amp;A117):INDIRECT(A120&amp;A116),"3*")</f>
        <v>2</v>
      </c>
      <c r="C14" s="8"/>
      <c r="D14" s="136" t="s">
        <v>1462</v>
      </c>
      <c r="E14" s="13">
        <f ca="1">COUNTIF(INDIRECT(A119&amp;A117):INDIRECT(A119&amp;A116),INDIRECT("d"&amp;ROW()))</f>
        <v>1</v>
      </c>
    </row>
    <row r="15" spans="1:14" x14ac:dyDescent="0.3">
      <c r="A15" s="24" t="s">
        <v>48</v>
      </c>
      <c r="B15" s="8">
        <f ca="1">COUNTIF(INDIRECT(A120&amp;A117):INDIRECT(A120&amp;A116),INDIRECT("a"&amp;ROW())&amp;"*")</f>
        <v>10</v>
      </c>
      <c r="C15" s="8"/>
      <c r="D15" s="8"/>
      <c r="E15" s="8"/>
      <c r="N15" s="19" t="s">
        <v>368</v>
      </c>
    </row>
    <row r="16" spans="1:14" x14ac:dyDescent="0.3">
      <c r="A16" s="24" t="s">
        <v>569</v>
      </c>
      <c r="B16" s="8">
        <f ca="1">COUNTIF(INDIRECT(A120&amp;A117):INDIRECT(A120&amp;A116),INDIRECT("a"&amp;ROW()))</f>
        <v>4</v>
      </c>
      <c r="C16" s="8"/>
      <c r="D16" s="8"/>
      <c r="E16" s="8" t="str">
        <f ca="1">CONCATENATE(SUM(B11:B16),"|",SUM(E4:E9),"|",SUM(B4:B6),"|",SUM(E11:E14),"   checksums")</f>
        <v>22|18|23|23   checksums</v>
      </c>
      <c r="F16" s="47">
        <f>SUBTOTAL(3,D18:D114)</f>
        <v>19</v>
      </c>
    </row>
    <row r="17" spans="1:36" x14ac:dyDescent="0.3">
      <c r="A17" s="47" t="s">
        <v>0</v>
      </c>
      <c r="B17" s="47" t="s">
        <v>1</v>
      </c>
      <c r="C17" s="136" t="s">
        <v>145</v>
      </c>
      <c r="D17" s="136" t="s">
        <v>57</v>
      </c>
      <c r="E17" s="136" t="str">
        <f>CONCATENATE("Summary             ", SUBTOTAL(3,C18:C60))</f>
        <v>Summary             19</v>
      </c>
      <c r="F17" s="136" t="s">
        <v>59</v>
      </c>
      <c r="G17" s="136" t="s">
        <v>60</v>
      </c>
      <c r="H17" s="136" t="s">
        <v>61</v>
      </c>
      <c r="I17" s="136" t="s">
        <v>62</v>
      </c>
      <c r="J17" s="136" t="s">
        <v>63</v>
      </c>
      <c r="K17" s="136" t="s">
        <v>64</v>
      </c>
      <c r="L17" s="136" t="s">
        <v>65</v>
      </c>
      <c r="M17" s="136" t="s">
        <v>66</v>
      </c>
      <c r="N17" s="136" t="s">
        <v>67</v>
      </c>
      <c r="O17" s="136" t="s">
        <v>68</v>
      </c>
      <c r="P17" s="136" t="s">
        <v>69</v>
      </c>
      <c r="Q17" s="136" t="s">
        <v>70</v>
      </c>
      <c r="R17" s="136" t="s">
        <v>71</v>
      </c>
      <c r="S17" s="136" t="s">
        <v>72</v>
      </c>
      <c r="T17" s="136" t="s">
        <v>73</v>
      </c>
      <c r="U17" s="136" t="s">
        <v>74</v>
      </c>
      <c r="V17" s="136" t="s">
        <v>75</v>
      </c>
      <c r="W17" s="136" t="s">
        <v>76</v>
      </c>
      <c r="X17" s="136" t="s">
        <v>1244</v>
      </c>
      <c r="Y17" s="136" t="s">
        <v>78</v>
      </c>
      <c r="Z17" s="136" t="s">
        <v>79</v>
      </c>
      <c r="AA17" s="136" t="s">
        <v>615</v>
      </c>
      <c r="AB17" s="136" t="s">
        <v>308</v>
      </c>
      <c r="AC17" s="136" t="s">
        <v>307</v>
      </c>
      <c r="AD17" s="136" t="s">
        <v>621</v>
      </c>
      <c r="AE17" s="136" t="s">
        <v>622</v>
      </c>
      <c r="AF17" s="136" t="s">
        <v>1084</v>
      </c>
      <c r="AG17" s="136" t="s">
        <v>580</v>
      </c>
      <c r="AH17" s="136" t="s">
        <v>1191</v>
      </c>
      <c r="AI17" s="132"/>
      <c r="AJ17" s="132"/>
    </row>
    <row r="18" spans="1:36" x14ac:dyDescent="0.3">
      <c r="A18" s="47">
        <f ca="1">DAYS360(INDIRECT(A127&amp;ROW()),TODAY())</f>
        <v>2</v>
      </c>
      <c r="B18" s="47">
        <f ca="1">DAYS360(INDIRECT(A126&amp;ROW()),TODAY())</f>
        <v>229</v>
      </c>
      <c r="C18" s="42">
        <f>HYPERLINK(BZurls!B3 &amp; 91457,91457)</f>
        <v>91457</v>
      </c>
      <c r="D18" s="136" t="s">
        <v>1443</v>
      </c>
      <c r="E18" s="136" t="s">
        <v>1533</v>
      </c>
      <c r="F18" s="136" t="s">
        <v>2</v>
      </c>
      <c r="G18" s="136" t="s">
        <v>999</v>
      </c>
      <c r="H18" s="136" t="s">
        <v>81</v>
      </c>
      <c r="I18" s="136"/>
      <c r="J18" s="137">
        <v>42900.553622685184</v>
      </c>
      <c r="K18" s="136" t="s">
        <v>159</v>
      </c>
      <c r="L18" s="136" t="s">
        <v>569</v>
      </c>
      <c r="M18" s="137">
        <v>42670.388807870368</v>
      </c>
      <c r="N18" s="136" t="s">
        <v>628</v>
      </c>
      <c r="O18" s="136"/>
      <c r="P18" s="136" t="s">
        <v>347</v>
      </c>
      <c r="Q18" s="136" t="s">
        <v>6</v>
      </c>
      <c r="R18" s="136" t="s">
        <v>30</v>
      </c>
      <c r="S18" s="136" t="s">
        <v>13</v>
      </c>
      <c r="T18" s="136" t="s">
        <v>19</v>
      </c>
      <c r="U18" s="136"/>
      <c r="V18" s="136" t="s">
        <v>1449</v>
      </c>
      <c r="W18" s="136" t="s">
        <v>1022</v>
      </c>
      <c r="X18" s="136" t="s">
        <v>1449</v>
      </c>
      <c r="Y18" s="136" t="s">
        <v>82</v>
      </c>
      <c r="Z18" s="136" t="s">
        <v>1534</v>
      </c>
      <c r="AA18" s="136" t="s">
        <v>1449</v>
      </c>
      <c r="AB18" s="136" t="s">
        <v>1449</v>
      </c>
      <c r="AC18" s="136" t="s">
        <v>217</v>
      </c>
      <c r="AD18" s="136" t="s">
        <v>1449</v>
      </c>
      <c r="AE18" s="136" t="s">
        <v>1086</v>
      </c>
      <c r="AF18" s="136"/>
      <c r="AG18" s="136" t="s">
        <v>1535</v>
      </c>
      <c r="AH18" s="136"/>
      <c r="AI18" s="132"/>
      <c r="AJ18" s="132"/>
    </row>
    <row r="19" spans="1:36" hidden="1" x14ac:dyDescent="0.3">
      <c r="A19" s="47">
        <f ca="1">DAYS360(INDIRECT(A127&amp;ROW()),TODAY())</f>
        <v>16</v>
      </c>
      <c r="B19" s="47">
        <f ca="1">DAYS360(INDIRECT(A126&amp;ROW()),TODAY())</f>
        <v>162</v>
      </c>
      <c r="C19" s="42">
        <f>HYPERLINK(BZurls!B3 &amp; 94191,94191)</f>
        <v>94191</v>
      </c>
      <c r="D19" s="136" t="s">
        <v>1447</v>
      </c>
      <c r="E19" s="136" t="s">
        <v>1448</v>
      </c>
      <c r="F19" s="136" t="s">
        <v>2</v>
      </c>
      <c r="G19" s="136" t="s">
        <v>999</v>
      </c>
      <c r="H19" s="136" t="s">
        <v>81</v>
      </c>
      <c r="I19" s="136"/>
      <c r="J19" s="137">
        <v>42886.506030092591</v>
      </c>
      <c r="K19" s="136" t="s">
        <v>4</v>
      </c>
      <c r="L19" s="136" t="s">
        <v>1397</v>
      </c>
      <c r="M19" s="137">
        <v>42739.997685185182</v>
      </c>
      <c r="N19" s="136" t="s">
        <v>16</v>
      </c>
      <c r="O19" s="136"/>
      <c r="P19" s="136" t="s">
        <v>347</v>
      </c>
      <c r="Q19" s="136" t="s">
        <v>6</v>
      </c>
      <c r="R19" s="136" t="s">
        <v>30</v>
      </c>
      <c r="S19" s="136" t="s">
        <v>8</v>
      </c>
      <c r="T19" s="136" t="s">
        <v>38</v>
      </c>
      <c r="U19" s="136"/>
      <c r="V19" s="136" t="s">
        <v>1449</v>
      </c>
      <c r="W19" s="136" t="s">
        <v>89</v>
      </c>
      <c r="X19" s="136" t="s">
        <v>1449</v>
      </c>
      <c r="Y19" s="136" t="s">
        <v>82</v>
      </c>
      <c r="Z19" s="136" t="s">
        <v>1449</v>
      </c>
      <c r="AA19" s="136" t="s">
        <v>1449</v>
      </c>
      <c r="AB19" s="136" t="s">
        <v>1449</v>
      </c>
      <c r="AC19" s="136" t="s">
        <v>1449</v>
      </c>
      <c r="AD19" s="136" t="s">
        <v>623</v>
      </c>
      <c r="AE19" s="136" t="s">
        <v>1085</v>
      </c>
      <c r="AF19" s="136">
        <v>12886</v>
      </c>
      <c r="AG19" s="136"/>
      <c r="AH19" s="136"/>
      <c r="AI19" s="132"/>
      <c r="AJ19" s="132"/>
    </row>
    <row r="20" spans="1:36" x14ac:dyDescent="0.3">
      <c r="A20" s="47">
        <f ca="1">DAYS360(INDIRECT(A127&amp;ROW()),TODAY())</f>
        <v>2</v>
      </c>
      <c r="B20" s="47">
        <f ca="1">DAYS360(INDIRECT(A126&amp;ROW()),TODAY())</f>
        <v>146</v>
      </c>
      <c r="C20" s="42">
        <f>HYPERLINK(BZurls!B3 &amp; 94835,94835)</f>
        <v>94835</v>
      </c>
      <c r="D20" s="136" t="s">
        <v>1452</v>
      </c>
      <c r="E20" s="136" t="s">
        <v>1490</v>
      </c>
      <c r="F20" s="136" t="s">
        <v>2</v>
      </c>
      <c r="G20" s="136" t="s">
        <v>999</v>
      </c>
      <c r="H20" s="136" t="s">
        <v>81</v>
      </c>
      <c r="I20" s="136" t="s">
        <v>1484</v>
      </c>
      <c r="J20" s="137">
        <v>42900.441284722219</v>
      </c>
      <c r="K20" s="136" t="s">
        <v>4</v>
      </c>
      <c r="L20" s="136" t="s">
        <v>1430</v>
      </c>
      <c r="M20" s="137">
        <v>42755.484872685185</v>
      </c>
      <c r="N20" s="136" t="s">
        <v>16</v>
      </c>
      <c r="O20" s="136"/>
      <c r="P20" s="136" t="s">
        <v>347</v>
      </c>
      <c r="Q20" s="136" t="s">
        <v>6</v>
      </c>
      <c r="R20" s="136" t="s">
        <v>30</v>
      </c>
      <c r="S20" s="136" t="s">
        <v>13</v>
      </c>
      <c r="T20" s="136" t="s">
        <v>19</v>
      </c>
      <c r="U20" s="136"/>
      <c r="V20" s="136" t="s">
        <v>1449</v>
      </c>
      <c r="W20" s="136" t="s">
        <v>89</v>
      </c>
      <c r="X20" s="136" t="s">
        <v>1449</v>
      </c>
      <c r="Y20" s="136" t="s">
        <v>82</v>
      </c>
      <c r="Z20" s="136" t="s">
        <v>1449</v>
      </c>
      <c r="AA20" s="136" t="s">
        <v>1449</v>
      </c>
      <c r="AB20" s="136" t="s">
        <v>1449</v>
      </c>
      <c r="AC20" s="136" t="s">
        <v>1449</v>
      </c>
      <c r="AD20" s="136" t="s">
        <v>623</v>
      </c>
      <c r="AE20" s="136" t="s">
        <v>1085</v>
      </c>
      <c r="AF20" s="136" t="s">
        <v>1491</v>
      </c>
      <c r="AG20" s="136" t="s">
        <v>1492</v>
      </c>
      <c r="AH20" s="136"/>
      <c r="AI20" s="132"/>
      <c r="AJ20" s="132"/>
    </row>
    <row r="21" spans="1:36" x14ac:dyDescent="0.3">
      <c r="A21" s="47">
        <f ca="1">DAYS360(INDIRECT(A127&amp;ROW()),TODAY())</f>
        <v>0</v>
      </c>
      <c r="B21" s="47">
        <f ca="1">DAYS360(INDIRECT(A126&amp;ROW()),TODAY())</f>
        <v>79</v>
      </c>
      <c r="C21" s="42">
        <f>HYPERLINK(BZurls!B3 &amp; 97543,97543)</f>
        <v>97543</v>
      </c>
      <c r="D21" s="136" t="s">
        <v>331</v>
      </c>
      <c r="E21" s="136" t="s">
        <v>1542</v>
      </c>
      <c r="F21" s="136" t="s">
        <v>2</v>
      </c>
      <c r="G21" s="136" t="s">
        <v>999</v>
      </c>
      <c r="H21" s="136" t="s">
        <v>695</v>
      </c>
      <c r="I21" s="136" t="s">
        <v>1075</v>
      </c>
      <c r="J21" s="137">
        <v>42902.102511574078</v>
      </c>
      <c r="K21" s="136" t="s">
        <v>159</v>
      </c>
      <c r="L21" s="136" t="s">
        <v>569</v>
      </c>
      <c r="M21" s="137">
        <v>42821.996874999997</v>
      </c>
      <c r="N21" s="136" t="s">
        <v>600</v>
      </c>
      <c r="O21" s="136"/>
      <c r="P21" s="136" t="s">
        <v>347</v>
      </c>
      <c r="Q21" s="136" t="s">
        <v>6</v>
      </c>
      <c r="R21" s="136" t="s">
        <v>30</v>
      </c>
      <c r="S21" s="136" t="s">
        <v>13</v>
      </c>
      <c r="T21" s="136" t="s">
        <v>292</v>
      </c>
      <c r="U21" s="136"/>
      <c r="V21" s="136" t="s">
        <v>9</v>
      </c>
      <c r="W21" s="136" t="s">
        <v>89</v>
      </c>
      <c r="X21" s="136" t="s">
        <v>1449</v>
      </c>
      <c r="Y21" s="136" t="s">
        <v>82</v>
      </c>
      <c r="Z21" s="136" t="s">
        <v>1449</v>
      </c>
      <c r="AA21" s="136" t="s">
        <v>1449</v>
      </c>
      <c r="AB21" s="136" t="s">
        <v>1449</v>
      </c>
      <c r="AC21" s="136" t="s">
        <v>1449</v>
      </c>
      <c r="AD21" s="136" t="s">
        <v>1449</v>
      </c>
      <c r="AE21" s="136" t="s">
        <v>1449</v>
      </c>
      <c r="AF21" s="136">
        <v>17360</v>
      </c>
      <c r="AG21" s="136"/>
      <c r="AH21" s="136"/>
      <c r="AI21" s="132"/>
      <c r="AJ21" s="132"/>
    </row>
    <row r="22" spans="1:36" hidden="1" x14ac:dyDescent="0.3">
      <c r="A22" s="47">
        <f ca="1">DAYS360(INDIRECT(A127&amp;ROW()),TODAY())</f>
        <v>52</v>
      </c>
      <c r="B22" s="47">
        <f ca="1">DAYS360(INDIRECT(A126&amp;ROW()),TODAY())</f>
        <v>77</v>
      </c>
      <c r="C22" s="42">
        <f>HYPERLINK(BZurls!B3 &amp; 97620,97620)</f>
        <v>97620</v>
      </c>
      <c r="D22" s="136" t="s">
        <v>555</v>
      </c>
      <c r="E22" s="136" t="s">
        <v>1475</v>
      </c>
      <c r="F22" s="136" t="s">
        <v>2</v>
      </c>
      <c r="G22" s="136" t="s">
        <v>999</v>
      </c>
      <c r="H22" s="136" t="s">
        <v>339</v>
      </c>
      <c r="I22" s="136"/>
      <c r="J22" s="137">
        <v>42849.487361111111</v>
      </c>
      <c r="K22" s="136" t="s">
        <v>4</v>
      </c>
      <c r="L22" s="136" t="s">
        <v>569</v>
      </c>
      <c r="M22" s="137">
        <v>42823.498773148145</v>
      </c>
      <c r="N22" s="136" t="s">
        <v>600</v>
      </c>
      <c r="O22" s="136"/>
      <c r="P22" s="136" t="s">
        <v>347</v>
      </c>
      <c r="Q22" s="136" t="s">
        <v>6</v>
      </c>
      <c r="R22" s="136" t="s">
        <v>30</v>
      </c>
      <c r="S22" s="136" t="s">
        <v>8</v>
      </c>
      <c r="T22" s="136" t="s">
        <v>153</v>
      </c>
      <c r="U22" s="136"/>
      <c r="V22" s="136" t="s">
        <v>1449</v>
      </c>
      <c r="W22" s="136" t="s">
        <v>10</v>
      </c>
      <c r="X22" s="136" t="s">
        <v>1449</v>
      </c>
      <c r="Y22" s="136" t="s">
        <v>82</v>
      </c>
      <c r="Z22" s="136" t="s">
        <v>1449</v>
      </c>
      <c r="AA22" s="136" t="s">
        <v>1449</v>
      </c>
      <c r="AB22" s="136" t="s">
        <v>1449</v>
      </c>
      <c r="AC22" s="136" t="s">
        <v>1449</v>
      </c>
      <c r="AD22" s="136" t="s">
        <v>623</v>
      </c>
      <c r="AE22" s="136" t="s">
        <v>1449</v>
      </c>
      <c r="AF22" s="136"/>
      <c r="AG22" s="136"/>
      <c r="AH22" s="136"/>
      <c r="AI22" s="132"/>
      <c r="AJ22" s="132"/>
    </row>
    <row r="23" spans="1:36" x14ac:dyDescent="0.3">
      <c r="A23" s="47">
        <f ca="1">DAYS360(INDIRECT(A127&amp;ROW()),TODAY())</f>
        <v>16</v>
      </c>
      <c r="B23" s="47">
        <f ca="1">DAYS360(INDIRECT(A126&amp;ROW()),TODAY())</f>
        <v>51</v>
      </c>
      <c r="C23" s="42">
        <f>HYPERLINK(BZurls!B3 &amp; 98719,98719)</f>
        <v>98719</v>
      </c>
      <c r="D23" s="136" t="s">
        <v>331</v>
      </c>
      <c r="E23" s="136" t="s">
        <v>1477</v>
      </c>
      <c r="F23" s="136" t="s">
        <v>2</v>
      </c>
      <c r="G23" s="136" t="s">
        <v>999</v>
      </c>
      <c r="H23" s="136" t="s">
        <v>826</v>
      </c>
      <c r="I23" s="136"/>
      <c r="J23" s="137">
        <v>42885.196851851855</v>
      </c>
      <c r="K23" s="136" t="s">
        <v>4</v>
      </c>
      <c r="L23" s="136" t="s">
        <v>1430</v>
      </c>
      <c r="M23" s="137">
        <v>42850.597083333334</v>
      </c>
      <c r="N23" s="136" t="s">
        <v>16</v>
      </c>
      <c r="O23" s="136"/>
      <c r="P23" s="136" t="s">
        <v>366</v>
      </c>
      <c r="Q23" s="136" t="s">
        <v>6</v>
      </c>
      <c r="R23" s="136" t="s">
        <v>30</v>
      </c>
      <c r="S23" s="136" t="s">
        <v>13</v>
      </c>
      <c r="T23" s="136" t="s">
        <v>19</v>
      </c>
      <c r="U23" s="136"/>
      <c r="V23" s="136" t="s">
        <v>1449</v>
      </c>
      <c r="W23" s="136" t="s">
        <v>89</v>
      </c>
      <c r="X23" s="136" t="s">
        <v>1449</v>
      </c>
      <c r="Y23" s="136" t="s">
        <v>82</v>
      </c>
      <c r="Z23" s="136" t="s">
        <v>1449</v>
      </c>
      <c r="AA23" s="136" t="s">
        <v>1449</v>
      </c>
      <c r="AB23" s="136" t="s">
        <v>1449</v>
      </c>
      <c r="AC23" s="136" t="s">
        <v>1449</v>
      </c>
      <c r="AD23" s="136" t="s">
        <v>623</v>
      </c>
      <c r="AE23" s="136" t="s">
        <v>1085</v>
      </c>
      <c r="AF23" s="136">
        <v>17461</v>
      </c>
      <c r="AG23" s="136"/>
      <c r="AH23" s="136"/>
      <c r="AI23" s="132"/>
      <c r="AJ23" s="132"/>
    </row>
    <row r="24" spans="1:36" x14ac:dyDescent="0.3">
      <c r="A24" s="47">
        <f ca="1">DAYS360(INDIRECT(A127&amp;ROW()),TODAY())</f>
        <v>3</v>
      </c>
      <c r="B24" s="47">
        <f ca="1">DAYS360(INDIRECT(A126&amp;ROW()),TODAY())</f>
        <v>45</v>
      </c>
      <c r="C24" s="42">
        <f>HYPERLINK(BZurls!B3 &amp; 98910,98910)</f>
        <v>98910</v>
      </c>
      <c r="D24" s="136" t="s">
        <v>581</v>
      </c>
      <c r="E24" s="136" t="s">
        <v>1482</v>
      </c>
      <c r="F24" s="136" t="s">
        <v>11</v>
      </c>
      <c r="G24" s="136" t="s">
        <v>999</v>
      </c>
      <c r="H24" s="136" t="s">
        <v>316</v>
      </c>
      <c r="I24" s="136"/>
      <c r="J24" s="137">
        <v>42899.376805555556</v>
      </c>
      <c r="K24" s="136" t="s">
        <v>20</v>
      </c>
      <c r="L24" s="136" t="s">
        <v>1463</v>
      </c>
      <c r="M24" s="137">
        <v>42856.488692129627</v>
      </c>
      <c r="N24" s="136" t="s">
        <v>1476</v>
      </c>
      <c r="O24" s="136"/>
      <c r="P24" s="136" t="s">
        <v>366</v>
      </c>
      <c r="Q24" s="136" t="s">
        <v>17</v>
      </c>
      <c r="R24" s="136" t="s">
        <v>30</v>
      </c>
      <c r="S24" s="136" t="s">
        <v>13</v>
      </c>
      <c r="T24" s="136" t="s">
        <v>19</v>
      </c>
      <c r="U24" s="136"/>
      <c r="V24" s="136" t="s">
        <v>1449</v>
      </c>
      <c r="W24" s="136" t="s">
        <v>10</v>
      </c>
      <c r="X24" s="136" t="s">
        <v>1449</v>
      </c>
      <c r="Y24" s="136" t="s">
        <v>82</v>
      </c>
      <c r="Z24" s="136" t="s">
        <v>1449</v>
      </c>
      <c r="AA24" s="136" t="s">
        <v>1449</v>
      </c>
      <c r="AB24" s="136" t="s">
        <v>1449</v>
      </c>
      <c r="AC24" s="136" t="s">
        <v>1449</v>
      </c>
      <c r="AD24" s="136" t="s">
        <v>623</v>
      </c>
      <c r="AE24" s="136" t="s">
        <v>1449</v>
      </c>
      <c r="AF24" s="136"/>
      <c r="AG24" s="136" t="s">
        <v>1501</v>
      </c>
      <c r="AH24" s="136"/>
      <c r="AI24" s="132"/>
      <c r="AJ24" s="132"/>
    </row>
    <row r="25" spans="1:36" x14ac:dyDescent="0.3">
      <c r="A25" s="47">
        <f ca="1">DAYS360(INDIRECT(A127&amp;ROW()),TODAY())</f>
        <v>0</v>
      </c>
      <c r="B25" s="47">
        <f ca="1">DAYS360(INDIRECT(A126&amp;ROW()),TODAY())</f>
        <v>45</v>
      </c>
      <c r="C25" s="42">
        <f>HYPERLINK(BZurls!B3 &amp; 98917,98917)</f>
        <v>98917</v>
      </c>
      <c r="D25" s="136" t="s">
        <v>1543</v>
      </c>
      <c r="E25" s="136" t="s">
        <v>1544</v>
      </c>
      <c r="F25" s="136" t="s">
        <v>11</v>
      </c>
      <c r="G25" s="136" t="s">
        <v>999</v>
      </c>
      <c r="H25" s="136" t="s">
        <v>1543</v>
      </c>
      <c r="I25" s="136"/>
      <c r="J25" s="137">
        <v>42902.120011574072</v>
      </c>
      <c r="K25" s="136" t="s">
        <v>20</v>
      </c>
      <c r="L25" s="136" t="s">
        <v>569</v>
      </c>
      <c r="M25" s="137">
        <v>42856.789803240739</v>
      </c>
      <c r="N25" s="136" t="s">
        <v>16</v>
      </c>
      <c r="O25" s="136"/>
      <c r="P25" s="136" t="s">
        <v>366</v>
      </c>
      <c r="Q25" s="136" t="s">
        <v>17</v>
      </c>
      <c r="R25" s="136" t="s">
        <v>30</v>
      </c>
      <c r="S25" s="136" t="s">
        <v>13</v>
      </c>
      <c r="T25" s="136" t="s">
        <v>19</v>
      </c>
      <c r="U25" s="136"/>
      <c r="V25" s="136" t="s">
        <v>1449</v>
      </c>
      <c r="W25" s="136" t="s">
        <v>10</v>
      </c>
      <c r="X25" s="136" t="s">
        <v>1449</v>
      </c>
      <c r="Y25" s="136" t="s">
        <v>82</v>
      </c>
      <c r="Z25" s="136" t="s">
        <v>1449</v>
      </c>
      <c r="AA25" s="136" t="s">
        <v>1449</v>
      </c>
      <c r="AB25" s="136" t="s">
        <v>1449</v>
      </c>
      <c r="AC25" s="136" t="s">
        <v>1449</v>
      </c>
      <c r="AD25" s="136" t="s">
        <v>1449</v>
      </c>
      <c r="AE25" s="136" t="s">
        <v>1449</v>
      </c>
      <c r="AF25" s="136">
        <v>10556</v>
      </c>
      <c r="AG25" s="136"/>
      <c r="AH25" s="136"/>
      <c r="AI25" s="132"/>
      <c r="AJ25" s="132"/>
    </row>
    <row r="26" spans="1:36" x14ac:dyDescent="0.3">
      <c r="A26" s="47">
        <f ca="1">DAYS360(INDIRECT(A127&amp;ROW()),TODAY())</f>
        <v>21</v>
      </c>
      <c r="B26" s="47">
        <f ca="1">DAYS360(INDIRECT(A126&amp;ROW()),TODAY())</f>
        <v>44</v>
      </c>
      <c r="C26" s="42">
        <f>HYPERLINK(BZurls!B3 &amp; 98940,98940)</f>
        <v>98940</v>
      </c>
      <c r="D26" s="136" t="s">
        <v>1485</v>
      </c>
      <c r="E26" s="136" t="s">
        <v>1483</v>
      </c>
      <c r="F26" s="136" t="s">
        <v>2</v>
      </c>
      <c r="G26" s="136" t="s">
        <v>999</v>
      </c>
      <c r="H26" s="136" t="s">
        <v>339</v>
      </c>
      <c r="I26" s="136"/>
      <c r="J26" s="137">
        <v>42880.611111111109</v>
      </c>
      <c r="K26" s="136" t="s">
        <v>4</v>
      </c>
      <c r="L26" s="136" t="s">
        <v>1430</v>
      </c>
      <c r="M26" s="137">
        <v>42857.191631944443</v>
      </c>
      <c r="N26" s="136" t="s">
        <v>16</v>
      </c>
      <c r="O26" s="136"/>
      <c r="P26" s="136" t="s">
        <v>366</v>
      </c>
      <c r="Q26" s="136" t="s">
        <v>6</v>
      </c>
      <c r="R26" s="136" t="s">
        <v>30</v>
      </c>
      <c r="S26" s="136" t="s">
        <v>13</v>
      </c>
      <c r="T26" s="136" t="s">
        <v>19</v>
      </c>
      <c r="U26" s="136"/>
      <c r="V26" s="136" t="s">
        <v>1449</v>
      </c>
      <c r="W26" s="136" t="s">
        <v>89</v>
      </c>
      <c r="X26" s="136" t="s">
        <v>1449</v>
      </c>
      <c r="Y26" s="136" t="s">
        <v>82</v>
      </c>
      <c r="Z26" s="136" t="s">
        <v>1449</v>
      </c>
      <c r="AA26" s="136" t="s">
        <v>1449</v>
      </c>
      <c r="AB26" s="136" t="s">
        <v>1449</v>
      </c>
      <c r="AC26" s="136" t="s">
        <v>1449</v>
      </c>
      <c r="AD26" s="136" t="s">
        <v>623</v>
      </c>
      <c r="AE26" s="136" t="s">
        <v>1085</v>
      </c>
      <c r="AF26" s="136">
        <v>17509</v>
      </c>
      <c r="AG26" s="136"/>
      <c r="AH26" s="136"/>
      <c r="AI26" s="132"/>
      <c r="AJ26" s="132"/>
    </row>
    <row r="27" spans="1:36" x14ac:dyDescent="0.3">
      <c r="A27" s="47">
        <f ca="1">DAYS360(INDIRECT(A127&amp;ROW()),TODAY())</f>
        <v>3</v>
      </c>
      <c r="B27" s="47">
        <f ca="1">DAYS360(INDIRECT(A126&amp;ROW()),TODAY())</f>
        <v>44</v>
      </c>
      <c r="C27" s="42">
        <f>HYPERLINK(BZurls!B3 &amp; 98941,98941)</f>
        <v>98941</v>
      </c>
      <c r="D27" s="136" t="s">
        <v>695</v>
      </c>
      <c r="E27" s="136" t="s">
        <v>1488</v>
      </c>
      <c r="F27" s="136" t="s">
        <v>2</v>
      </c>
      <c r="G27" s="136" t="s">
        <v>999</v>
      </c>
      <c r="H27" s="136" t="s">
        <v>339</v>
      </c>
      <c r="I27" s="136"/>
      <c r="J27" s="137">
        <v>42899.740254629629</v>
      </c>
      <c r="K27" s="136" t="s">
        <v>159</v>
      </c>
      <c r="L27" s="136" t="s">
        <v>1430</v>
      </c>
      <c r="M27" s="137">
        <v>42857.193495370368</v>
      </c>
      <c r="N27" s="136" t="s">
        <v>16</v>
      </c>
      <c r="O27" s="136"/>
      <c r="P27" s="136" t="s">
        <v>366</v>
      </c>
      <c r="Q27" s="136" t="s">
        <v>6</v>
      </c>
      <c r="R27" s="136" t="s">
        <v>30</v>
      </c>
      <c r="S27" s="136" t="s">
        <v>13</v>
      </c>
      <c r="T27" s="136" t="s">
        <v>19</v>
      </c>
      <c r="U27" s="136"/>
      <c r="V27" s="136" t="s">
        <v>1449</v>
      </c>
      <c r="W27" s="136" t="s">
        <v>89</v>
      </c>
      <c r="X27" s="136" t="s">
        <v>1449</v>
      </c>
      <c r="Y27" s="136" t="s">
        <v>82</v>
      </c>
      <c r="Z27" s="136" t="s">
        <v>1449</v>
      </c>
      <c r="AA27" s="136" t="s">
        <v>1449</v>
      </c>
      <c r="AB27" s="136" t="s">
        <v>1449</v>
      </c>
      <c r="AC27" s="136" t="s">
        <v>1449</v>
      </c>
      <c r="AD27" s="136" t="s">
        <v>623</v>
      </c>
      <c r="AE27" s="136" t="s">
        <v>1085</v>
      </c>
      <c r="AF27" s="136">
        <v>17510</v>
      </c>
      <c r="AG27" s="136"/>
      <c r="AH27" s="136"/>
      <c r="AI27" s="132"/>
      <c r="AJ27" s="132"/>
    </row>
    <row r="28" spans="1:36" x14ac:dyDescent="0.3">
      <c r="A28" s="47">
        <f ca="1">DAYS360(INDIRECT(A127&amp;ROW()),TODAY())</f>
        <v>1</v>
      </c>
      <c r="B28" s="47">
        <f ca="1">DAYS360(INDIRECT(A126&amp;ROW()),TODAY())</f>
        <v>42</v>
      </c>
      <c r="C28" s="42">
        <f>HYPERLINK(BZurls!B3 &amp; 99073,99073)</f>
        <v>99073</v>
      </c>
      <c r="D28" s="136" t="s">
        <v>1494</v>
      </c>
      <c r="E28" s="136" t="s">
        <v>1495</v>
      </c>
      <c r="F28" s="136" t="s">
        <v>2</v>
      </c>
      <c r="G28" s="136" t="s">
        <v>999</v>
      </c>
      <c r="H28" s="136" t="s">
        <v>1347</v>
      </c>
      <c r="I28" s="136"/>
      <c r="J28" s="137">
        <v>42901.350289351853</v>
      </c>
      <c r="K28" s="136" t="s">
        <v>159</v>
      </c>
      <c r="L28" s="136" t="s">
        <v>999</v>
      </c>
      <c r="M28" s="137">
        <v>42859.6246875</v>
      </c>
      <c r="N28" s="136" t="s">
        <v>628</v>
      </c>
      <c r="O28" s="136"/>
      <c r="P28" s="136" t="s">
        <v>717</v>
      </c>
      <c r="Q28" s="136" t="s">
        <v>12</v>
      </c>
      <c r="R28" s="136" t="s">
        <v>30</v>
      </c>
      <c r="S28" s="136" t="s">
        <v>1462</v>
      </c>
      <c r="T28" s="136" t="s">
        <v>1496</v>
      </c>
      <c r="U28" s="136"/>
      <c r="V28" s="136" t="s">
        <v>1449</v>
      </c>
      <c r="W28" s="136" t="s">
        <v>1022</v>
      </c>
      <c r="X28" s="136" t="s">
        <v>1449</v>
      </c>
      <c r="Y28" s="136" t="s">
        <v>82</v>
      </c>
      <c r="Z28" s="136" t="s">
        <v>1449</v>
      </c>
      <c r="AA28" s="136" t="s">
        <v>1449</v>
      </c>
      <c r="AB28" s="136" t="s">
        <v>1449</v>
      </c>
      <c r="AC28" s="136" t="s">
        <v>1449</v>
      </c>
      <c r="AD28" s="136" t="s">
        <v>623</v>
      </c>
      <c r="AE28" s="136" t="s">
        <v>1449</v>
      </c>
      <c r="AF28" s="136"/>
      <c r="AG28" s="136" t="s">
        <v>1502</v>
      </c>
      <c r="AH28" s="136"/>
      <c r="AI28" s="132"/>
      <c r="AJ28" s="132"/>
    </row>
    <row r="29" spans="1:36" x14ac:dyDescent="0.3">
      <c r="A29" s="47">
        <f ca="1">DAYS360(INDIRECT(A127&amp;ROW()),TODAY())</f>
        <v>3</v>
      </c>
      <c r="B29" s="47">
        <f ca="1">DAYS360(INDIRECT(A126&amp;ROW()),TODAY())</f>
        <v>30</v>
      </c>
      <c r="C29" s="42">
        <f>HYPERLINK(BZurls!B3 &amp; 99537,99537)</f>
        <v>99537</v>
      </c>
      <c r="D29" s="136" t="s">
        <v>332</v>
      </c>
      <c r="E29" s="136" t="s">
        <v>1493</v>
      </c>
      <c r="F29" s="136" t="s">
        <v>2</v>
      </c>
      <c r="G29" s="136" t="s">
        <v>999</v>
      </c>
      <c r="H29" s="136" t="s">
        <v>339</v>
      </c>
      <c r="I29" s="136" t="s">
        <v>1487</v>
      </c>
      <c r="J29" s="137">
        <v>42899.42019675926</v>
      </c>
      <c r="K29" s="136" t="s">
        <v>4</v>
      </c>
      <c r="L29" s="136" t="s">
        <v>999</v>
      </c>
      <c r="M29" s="137">
        <v>42871.215324074074</v>
      </c>
      <c r="N29" s="136" t="s">
        <v>628</v>
      </c>
      <c r="O29" s="136"/>
      <c r="P29" s="136" t="s">
        <v>366</v>
      </c>
      <c r="Q29" s="136" t="s">
        <v>6</v>
      </c>
      <c r="R29" s="136" t="s">
        <v>30</v>
      </c>
      <c r="S29" s="136" t="s">
        <v>13</v>
      </c>
      <c r="T29" s="136" t="s">
        <v>292</v>
      </c>
      <c r="U29" s="136"/>
      <c r="V29" s="136" t="s">
        <v>1449</v>
      </c>
      <c r="W29" s="136" t="s">
        <v>10</v>
      </c>
      <c r="X29" s="136" t="s">
        <v>1449</v>
      </c>
      <c r="Y29" s="136" t="s">
        <v>82</v>
      </c>
      <c r="Z29" s="136" t="s">
        <v>1449</v>
      </c>
      <c r="AA29" s="136" t="s">
        <v>1449</v>
      </c>
      <c r="AB29" s="136" t="s">
        <v>1449</v>
      </c>
      <c r="AC29" s="136" t="s">
        <v>1449</v>
      </c>
      <c r="AD29" s="136" t="s">
        <v>623</v>
      </c>
      <c r="AE29" s="136" t="s">
        <v>1449</v>
      </c>
      <c r="AF29" s="136"/>
      <c r="AG29" s="136" t="s">
        <v>1507</v>
      </c>
      <c r="AH29" s="136"/>
      <c r="AI29" s="132"/>
      <c r="AJ29" s="132"/>
    </row>
    <row r="30" spans="1:36" x14ac:dyDescent="0.3">
      <c r="A30" s="47">
        <f ca="1">DAYS360(INDIRECT(A127&amp;ROW()),TODAY())</f>
        <v>1</v>
      </c>
      <c r="B30" s="47">
        <f ca="1">DAYS360(INDIRECT(A126&amp;ROW()),TODAY())</f>
        <v>24</v>
      </c>
      <c r="C30" s="42">
        <f>HYPERLINK(BZurls!B3 &amp; 99809,99809)</f>
        <v>99809</v>
      </c>
      <c r="D30" s="136" t="s">
        <v>596</v>
      </c>
      <c r="E30" s="136" t="s">
        <v>1508</v>
      </c>
      <c r="F30" s="136" t="s">
        <v>11</v>
      </c>
      <c r="G30" s="136" t="s">
        <v>1208</v>
      </c>
      <c r="H30" s="136" t="s">
        <v>815</v>
      </c>
      <c r="I30" s="136"/>
      <c r="J30" s="137">
        <v>42901.232187499998</v>
      </c>
      <c r="K30" s="136" t="s">
        <v>4</v>
      </c>
      <c r="L30" s="136" t="s">
        <v>1499</v>
      </c>
      <c r="M30" s="137">
        <v>42877.304768518516</v>
      </c>
      <c r="N30" s="136" t="s">
        <v>16</v>
      </c>
      <c r="O30" s="136"/>
      <c r="P30" s="136" t="s">
        <v>366</v>
      </c>
      <c r="Q30" s="136" t="s">
        <v>17</v>
      </c>
      <c r="R30" s="136" t="s">
        <v>30</v>
      </c>
      <c r="S30" s="136" t="s">
        <v>13</v>
      </c>
      <c r="T30" s="136" t="s">
        <v>19</v>
      </c>
      <c r="U30" s="136"/>
      <c r="V30" s="136" t="s">
        <v>1449</v>
      </c>
      <c r="W30" s="136" t="s">
        <v>89</v>
      </c>
      <c r="X30" s="136" t="s">
        <v>1449</v>
      </c>
      <c r="Y30" s="136" t="s">
        <v>82</v>
      </c>
      <c r="Z30" s="136" t="s">
        <v>1449</v>
      </c>
      <c r="AA30" s="136" t="s">
        <v>1449</v>
      </c>
      <c r="AB30" s="136" t="s">
        <v>1449</v>
      </c>
      <c r="AC30" s="136" t="s">
        <v>1449</v>
      </c>
      <c r="AD30" s="136" t="s">
        <v>1449</v>
      </c>
      <c r="AE30" s="136" t="s">
        <v>1449</v>
      </c>
      <c r="AF30" s="136"/>
      <c r="AG30" s="136"/>
      <c r="AH30" s="136"/>
      <c r="AI30" s="132"/>
      <c r="AJ30" s="132"/>
    </row>
    <row r="31" spans="1:36" x14ac:dyDescent="0.3">
      <c r="A31" s="47">
        <f ca="1">DAYS360(INDIRECT(A127&amp;ROW()),TODAY())</f>
        <v>16</v>
      </c>
      <c r="B31" s="47">
        <f ca="1">DAYS360(INDIRECT(A126&amp;ROW()),TODAY())</f>
        <v>16</v>
      </c>
      <c r="C31" s="42">
        <f>HYPERLINK(BZurls!B3 &amp; 100123,100123)</f>
        <v>100123</v>
      </c>
      <c r="D31" s="136" t="s">
        <v>336</v>
      </c>
      <c r="E31" s="136" t="s">
        <v>1489</v>
      </c>
      <c r="F31" s="136" t="s">
        <v>2</v>
      </c>
      <c r="G31" s="136" t="s">
        <v>999</v>
      </c>
      <c r="H31" s="136" t="s">
        <v>339</v>
      </c>
      <c r="I31" s="136"/>
      <c r="J31" s="137">
        <v>42885.236493055556</v>
      </c>
      <c r="K31" s="136" t="s">
        <v>20</v>
      </c>
      <c r="L31" s="136" t="s">
        <v>1430</v>
      </c>
      <c r="M31" s="137">
        <v>42885.190057870372</v>
      </c>
      <c r="N31" s="136" t="s">
        <v>16</v>
      </c>
      <c r="O31" s="136"/>
      <c r="P31" s="136" t="s">
        <v>366</v>
      </c>
      <c r="Q31" s="136" t="s">
        <v>6</v>
      </c>
      <c r="R31" s="136" t="s">
        <v>30</v>
      </c>
      <c r="S31" s="136" t="s">
        <v>13</v>
      </c>
      <c r="T31" s="136" t="s">
        <v>35</v>
      </c>
      <c r="U31" s="136"/>
      <c r="V31" s="136" t="s">
        <v>1449</v>
      </c>
      <c r="W31" s="136" t="s">
        <v>89</v>
      </c>
      <c r="X31" s="136" t="s">
        <v>1449</v>
      </c>
      <c r="Y31" s="136" t="s">
        <v>82</v>
      </c>
      <c r="Z31" s="136" t="s">
        <v>1449</v>
      </c>
      <c r="AA31" s="136" t="s">
        <v>1449</v>
      </c>
      <c r="AB31" s="136" t="s">
        <v>1449</v>
      </c>
      <c r="AC31" s="136" t="s">
        <v>1449</v>
      </c>
      <c r="AD31" s="136" t="s">
        <v>623</v>
      </c>
      <c r="AE31" s="136" t="s">
        <v>1085</v>
      </c>
      <c r="AF31" s="136">
        <v>17789</v>
      </c>
      <c r="AG31" s="136"/>
      <c r="AH31" s="136"/>
      <c r="AI31" s="132"/>
      <c r="AJ31" s="132"/>
    </row>
    <row r="32" spans="1:36" x14ac:dyDescent="0.3">
      <c r="A32" s="47">
        <f ca="1">DAYS360(INDIRECT(A127&amp;ROW()),TODAY())</f>
        <v>3</v>
      </c>
      <c r="B32" s="47">
        <f ca="1">DAYS360(INDIRECT(A126&amp;ROW()),TODAY())</f>
        <v>4</v>
      </c>
      <c r="C32" s="42">
        <f>HYPERLINK(BZurls!B3 &amp; 100754,100754)</f>
        <v>100754</v>
      </c>
      <c r="D32" s="136" t="s">
        <v>1017</v>
      </c>
      <c r="E32" s="136" t="s">
        <v>1497</v>
      </c>
      <c r="F32" s="136" t="s">
        <v>2</v>
      </c>
      <c r="G32" s="136" t="s">
        <v>999</v>
      </c>
      <c r="H32" s="136" t="s">
        <v>1017</v>
      </c>
      <c r="I32" s="136" t="s">
        <v>1498</v>
      </c>
      <c r="J32" s="137">
        <v>42899.49009259259</v>
      </c>
      <c r="K32" s="136" t="s">
        <v>4</v>
      </c>
      <c r="L32" s="136" t="s">
        <v>1499</v>
      </c>
      <c r="M32" s="137">
        <v>42898.185810185183</v>
      </c>
      <c r="N32" s="136" t="s">
        <v>16</v>
      </c>
      <c r="O32" s="136"/>
      <c r="P32" s="136" t="s">
        <v>366</v>
      </c>
      <c r="Q32" s="136" t="s">
        <v>12</v>
      </c>
      <c r="R32" s="136" t="s">
        <v>30</v>
      </c>
      <c r="S32" s="136" t="s">
        <v>13</v>
      </c>
      <c r="T32" s="136" t="s">
        <v>19</v>
      </c>
      <c r="U32" s="136"/>
      <c r="V32" s="136" t="s">
        <v>55</v>
      </c>
      <c r="W32" s="136" t="s">
        <v>89</v>
      </c>
      <c r="X32" s="136" t="s">
        <v>1449</v>
      </c>
      <c r="Y32" s="136" t="s">
        <v>82</v>
      </c>
      <c r="Z32" s="136" t="s">
        <v>1503</v>
      </c>
      <c r="AA32" s="136" t="s">
        <v>1449</v>
      </c>
      <c r="AB32" s="136" t="s">
        <v>1449</v>
      </c>
      <c r="AC32" s="136" t="s">
        <v>1449</v>
      </c>
      <c r="AD32" s="136" t="s">
        <v>1449</v>
      </c>
      <c r="AE32" s="136" t="s">
        <v>1449</v>
      </c>
      <c r="AF32" s="136"/>
      <c r="AG32" s="136"/>
      <c r="AH32" s="136"/>
      <c r="AI32" s="132"/>
      <c r="AJ32" s="132"/>
    </row>
    <row r="33" spans="1:36" x14ac:dyDescent="0.3">
      <c r="A33" s="47">
        <f ca="1">DAYS360(INDIRECT(A127&amp;ROW()),TODAY())</f>
        <v>0</v>
      </c>
      <c r="B33" s="47">
        <f ca="1">DAYS360(INDIRECT(A126&amp;ROW()),TODAY())</f>
        <v>4</v>
      </c>
      <c r="C33" s="42">
        <f>HYPERLINK(BZurls!B3 &amp; 100789,100789)</f>
        <v>100789</v>
      </c>
      <c r="D33" s="136" t="s">
        <v>1486</v>
      </c>
      <c r="E33" s="136" t="s">
        <v>1504</v>
      </c>
      <c r="F33" s="136" t="s">
        <v>2</v>
      </c>
      <c r="G33" s="136" t="s">
        <v>999</v>
      </c>
      <c r="H33" s="136" t="s">
        <v>339</v>
      </c>
      <c r="I33" s="136"/>
      <c r="J33" s="137">
        <v>42902.14916666667</v>
      </c>
      <c r="K33" s="136" t="s">
        <v>20</v>
      </c>
      <c r="L33" s="136" t="s">
        <v>1397</v>
      </c>
      <c r="M33" s="137">
        <v>42898.897847222222</v>
      </c>
      <c r="N33" s="136" t="s">
        <v>16</v>
      </c>
      <c r="O33" s="136"/>
      <c r="P33" s="136" t="s">
        <v>366</v>
      </c>
      <c r="Q33" s="136" t="s">
        <v>17</v>
      </c>
      <c r="R33" s="136" t="s">
        <v>30</v>
      </c>
      <c r="S33" s="136" t="s">
        <v>13</v>
      </c>
      <c r="T33" s="136" t="s">
        <v>19</v>
      </c>
      <c r="U33" s="136"/>
      <c r="V33" s="136" t="s">
        <v>1449</v>
      </c>
      <c r="W33" s="136" t="s">
        <v>89</v>
      </c>
      <c r="X33" s="136" t="s">
        <v>1449</v>
      </c>
      <c r="Y33" s="136" t="s">
        <v>82</v>
      </c>
      <c r="Z33" s="136" t="s">
        <v>1449</v>
      </c>
      <c r="AA33" s="136" t="s">
        <v>1449</v>
      </c>
      <c r="AB33" s="136" t="s">
        <v>1449</v>
      </c>
      <c r="AC33" s="136" t="s">
        <v>1449</v>
      </c>
      <c r="AD33" s="136" t="s">
        <v>623</v>
      </c>
      <c r="AE33" s="136" t="s">
        <v>1449</v>
      </c>
      <c r="AF33" s="136">
        <v>17885</v>
      </c>
      <c r="AG33" s="136"/>
      <c r="AH33" s="136"/>
      <c r="AI33" s="132"/>
      <c r="AJ33" s="132"/>
    </row>
    <row r="34" spans="1:36" x14ac:dyDescent="0.3">
      <c r="A34" s="47">
        <f ca="1">DAYS360(INDIRECT(A127&amp;ROW()),TODAY())</f>
        <v>3</v>
      </c>
      <c r="B34" s="47">
        <f ca="1">DAYS360(INDIRECT(A126&amp;ROW()),TODAY())</f>
        <v>3</v>
      </c>
      <c r="C34" s="42">
        <f>HYPERLINK(BZurls!B3 &amp; 100833,100833)</f>
        <v>100833</v>
      </c>
      <c r="D34" s="136" t="s">
        <v>374</v>
      </c>
      <c r="E34" s="136" t="s">
        <v>1505</v>
      </c>
      <c r="F34" s="136" t="s">
        <v>11</v>
      </c>
      <c r="G34" s="136" t="s">
        <v>999</v>
      </c>
      <c r="H34" s="136" t="s">
        <v>339</v>
      </c>
      <c r="I34" s="136"/>
      <c r="J34" s="137">
        <v>42899.202673611115</v>
      </c>
      <c r="K34" s="136" t="s">
        <v>20</v>
      </c>
      <c r="L34" s="136" t="s">
        <v>1500</v>
      </c>
      <c r="M34" s="137">
        <v>42899.190057870372</v>
      </c>
      <c r="N34" s="136" t="s">
        <v>1370</v>
      </c>
      <c r="O34" s="136"/>
      <c r="P34" s="136" t="s">
        <v>366</v>
      </c>
      <c r="Q34" s="136" t="s">
        <v>12</v>
      </c>
      <c r="R34" s="136" t="s">
        <v>30</v>
      </c>
      <c r="S34" s="136" t="s">
        <v>13</v>
      </c>
      <c r="T34" s="136" t="s">
        <v>292</v>
      </c>
      <c r="U34" s="136"/>
      <c r="V34" s="136" t="s">
        <v>1449</v>
      </c>
      <c r="W34" s="136" t="s">
        <v>10</v>
      </c>
      <c r="X34" s="136" t="s">
        <v>1449</v>
      </c>
      <c r="Y34" s="136" t="s">
        <v>82</v>
      </c>
      <c r="Z34" s="136" t="s">
        <v>1449</v>
      </c>
      <c r="AA34" s="136" t="s">
        <v>1449</v>
      </c>
      <c r="AB34" s="136" t="s">
        <v>1449</v>
      </c>
      <c r="AC34" s="136" t="s">
        <v>1449</v>
      </c>
      <c r="AD34" s="136" t="s">
        <v>623</v>
      </c>
      <c r="AE34" s="136" t="s">
        <v>1449</v>
      </c>
      <c r="AF34" s="136"/>
      <c r="AG34" s="136"/>
      <c r="AH34" s="136"/>
      <c r="AI34" s="132"/>
      <c r="AJ34" s="132"/>
    </row>
    <row r="35" spans="1:36" x14ac:dyDescent="0.3">
      <c r="A35" s="47">
        <f ca="1">DAYS360(INDIRECT(A127&amp;ROW()),TODAY())</f>
        <v>3</v>
      </c>
      <c r="B35" s="47">
        <f ca="1">DAYS360(INDIRECT(A126&amp;ROW()),TODAY())</f>
        <v>3</v>
      </c>
      <c r="C35" s="42">
        <f>HYPERLINK(BZurls!B3 &amp; 100835,100835)</f>
        <v>100835</v>
      </c>
      <c r="D35" s="136" t="s">
        <v>331</v>
      </c>
      <c r="E35" s="136" t="s">
        <v>1506</v>
      </c>
      <c r="F35" s="136" t="s">
        <v>11</v>
      </c>
      <c r="G35" s="136" t="s">
        <v>999</v>
      </c>
      <c r="H35" s="136" t="s">
        <v>339</v>
      </c>
      <c r="I35" s="136"/>
      <c r="J35" s="137">
        <v>42899.212511574071</v>
      </c>
      <c r="K35" s="136" t="s">
        <v>20</v>
      </c>
      <c r="L35" s="136" t="s">
        <v>1500</v>
      </c>
      <c r="M35" s="137">
        <v>42899.19327546296</v>
      </c>
      <c r="N35" s="136" t="s">
        <v>1370</v>
      </c>
      <c r="O35" s="136"/>
      <c r="P35" s="136" t="s">
        <v>366</v>
      </c>
      <c r="Q35" s="136" t="s">
        <v>17</v>
      </c>
      <c r="R35" s="136" t="s">
        <v>30</v>
      </c>
      <c r="S35" s="136" t="s">
        <v>13</v>
      </c>
      <c r="T35" s="136" t="s">
        <v>292</v>
      </c>
      <c r="U35" s="136"/>
      <c r="V35" s="136" t="s">
        <v>1449</v>
      </c>
      <c r="W35" s="136" t="s">
        <v>10</v>
      </c>
      <c r="X35" s="136" t="s">
        <v>1449</v>
      </c>
      <c r="Y35" s="136" t="s">
        <v>82</v>
      </c>
      <c r="Z35" s="136" t="s">
        <v>1449</v>
      </c>
      <c r="AA35" s="136" t="s">
        <v>1449</v>
      </c>
      <c r="AB35" s="136" t="s">
        <v>1449</v>
      </c>
      <c r="AC35" s="136" t="s">
        <v>1449</v>
      </c>
      <c r="AD35" s="136" t="s">
        <v>623</v>
      </c>
      <c r="AE35" s="136" t="s">
        <v>1449</v>
      </c>
      <c r="AF35" s="136"/>
      <c r="AG35" s="136"/>
      <c r="AH35" s="136"/>
      <c r="AI35" s="132"/>
      <c r="AJ35" s="132"/>
    </row>
    <row r="36" spans="1:36" hidden="1" x14ac:dyDescent="0.3">
      <c r="A36" s="47">
        <f ca="1">DAYS360(INDIRECT(A127&amp;ROW()),TODAY())</f>
        <v>0</v>
      </c>
      <c r="B36" s="47">
        <f ca="1">DAYS360(INDIRECT(A126&amp;ROW()),TODAY())</f>
        <v>3</v>
      </c>
      <c r="C36" s="42">
        <f>HYPERLINK(BZurls!B3 &amp; 100873,100873)</f>
        <v>100873</v>
      </c>
      <c r="D36" s="136" t="s">
        <v>1118</v>
      </c>
      <c r="E36" s="136" t="s">
        <v>1509</v>
      </c>
      <c r="F36" s="136" t="s">
        <v>652</v>
      </c>
      <c r="G36" s="136" t="s">
        <v>1208</v>
      </c>
      <c r="H36" s="136" t="s">
        <v>1510</v>
      </c>
      <c r="I36" s="136"/>
      <c r="J36" s="137">
        <v>42902.226203703707</v>
      </c>
      <c r="K36" s="136" t="s">
        <v>20</v>
      </c>
      <c r="L36" s="136" t="s">
        <v>1463</v>
      </c>
      <c r="M36" s="137">
        <v>42899.996446759258</v>
      </c>
      <c r="N36" s="136" t="s">
        <v>168</v>
      </c>
      <c r="O36" s="136"/>
      <c r="P36" s="136"/>
      <c r="Q36" s="136" t="s">
        <v>1031</v>
      </c>
      <c r="R36" s="136" t="s">
        <v>30</v>
      </c>
      <c r="S36" s="136" t="s">
        <v>24</v>
      </c>
      <c r="T36" s="136" t="s">
        <v>46</v>
      </c>
      <c r="U36" s="136"/>
      <c r="V36" s="136" t="s">
        <v>1449</v>
      </c>
      <c r="W36" s="136" t="s">
        <v>10</v>
      </c>
      <c r="X36" s="136" t="s">
        <v>1449</v>
      </c>
      <c r="Y36" s="136" t="s">
        <v>104</v>
      </c>
      <c r="Z36" s="136" t="s">
        <v>1449</v>
      </c>
      <c r="AA36" s="136" t="s">
        <v>1449</v>
      </c>
      <c r="AB36" s="136" t="s">
        <v>1449</v>
      </c>
      <c r="AC36" s="136" t="s">
        <v>1449</v>
      </c>
      <c r="AD36" s="136" t="s">
        <v>1449</v>
      </c>
      <c r="AE36" s="136" t="s">
        <v>1449</v>
      </c>
      <c r="AF36" s="136"/>
      <c r="AG36" s="136"/>
      <c r="AH36" s="136"/>
      <c r="AI36" s="132"/>
      <c r="AJ36" s="132"/>
    </row>
    <row r="37" spans="1:36" x14ac:dyDescent="0.3">
      <c r="A37" s="47">
        <f ca="1">DAYS360(INDIRECT(A127&amp;ROW()),TODAY())</f>
        <v>1</v>
      </c>
      <c r="B37" s="47">
        <f ca="1">DAYS360(INDIRECT(A126&amp;ROW()),TODAY())</f>
        <v>2</v>
      </c>
      <c r="C37" s="42">
        <f>HYPERLINK(BZurls!B3 &amp; 100879,100879)</f>
        <v>100879</v>
      </c>
      <c r="D37" s="136" t="s">
        <v>597</v>
      </c>
      <c r="E37" s="136" t="s">
        <v>1536</v>
      </c>
      <c r="F37" s="136" t="s">
        <v>11</v>
      </c>
      <c r="G37" s="136" t="s">
        <v>1208</v>
      </c>
      <c r="H37" s="136" t="s">
        <v>1511</v>
      </c>
      <c r="I37" s="136"/>
      <c r="J37" s="137">
        <v>42901.644895833335</v>
      </c>
      <c r="K37" s="136" t="s">
        <v>159</v>
      </c>
      <c r="L37" s="136" t="s">
        <v>1500</v>
      </c>
      <c r="M37" s="137">
        <v>42900.046053240738</v>
      </c>
      <c r="N37" s="136" t="s">
        <v>16</v>
      </c>
      <c r="O37" s="136"/>
      <c r="P37" s="136" t="s">
        <v>366</v>
      </c>
      <c r="Q37" s="136" t="s">
        <v>17</v>
      </c>
      <c r="R37" s="136" t="s">
        <v>30</v>
      </c>
      <c r="S37" s="136" t="s">
        <v>13</v>
      </c>
      <c r="T37" s="136" t="s">
        <v>236</v>
      </c>
      <c r="U37" s="136"/>
      <c r="V37" s="136" t="s">
        <v>1449</v>
      </c>
      <c r="W37" s="136" t="s">
        <v>89</v>
      </c>
      <c r="X37" s="136" t="s">
        <v>1449</v>
      </c>
      <c r="Y37" s="136" t="s">
        <v>82</v>
      </c>
      <c r="Z37" s="136" t="s">
        <v>1449</v>
      </c>
      <c r="AA37" s="136" t="s">
        <v>1449</v>
      </c>
      <c r="AB37" s="136" t="s">
        <v>1449</v>
      </c>
      <c r="AC37" s="136" t="s">
        <v>1449</v>
      </c>
      <c r="AD37" s="136" t="s">
        <v>1449</v>
      </c>
      <c r="AE37" s="136" t="s">
        <v>1449</v>
      </c>
      <c r="AF37" s="136"/>
      <c r="AG37" s="136"/>
      <c r="AH37" s="136"/>
      <c r="AI37" s="132"/>
      <c r="AJ37" s="132"/>
    </row>
    <row r="38" spans="1:36" hidden="1" x14ac:dyDescent="0.3">
      <c r="A38" s="47">
        <f ca="1">DAYS360(INDIRECT(A127&amp;ROW()),TODAY())</f>
        <v>0</v>
      </c>
      <c r="B38" s="47">
        <f ca="1">DAYS360(INDIRECT(A126&amp;ROW()),TODAY())</f>
        <v>2</v>
      </c>
      <c r="C38" s="42">
        <f>HYPERLINK(BZurls!B3 &amp; 100945,100945)</f>
        <v>100945</v>
      </c>
      <c r="D38" s="136" t="s">
        <v>1537</v>
      </c>
      <c r="E38" s="136" t="s">
        <v>1538</v>
      </c>
      <c r="F38" s="136" t="s">
        <v>2</v>
      </c>
      <c r="G38" s="136" t="s">
        <v>1208</v>
      </c>
      <c r="H38" s="136" t="s">
        <v>1015</v>
      </c>
      <c r="I38" s="136"/>
      <c r="J38" s="137">
        <v>42902.285219907404</v>
      </c>
      <c r="K38" s="136" t="s">
        <v>20</v>
      </c>
      <c r="L38" s="136" t="s">
        <v>999</v>
      </c>
      <c r="M38" s="137">
        <v>42900.689282407409</v>
      </c>
      <c r="N38" s="136" t="s">
        <v>628</v>
      </c>
      <c r="O38" s="136"/>
      <c r="P38" s="136"/>
      <c r="Q38" s="136" t="s">
        <v>6</v>
      </c>
      <c r="R38" s="136" t="s">
        <v>30</v>
      </c>
      <c r="S38" s="136" t="s">
        <v>8</v>
      </c>
      <c r="T38" s="136" t="s">
        <v>153</v>
      </c>
      <c r="U38" s="136"/>
      <c r="V38" s="136" t="s">
        <v>1449</v>
      </c>
      <c r="W38" s="136" t="s">
        <v>10</v>
      </c>
      <c r="X38" s="136" t="s">
        <v>1449</v>
      </c>
      <c r="Y38" s="136" t="s">
        <v>82</v>
      </c>
      <c r="Z38" s="136" t="s">
        <v>1449</v>
      </c>
      <c r="AA38" s="136" t="s">
        <v>1449</v>
      </c>
      <c r="AB38" s="136" t="s">
        <v>1449</v>
      </c>
      <c r="AC38" s="136" t="s">
        <v>1449</v>
      </c>
      <c r="AD38" s="136" t="s">
        <v>1449</v>
      </c>
      <c r="AE38" s="136" t="s">
        <v>1449</v>
      </c>
      <c r="AF38" s="136"/>
      <c r="AG38" s="136"/>
      <c r="AH38" s="136"/>
      <c r="AI38" s="132"/>
      <c r="AJ38" s="132"/>
    </row>
    <row r="39" spans="1:36" x14ac:dyDescent="0.3">
      <c r="A39" s="47">
        <f ca="1">DAYS360(INDIRECT(A127&amp;ROW()),TODAY())</f>
        <v>1</v>
      </c>
      <c r="B39" s="47">
        <f ca="1">DAYS360(INDIRECT(A126&amp;ROW()),TODAY())</f>
        <v>1</v>
      </c>
      <c r="C39" s="42">
        <f>HYPERLINK(BZurls!B3 &amp; 100977,100977)</f>
        <v>100977</v>
      </c>
      <c r="D39" s="136" t="s">
        <v>374</v>
      </c>
      <c r="E39" s="136" t="s">
        <v>1539</v>
      </c>
      <c r="F39" s="136" t="s">
        <v>11</v>
      </c>
      <c r="G39" s="136" t="s">
        <v>999</v>
      </c>
      <c r="H39" s="136" t="s">
        <v>339</v>
      </c>
      <c r="I39" s="136"/>
      <c r="J39" s="137">
        <v>42901.223796296297</v>
      </c>
      <c r="K39" s="136" t="s">
        <v>20</v>
      </c>
      <c r="L39" s="136" t="s">
        <v>999</v>
      </c>
      <c r="M39" s="137">
        <v>42901.223796296297</v>
      </c>
      <c r="N39" s="136" t="s">
        <v>628</v>
      </c>
      <c r="O39" s="136"/>
      <c r="P39" s="136" t="s">
        <v>366</v>
      </c>
      <c r="Q39" s="136" t="s">
        <v>12</v>
      </c>
      <c r="R39" s="136" t="s">
        <v>30</v>
      </c>
      <c r="S39" s="136" t="s">
        <v>13</v>
      </c>
      <c r="T39" s="136" t="s">
        <v>19</v>
      </c>
      <c r="U39" s="136"/>
      <c r="V39" s="136" t="s">
        <v>1449</v>
      </c>
      <c r="W39" s="136" t="s">
        <v>10</v>
      </c>
      <c r="X39" s="136" t="s">
        <v>1449</v>
      </c>
      <c r="Y39" s="136" t="s">
        <v>82</v>
      </c>
      <c r="Z39" s="136" t="s">
        <v>1449</v>
      </c>
      <c r="AA39" s="136" t="s">
        <v>1449</v>
      </c>
      <c r="AB39" s="136" t="s">
        <v>1449</v>
      </c>
      <c r="AC39" s="136" t="s">
        <v>1449</v>
      </c>
      <c r="AD39" s="136" t="s">
        <v>623</v>
      </c>
      <c r="AE39" s="136" t="s">
        <v>1449</v>
      </c>
      <c r="AF39" s="136"/>
      <c r="AG39" s="136"/>
      <c r="AH39" s="136"/>
      <c r="AI39" s="132"/>
      <c r="AJ39" s="132"/>
    </row>
    <row r="40" spans="1:36" x14ac:dyDescent="0.3">
      <c r="A40" s="47">
        <f ca="1">DAYS360(INDIRECT(A127&amp;ROW()),TODAY())</f>
        <v>0</v>
      </c>
      <c r="B40" s="47">
        <f ca="1">DAYS360(INDIRECT(A126&amp;ROW()),TODAY())</f>
        <v>0</v>
      </c>
      <c r="C40" s="42">
        <f>HYPERLINK(BZurls!B3 &amp; 101044,101044)</f>
        <v>101044</v>
      </c>
      <c r="D40" s="136" t="s">
        <v>324</v>
      </c>
      <c r="E40" s="136" t="s">
        <v>1545</v>
      </c>
      <c r="F40" s="136" t="s">
        <v>11</v>
      </c>
      <c r="G40" s="136" t="s">
        <v>1208</v>
      </c>
      <c r="H40" s="136" t="s">
        <v>1347</v>
      </c>
      <c r="I40" s="136"/>
      <c r="J40" s="137">
        <v>42902.348136574074</v>
      </c>
      <c r="K40" s="136" t="s">
        <v>20</v>
      </c>
      <c r="L40" s="136" t="s">
        <v>26</v>
      </c>
      <c r="M40" s="137">
        <v>42902.348124999997</v>
      </c>
      <c r="N40" s="136" t="s">
        <v>600</v>
      </c>
      <c r="O40" s="136"/>
      <c r="P40" s="136"/>
      <c r="Q40" s="136" t="s">
        <v>17</v>
      </c>
      <c r="R40" s="136" t="s">
        <v>30</v>
      </c>
      <c r="S40" s="136" t="s">
        <v>13</v>
      </c>
      <c r="T40" s="136" t="s">
        <v>587</v>
      </c>
      <c r="U40" s="136"/>
      <c r="V40" s="136" t="s">
        <v>1449</v>
      </c>
      <c r="W40" s="136" t="s">
        <v>10</v>
      </c>
      <c r="X40" s="136" t="s">
        <v>1449</v>
      </c>
      <c r="Y40" s="136" t="s">
        <v>82</v>
      </c>
      <c r="Z40" s="136" t="s">
        <v>1449</v>
      </c>
      <c r="AA40" s="136" t="s">
        <v>1449</v>
      </c>
      <c r="AB40" s="136" t="s">
        <v>1449</v>
      </c>
      <c r="AC40" s="136" t="s">
        <v>1449</v>
      </c>
      <c r="AD40" s="136" t="s">
        <v>1449</v>
      </c>
      <c r="AE40" s="136" t="s">
        <v>1449</v>
      </c>
      <c r="AF40" s="136"/>
      <c r="AG40" s="136"/>
      <c r="AH40" s="136"/>
      <c r="AI40" s="132"/>
      <c r="AJ40" s="132"/>
    </row>
    <row r="41" spans="1:36" hidden="1" x14ac:dyDescent="0.3">
      <c r="A41" s="47">
        <f ca="1">DAYS360(INDIRECT(A127&amp;ROW()),TODAY())</f>
        <v>42286</v>
      </c>
      <c r="B41" s="47">
        <f ca="1">DAYS360(INDIRECT(A126&amp;ROW()),TODAY())</f>
        <v>42286</v>
      </c>
      <c r="C41" s="139"/>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2"/>
      <c r="AJ41" s="132"/>
    </row>
    <row r="42" spans="1:36" hidden="1" x14ac:dyDescent="0.3">
      <c r="A42" s="47">
        <f ca="1">DAYS360(INDIRECT(A127&amp;ROW()),TODAY())</f>
        <v>42286</v>
      </c>
      <c r="B42" s="47">
        <f ca="1">DAYS360(INDIRECT(A126&amp;ROW()),TODAY())</f>
        <v>42286</v>
      </c>
      <c r="C42" s="139"/>
      <c r="D42" s="136"/>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2"/>
      <c r="AJ42" s="132"/>
    </row>
    <row r="43" spans="1:36" hidden="1" x14ac:dyDescent="0.3">
      <c r="A43" s="47">
        <f ca="1">DAYS360(INDIRECT(A127&amp;ROW()),TODAY())</f>
        <v>42286</v>
      </c>
      <c r="B43" s="47">
        <f ca="1">DAYS360(INDIRECT(A126&amp;ROW()),TODAY())</f>
        <v>42286</v>
      </c>
      <c r="C43" s="139"/>
      <c r="D43" s="136"/>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2"/>
      <c r="AJ43" s="132"/>
    </row>
    <row r="44" spans="1:36" hidden="1" x14ac:dyDescent="0.3">
      <c r="A44" s="47">
        <f ca="1">DAYS360(INDIRECT(A127&amp;ROW()),TODAY())</f>
        <v>42286</v>
      </c>
      <c r="B44" s="47">
        <f ca="1">DAYS360(INDIRECT(A126&amp;ROW()),TODAY())</f>
        <v>42286</v>
      </c>
      <c r="C44" s="139"/>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2"/>
      <c r="AJ44" s="132"/>
    </row>
    <row r="45" spans="1:36" hidden="1" x14ac:dyDescent="0.3">
      <c r="A45" s="47">
        <f ca="1">DAYS360(INDIRECT(A127&amp;ROW()),TODAY())</f>
        <v>42286</v>
      </c>
      <c r="B45" s="47">
        <f ca="1">DAYS360(INDIRECT(A126&amp;ROW()),TODAY())</f>
        <v>42286</v>
      </c>
      <c r="C45" s="139"/>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2"/>
      <c r="AJ45" s="132"/>
    </row>
    <row r="46" spans="1:36" hidden="1" x14ac:dyDescent="0.3">
      <c r="A46" s="47">
        <f ca="1">DAYS360(INDIRECT(A127&amp;ROW()),TODAY())</f>
        <v>42286</v>
      </c>
      <c r="B46" s="47">
        <f ca="1">DAYS360(INDIRECT(A126&amp;ROW()),TODAY())</f>
        <v>42286</v>
      </c>
      <c r="C46" s="139"/>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2"/>
      <c r="AJ46" s="132"/>
    </row>
    <row r="47" spans="1:36" hidden="1" x14ac:dyDescent="0.3">
      <c r="A47" s="47">
        <f ca="1">DAYS360(INDIRECT(A127&amp;ROW()),TODAY())</f>
        <v>42286</v>
      </c>
      <c r="B47" s="47">
        <f ca="1">DAYS360(INDIRECT(A126&amp;ROW()),TODAY())</f>
        <v>42286</v>
      </c>
      <c r="C47" s="139"/>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2"/>
      <c r="AJ47" s="132"/>
    </row>
    <row r="48" spans="1:36" hidden="1" x14ac:dyDescent="0.3">
      <c r="A48" s="47">
        <f ca="1">DAYS360(INDIRECT(A127&amp;ROW()),TODAY())</f>
        <v>42286</v>
      </c>
      <c r="B48" s="47">
        <f ca="1">DAYS360(INDIRECT(A126&amp;ROW()),TODAY())</f>
        <v>42286</v>
      </c>
      <c r="C48" s="139"/>
      <c r="D48" s="136"/>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2"/>
      <c r="AJ48" s="132"/>
    </row>
    <row r="49" spans="1:36" hidden="1" x14ac:dyDescent="0.3">
      <c r="A49" s="47">
        <f ca="1">DAYS360(INDIRECT(A127&amp;ROW()),TODAY())</f>
        <v>42286</v>
      </c>
      <c r="B49" s="47">
        <f ca="1">DAYS360(INDIRECT(A126&amp;ROW()),TODAY())</f>
        <v>42286</v>
      </c>
      <c r="C49" s="139"/>
      <c r="D49" s="136"/>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2"/>
      <c r="AJ49" s="132"/>
    </row>
    <row r="50" spans="1:36" hidden="1" x14ac:dyDescent="0.3">
      <c r="A50" s="47">
        <f ca="1">DAYS360(INDIRECT(A127&amp;ROW()),TODAY())</f>
        <v>42286</v>
      </c>
      <c r="B50" s="47">
        <f ca="1">DAYS360(INDIRECT(A126&amp;ROW()),TODAY())</f>
        <v>42286</v>
      </c>
      <c r="C50" s="139"/>
      <c r="D50" s="136"/>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2"/>
      <c r="AJ50" s="132"/>
    </row>
    <row r="51" spans="1:36" hidden="1" x14ac:dyDescent="0.3">
      <c r="A51" s="47">
        <f ca="1">DAYS360(INDIRECT(A127&amp;ROW()),TODAY())</f>
        <v>42286</v>
      </c>
      <c r="B51" s="47">
        <f ca="1">DAYS360(INDIRECT(A126&amp;ROW()),TODAY())</f>
        <v>42286</v>
      </c>
      <c r="C51" s="139"/>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6"/>
      <c r="AB51" s="136"/>
      <c r="AC51" s="136"/>
      <c r="AD51" s="136"/>
      <c r="AE51" s="136"/>
      <c r="AF51" s="136"/>
      <c r="AG51" s="136"/>
      <c r="AH51" s="136"/>
      <c r="AI51" s="132"/>
      <c r="AJ51" s="132"/>
    </row>
    <row r="52" spans="1:36" hidden="1" x14ac:dyDescent="0.3">
      <c r="A52" s="47">
        <f ca="1">DAYS360(INDIRECT(A127&amp;ROW()),TODAY())</f>
        <v>42286</v>
      </c>
      <c r="B52" s="47">
        <f ca="1">DAYS360(INDIRECT(A126&amp;ROW()),TODAY())</f>
        <v>42286</v>
      </c>
      <c r="C52" s="139"/>
      <c r="D52" s="136"/>
      <c r="E52" s="136"/>
      <c r="F52" s="136"/>
      <c r="G52" s="136"/>
      <c r="H52" s="136"/>
      <c r="I52" s="136"/>
      <c r="J52" s="136"/>
      <c r="K52" s="136"/>
      <c r="L52" s="136"/>
      <c r="M52" s="136"/>
      <c r="N52" s="136"/>
      <c r="O52" s="136"/>
      <c r="P52" s="136"/>
      <c r="Q52" s="136"/>
      <c r="R52" s="136"/>
      <c r="S52" s="136"/>
      <c r="T52" s="136"/>
      <c r="U52" s="136"/>
      <c r="V52" s="136"/>
      <c r="W52" s="136"/>
      <c r="X52" s="136"/>
      <c r="Y52" s="136"/>
      <c r="Z52" s="136"/>
      <c r="AA52" s="136"/>
      <c r="AB52" s="136"/>
      <c r="AC52" s="136"/>
      <c r="AD52" s="136"/>
      <c r="AE52" s="136"/>
      <c r="AF52" s="136"/>
      <c r="AG52" s="136"/>
      <c r="AH52" s="136"/>
      <c r="AI52" s="132"/>
      <c r="AJ52" s="132"/>
    </row>
    <row r="53" spans="1:36" hidden="1" x14ac:dyDescent="0.3">
      <c r="A53" s="47">
        <f ca="1">DAYS360(INDIRECT(A127&amp;ROW()),TODAY())</f>
        <v>42286</v>
      </c>
      <c r="B53" s="47">
        <f ca="1">DAYS360(INDIRECT(A126&amp;ROW()),TODAY())</f>
        <v>42286</v>
      </c>
      <c r="C53" s="139"/>
      <c r="D53" s="136"/>
      <c r="E53" s="136"/>
      <c r="F53" s="136"/>
      <c r="G53" s="136"/>
      <c r="H53" s="136"/>
      <c r="I53" s="136"/>
      <c r="J53" s="136"/>
      <c r="K53" s="136"/>
      <c r="L53" s="136"/>
      <c r="M53" s="136"/>
      <c r="N53" s="136"/>
      <c r="O53" s="136"/>
      <c r="P53" s="136"/>
      <c r="Q53" s="136"/>
      <c r="R53" s="136"/>
      <c r="S53" s="136"/>
      <c r="T53" s="136"/>
      <c r="U53" s="136"/>
      <c r="V53" s="136"/>
      <c r="W53" s="136"/>
      <c r="X53" s="136"/>
      <c r="Y53" s="136"/>
      <c r="Z53" s="136"/>
      <c r="AA53" s="136"/>
      <c r="AB53" s="136"/>
      <c r="AC53" s="136"/>
      <c r="AD53" s="136"/>
      <c r="AE53" s="136"/>
      <c r="AF53" s="136"/>
      <c r="AG53" s="136"/>
      <c r="AH53" s="136"/>
      <c r="AI53" s="132"/>
      <c r="AJ53" s="132"/>
    </row>
    <row r="54" spans="1:36" hidden="1" x14ac:dyDescent="0.3">
      <c r="A54" s="47">
        <f ca="1">DAYS360(INDIRECT(A127&amp;ROW()),TODAY())</f>
        <v>42286</v>
      </c>
      <c r="B54" s="47">
        <f ca="1">DAYS360(INDIRECT(A126&amp;ROW()),TODAY())</f>
        <v>42286</v>
      </c>
      <c r="C54" s="139"/>
      <c r="D54" s="136"/>
      <c r="E54" s="136"/>
      <c r="F54" s="136"/>
      <c r="G54" s="136"/>
      <c r="H54" s="136"/>
      <c r="I54" s="136"/>
      <c r="J54" s="136"/>
      <c r="K54" s="136"/>
      <c r="L54" s="136"/>
      <c r="M54" s="136"/>
      <c r="N54" s="136"/>
      <c r="O54" s="136"/>
      <c r="P54" s="136"/>
      <c r="Q54" s="136"/>
      <c r="R54" s="136"/>
      <c r="S54" s="136"/>
      <c r="T54" s="136"/>
      <c r="U54" s="136"/>
      <c r="V54" s="136"/>
      <c r="W54" s="136"/>
      <c r="X54" s="136"/>
      <c r="Y54" s="136"/>
      <c r="Z54" s="136"/>
      <c r="AA54" s="136"/>
      <c r="AB54" s="136"/>
      <c r="AC54" s="136"/>
      <c r="AD54" s="136"/>
      <c r="AE54" s="136"/>
      <c r="AF54" s="136"/>
      <c r="AG54" s="136"/>
      <c r="AH54" s="136"/>
      <c r="AI54" s="132"/>
      <c r="AJ54" s="132"/>
    </row>
    <row r="55" spans="1:36" hidden="1" x14ac:dyDescent="0.3">
      <c r="A55" s="47">
        <f ca="1">DAYS360(INDIRECT(A127&amp;ROW()),TODAY())</f>
        <v>42286</v>
      </c>
      <c r="B55" s="47">
        <f ca="1">DAYS360(INDIRECT(A126&amp;ROW()),TODAY())</f>
        <v>42286</v>
      </c>
      <c r="C55" s="139"/>
      <c r="D55" s="136"/>
      <c r="E55" s="136"/>
      <c r="F55" s="136"/>
      <c r="G55" s="136"/>
      <c r="H55" s="136"/>
      <c r="I55" s="136"/>
      <c r="J55" s="136"/>
      <c r="K55" s="136"/>
      <c r="L55" s="136"/>
      <c r="M55" s="136"/>
      <c r="N55" s="136"/>
      <c r="O55" s="136"/>
      <c r="P55" s="136"/>
      <c r="Q55" s="136"/>
      <c r="R55" s="136"/>
      <c r="S55" s="136"/>
      <c r="T55" s="136"/>
      <c r="U55" s="136"/>
      <c r="V55" s="136"/>
      <c r="W55" s="136"/>
      <c r="X55" s="136"/>
      <c r="Y55" s="136"/>
      <c r="Z55" s="136"/>
      <c r="AA55" s="136"/>
      <c r="AB55" s="136"/>
      <c r="AC55" s="136"/>
      <c r="AD55" s="136"/>
      <c r="AE55" s="136"/>
      <c r="AF55" s="136"/>
      <c r="AG55" s="136"/>
      <c r="AH55" s="136"/>
      <c r="AI55" s="132"/>
      <c r="AJ55" s="132"/>
    </row>
    <row r="56" spans="1:36" hidden="1" x14ac:dyDescent="0.3">
      <c r="A56" s="47">
        <f ca="1">DAYS360(INDIRECT(A127&amp;ROW()),TODAY())</f>
        <v>42286</v>
      </c>
      <c r="B56" s="47">
        <f ca="1">DAYS360(INDIRECT(A126&amp;ROW()),TODAY())</f>
        <v>42286</v>
      </c>
      <c r="C56" s="139"/>
      <c r="D56" s="136"/>
      <c r="E56" s="136"/>
      <c r="F56" s="136"/>
      <c r="G56" s="136"/>
      <c r="H56" s="136"/>
      <c r="I56" s="136"/>
      <c r="J56" s="136"/>
      <c r="K56" s="136"/>
      <c r="L56" s="136"/>
      <c r="M56" s="136"/>
      <c r="N56" s="136"/>
      <c r="O56" s="136"/>
      <c r="P56" s="136"/>
      <c r="Q56" s="136"/>
      <c r="R56" s="136"/>
      <c r="S56" s="136"/>
      <c r="T56" s="136"/>
      <c r="U56" s="136"/>
      <c r="V56" s="136"/>
      <c r="W56" s="136"/>
      <c r="X56" s="136"/>
      <c r="Y56" s="136"/>
      <c r="Z56" s="136"/>
      <c r="AA56" s="136"/>
      <c r="AB56" s="136"/>
      <c r="AC56" s="136"/>
      <c r="AD56" s="136"/>
      <c r="AE56" s="136"/>
      <c r="AF56" s="136"/>
      <c r="AG56" s="136"/>
      <c r="AH56" s="136"/>
      <c r="AI56" s="132"/>
      <c r="AJ56" s="132"/>
    </row>
    <row r="57" spans="1:36" hidden="1" x14ac:dyDescent="0.3">
      <c r="A57" s="47">
        <f ca="1">DAYS360(INDIRECT(A127&amp;ROW()),TODAY())</f>
        <v>42286</v>
      </c>
      <c r="B57" s="47">
        <f ca="1">DAYS360(INDIRECT(A126&amp;ROW()),TODAY())</f>
        <v>42286</v>
      </c>
      <c r="C57" s="139"/>
      <c r="D57" s="136"/>
      <c r="E57" s="136"/>
      <c r="F57" s="136"/>
      <c r="G57" s="136"/>
      <c r="H57" s="136"/>
      <c r="I57" s="136"/>
      <c r="J57" s="136"/>
      <c r="K57" s="136"/>
      <c r="L57" s="136"/>
      <c r="M57" s="136"/>
      <c r="N57" s="136"/>
      <c r="O57" s="136"/>
      <c r="P57" s="136"/>
      <c r="Q57" s="136"/>
      <c r="R57" s="136"/>
      <c r="S57" s="136"/>
      <c r="T57" s="136"/>
      <c r="U57" s="136"/>
      <c r="V57" s="136"/>
      <c r="W57" s="136"/>
      <c r="X57" s="136"/>
      <c r="Y57" s="136"/>
      <c r="Z57" s="136"/>
      <c r="AA57" s="136"/>
      <c r="AB57" s="136"/>
      <c r="AC57" s="136"/>
      <c r="AD57" s="136"/>
      <c r="AE57" s="136"/>
      <c r="AF57" s="136"/>
      <c r="AG57" s="136"/>
      <c r="AH57" s="136"/>
      <c r="AI57" s="132"/>
      <c r="AJ57" s="132"/>
    </row>
    <row r="58" spans="1:36" hidden="1" x14ac:dyDescent="0.3">
      <c r="A58" s="47">
        <f ca="1">DAYS360(INDIRECT(A127&amp;ROW()),TODAY())</f>
        <v>42286</v>
      </c>
      <c r="B58" s="47">
        <f ca="1">DAYS360(INDIRECT(A126&amp;ROW()),TODAY())</f>
        <v>42286</v>
      </c>
      <c r="C58" s="139"/>
      <c r="D58" s="136"/>
      <c r="E58" s="136"/>
      <c r="F58" s="136"/>
      <c r="G58" s="136"/>
      <c r="H58" s="136"/>
      <c r="I58" s="136"/>
      <c r="J58" s="136"/>
      <c r="K58" s="136"/>
      <c r="L58" s="136"/>
      <c r="M58" s="136"/>
      <c r="N58" s="136"/>
      <c r="O58" s="136"/>
      <c r="P58" s="136"/>
      <c r="Q58" s="136"/>
      <c r="R58" s="136"/>
      <c r="S58" s="136"/>
      <c r="T58" s="136"/>
      <c r="U58" s="136"/>
      <c r="V58" s="136"/>
      <c r="W58" s="136"/>
      <c r="X58" s="136"/>
      <c r="Y58" s="136"/>
      <c r="Z58" s="136"/>
      <c r="AA58" s="136"/>
      <c r="AB58" s="136"/>
      <c r="AC58" s="136"/>
      <c r="AD58" s="136"/>
      <c r="AE58" s="136"/>
      <c r="AF58" s="136"/>
      <c r="AG58" s="136"/>
      <c r="AH58" s="136"/>
      <c r="AI58" s="132"/>
      <c r="AJ58" s="132"/>
    </row>
    <row r="59" spans="1:36" hidden="1" x14ac:dyDescent="0.3">
      <c r="A59" s="47">
        <f ca="1">DAYS360(INDIRECT(A127&amp;ROW()),TODAY())</f>
        <v>42286</v>
      </c>
      <c r="B59" s="47">
        <f ca="1">DAYS360(INDIRECT(A126&amp;ROW()),TODAY())</f>
        <v>42286</v>
      </c>
      <c r="C59" s="139"/>
      <c r="D59" s="136"/>
      <c r="E59" s="136"/>
      <c r="F59" s="136"/>
      <c r="G59" s="136"/>
      <c r="H59" s="136"/>
      <c r="I59" s="136"/>
      <c r="J59" s="136"/>
      <c r="K59" s="136"/>
      <c r="L59" s="136"/>
      <c r="M59" s="136"/>
      <c r="N59" s="136"/>
      <c r="O59" s="136"/>
      <c r="P59" s="136"/>
      <c r="Q59" s="136"/>
      <c r="R59" s="136"/>
      <c r="S59" s="136"/>
      <c r="T59" s="136"/>
      <c r="U59" s="136"/>
      <c r="V59" s="136"/>
      <c r="W59" s="136"/>
      <c r="X59" s="136"/>
      <c r="Y59" s="136"/>
      <c r="Z59" s="136"/>
      <c r="AA59" s="136"/>
      <c r="AB59" s="136"/>
      <c r="AC59" s="136"/>
      <c r="AD59" s="136"/>
      <c r="AE59" s="136"/>
      <c r="AF59" s="136"/>
      <c r="AG59" s="136"/>
      <c r="AH59" s="136"/>
      <c r="AI59" s="132"/>
      <c r="AJ59" s="132"/>
    </row>
    <row r="60" spans="1:36" hidden="1" x14ac:dyDescent="0.3">
      <c r="A60" s="47">
        <f ca="1">DAYS360(INDIRECT(A127&amp;ROW()),TODAY())</f>
        <v>42286</v>
      </c>
      <c r="B60" s="47">
        <f ca="1">DAYS360(INDIRECT(A126&amp;ROW()),TODAY())</f>
        <v>42286</v>
      </c>
      <c r="C60" s="139"/>
      <c r="D60" s="136"/>
      <c r="E60" s="136"/>
      <c r="F60" s="136"/>
      <c r="G60" s="136"/>
      <c r="H60" s="136"/>
      <c r="I60" s="136"/>
      <c r="J60" s="136"/>
      <c r="K60" s="136"/>
      <c r="L60" s="136"/>
      <c r="M60" s="136"/>
      <c r="N60" s="136"/>
      <c r="O60" s="136"/>
      <c r="P60" s="136"/>
      <c r="Q60" s="136"/>
      <c r="R60" s="136"/>
      <c r="S60" s="136"/>
      <c r="T60" s="136"/>
      <c r="U60" s="136"/>
      <c r="V60" s="136"/>
      <c r="W60" s="136"/>
      <c r="X60" s="136"/>
      <c r="Y60" s="136"/>
      <c r="Z60" s="136"/>
      <c r="AA60" s="136"/>
      <c r="AB60" s="136"/>
      <c r="AC60" s="136"/>
      <c r="AD60" s="136"/>
      <c r="AE60" s="136"/>
      <c r="AF60" s="136"/>
      <c r="AG60" s="136"/>
      <c r="AH60" s="136"/>
      <c r="AI60" s="132"/>
      <c r="AJ60" s="132"/>
    </row>
    <row r="61" spans="1:36" hidden="1" x14ac:dyDescent="0.3">
      <c r="A61" s="47">
        <f ca="1">DAYS360(INDIRECT(A127&amp;ROW()),TODAY())</f>
        <v>42286</v>
      </c>
      <c r="B61" s="47">
        <f ca="1">DAYS360(INDIRECT(A126&amp;ROW()),TODAY())</f>
        <v>42286</v>
      </c>
      <c r="C61" s="139"/>
      <c r="D61" s="136"/>
      <c r="E61" s="136"/>
      <c r="F61" s="136"/>
      <c r="G61" s="136"/>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36"/>
      <c r="AH61" s="136"/>
      <c r="AI61" s="132"/>
      <c r="AJ61" s="132"/>
    </row>
    <row r="62" spans="1:36" hidden="1" x14ac:dyDescent="0.3">
      <c r="A62" s="47">
        <f ca="1">DAYS360(INDIRECT(A127&amp;ROW()),TODAY())</f>
        <v>42286</v>
      </c>
      <c r="B62" s="47">
        <f ca="1">DAYS360(INDIRECT(A126&amp;ROW()),TODAY())</f>
        <v>42286</v>
      </c>
      <c r="C62" s="139"/>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c r="AD62" s="136"/>
      <c r="AE62" s="136"/>
      <c r="AF62" s="136"/>
      <c r="AG62" s="136"/>
      <c r="AH62" s="136"/>
      <c r="AI62" s="132"/>
      <c r="AJ62" s="132"/>
    </row>
    <row r="63" spans="1:36" hidden="1" x14ac:dyDescent="0.3">
      <c r="A63" s="47">
        <f ca="1">DAYS360(INDIRECT(A127&amp;ROW()),TODAY())</f>
        <v>42286</v>
      </c>
      <c r="B63" s="47">
        <f ca="1">DAYS360(INDIRECT(A126&amp;ROW()),TODAY())</f>
        <v>42286</v>
      </c>
      <c r="C63" s="139"/>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c r="AD63" s="136"/>
      <c r="AE63" s="136"/>
      <c r="AF63" s="136"/>
      <c r="AG63" s="136"/>
      <c r="AH63" s="136"/>
      <c r="AI63" s="118"/>
    </row>
    <row r="64" spans="1:36" hidden="1" x14ac:dyDescent="0.3">
      <c r="A64" s="47">
        <f ca="1">DAYS360(INDIRECT(A127&amp;ROW()),TODAY())</f>
        <v>42286</v>
      </c>
      <c r="B64" s="47">
        <f ca="1">DAYS360(INDIRECT(A126&amp;ROW()),TODAY())</f>
        <v>42286</v>
      </c>
      <c r="C64" s="139"/>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c r="AD64" s="136"/>
      <c r="AE64" s="136"/>
      <c r="AF64" s="136"/>
      <c r="AG64" s="136"/>
      <c r="AH64" s="136"/>
      <c r="AI64" s="118"/>
    </row>
    <row r="65" spans="1:35" hidden="1" x14ac:dyDescent="0.3">
      <c r="A65" s="47">
        <f ca="1">DAYS360(INDIRECT(A127&amp;ROW()),TODAY())</f>
        <v>42286</v>
      </c>
      <c r="B65" s="47">
        <f ca="1">DAYS360(INDIRECT(A126&amp;ROW()),TODAY())</f>
        <v>42286</v>
      </c>
      <c r="C65" s="139"/>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c r="AD65" s="136"/>
      <c r="AE65" s="136"/>
      <c r="AF65" s="136"/>
      <c r="AG65" s="136"/>
      <c r="AH65" s="136"/>
      <c r="AI65" s="118"/>
    </row>
    <row r="66" spans="1:35" hidden="1" x14ac:dyDescent="0.3">
      <c r="A66" s="47">
        <f ca="1">DAYS360(INDIRECT(A127&amp;ROW()),TODAY())</f>
        <v>42286</v>
      </c>
      <c r="B66" s="47">
        <f ca="1">DAYS360(INDIRECT(A126&amp;ROW()),TODAY())</f>
        <v>42286</v>
      </c>
      <c r="C66" s="139"/>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c r="AD66" s="136"/>
      <c r="AE66" s="136"/>
      <c r="AF66" s="136"/>
      <c r="AG66" s="136"/>
      <c r="AH66" s="136"/>
      <c r="AI66" s="118"/>
    </row>
    <row r="67" spans="1:35" hidden="1" x14ac:dyDescent="0.3">
      <c r="A67" s="47">
        <f ca="1">DAYS360(INDIRECT(A127&amp;ROW()),TODAY())</f>
        <v>42286</v>
      </c>
      <c r="B67" s="47">
        <f ca="1">DAYS360(INDIRECT(A126&amp;ROW()),TODAY())</f>
        <v>42286</v>
      </c>
      <c r="C67" s="139"/>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c r="AD67" s="136"/>
      <c r="AE67" s="136"/>
      <c r="AF67" s="136"/>
      <c r="AG67" s="136"/>
      <c r="AH67" s="136"/>
      <c r="AI67" s="118"/>
    </row>
    <row r="68" spans="1:35" hidden="1" x14ac:dyDescent="0.3">
      <c r="A68" s="47">
        <f ca="1">DAYS360(INDIRECT(A127&amp;ROW()),TODAY())</f>
        <v>42286</v>
      </c>
      <c r="B68" s="47">
        <f ca="1">DAYS360(INDIRECT(A126&amp;ROW()),TODAY())</f>
        <v>42286</v>
      </c>
      <c r="C68" s="139"/>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c r="AD68" s="136"/>
      <c r="AE68" s="136"/>
      <c r="AF68" s="136"/>
      <c r="AG68" s="136"/>
      <c r="AH68" s="136"/>
      <c r="AI68" s="117"/>
    </row>
    <row r="69" spans="1:35" hidden="1" x14ac:dyDescent="0.3">
      <c r="A69" s="47">
        <f ca="1">DAYS360(INDIRECT(A127&amp;ROW()),TODAY())</f>
        <v>42286</v>
      </c>
      <c r="B69" s="47">
        <f ca="1">DAYS360(INDIRECT(A126&amp;ROW()),TODAY())</f>
        <v>42286</v>
      </c>
      <c r="C69" s="139"/>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c r="AD69" s="136"/>
      <c r="AE69" s="136"/>
      <c r="AF69" s="136"/>
      <c r="AG69" s="136"/>
      <c r="AH69" s="136"/>
      <c r="AI69" s="117"/>
    </row>
    <row r="70" spans="1:35" hidden="1" x14ac:dyDescent="0.3">
      <c r="A70" s="47">
        <f ca="1">DAYS360(INDIRECT(A127&amp;ROW()),TODAY())</f>
        <v>42286</v>
      </c>
      <c r="B70" s="47">
        <f ca="1">DAYS360(INDIRECT(A126&amp;ROW()),TODAY())</f>
        <v>42286</v>
      </c>
      <c r="C70" s="139"/>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c r="AD70" s="136"/>
      <c r="AE70" s="136"/>
      <c r="AF70" s="136"/>
      <c r="AG70" s="136"/>
      <c r="AH70" s="136"/>
      <c r="AI70" s="117"/>
    </row>
    <row r="71" spans="1:35" hidden="1" x14ac:dyDescent="0.3">
      <c r="A71" s="47">
        <f ca="1">DAYS360(INDIRECT(A127&amp;ROW()),TODAY())</f>
        <v>42286</v>
      </c>
      <c r="B71" s="47">
        <f ca="1">DAYS360(INDIRECT(A126&amp;ROW()),TODAY())</f>
        <v>42286</v>
      </c>
      <c r="C71" s="139"/>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c r="AD71" s="136"/>
      <c r="AE71" s="136"/>
      <c r="AF71" s="136"/>
      <c r="AG71" s="136"/>
      <c r="AH71" s="136"/>
      <c r="AI71" s="117"/>
    </row>
    <row r="72" spans="1:35" hidden="1" x14ac:dyDescent="0.3">
      <c r="A72" s="47">
        <f ca="1">DAYS360(INDIRECT(A127&amp;ROW()),TODAY())</f>
        <v>42286</v>
      </c>
      <c r="B72" s="47">
        <f ca="1">DAYS360(INDIRECT(A126&amp;ROW()),TODAY())</f>
        <v>42286</v>
      </c>
      <c r="C72" s="139"/>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c r="AD72" s="136"/>
      <c r="AE72" s="136"/>
      <c r="AF72" s="136"/>
      <c r="AG72" s="136"/>
      <c r="AH72" s="136"/>
      <c r="AI72" s="117"/>
    </row>
    <row r="73" spans="1:35" hidden="1" x14ac:dyDescent="0.3">
      <c r="A73" s="47">
        <f ca="1">DAYS360(INDIRECT(A127&amp;ROW()),TODAY())</f>
        <v>42286</v>
      </c>
      <c r="B73" s="47">
        <f ca="1">DAYS360(INDIRECT(A126&amp;ROW()),TODAY())</f>
        <v>42286</v>
      </c>
      <c r="C73" s="139"/>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c r="AD73" s="136"/>
      <c r="AE73" s="136"/>
      <c r="AF73" s="136"/>
      <c r="AG73" s="136"/>
      <c r="AH73" s="136"/>
      <c r="AI73" s="117"/>
    </row>
    <row r="74" spans="1:35" hidden="1" x14ac:dyDescent="0.3">
      <c r="A74" s="47">
        <f t="shared" ref="A74:A98" ca="1" si="0">DAYS360(INDIRECT($A$127&amp;ROW()),TODAY())</f>
        <v>42286</v>
      </c>
      <c r="B74" s="47">
        <f t="shared" ref="B74:B98" ca="1" si="1">DAYS360(INDIRECT($A$126&amp;ROW()),TODAY())</f>
        <v>42286</v>
      </c>
      <c r="C74" s="139"/>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36"/>
      <c r="AH74" s="136"/>
      <c r="AI74" s="117"/>
    </row>
    <row r="75" spans="1:35" hidden="1" x14ac:dyDescent="0.3">
      <c r="A75" s="47">
        <f t="shared" ca="1" si="0"/>
        <v>42286</v>
      </c>
      <c r="B75" s="47">
        <f t="shared" ca="1" si="1"/>
        <v>42286</v>
      </c>
      <c r="C75" s="139"/>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c r="AD75" s="136"/>
      <c r="AE75" s="136"/>
      <c r="AF75" s="136"/>
      <c r="AG75" s="136"/>
      <c r="AH75" s="136"/>
      <c r="AI75" s="117"/>
    </row>
    <row r="76" spans="1:35" hidden="1" x14ac:dyDescent="0.3">
      <c r="A76" s="47">
        <f t="shared" ca="1" si="0"/>
        <v>42286</v>
      </c>
      <c r="B76" s="47">
        <f t="shared" ca="1" si="1"/>
        <v>42286</v>
      </c>
      <c r="C76" s="139"/>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c r="AD76" s="136"/>
      <c r="AE76" s="136"/>
      <c r="AF76" s="136"/>
      <c r="AG76" s="136"/>
      <c r="AH76" s="136"/>
      <c r="AI76" s="117"/>
    </row>
    <row r="77" spans="1:35" hidden="1" x14ac:dyDescent="0.3">
      <c r="A77" s="47">
        <f t="shared" ca="1" si="0"/>
        <v>42286</v>
      </c>
      <c r="B77" s="47">
        <f t="shared" ca="1" si="1"/>
        <v>42286</v>
      </c>
      <c r="C77" s="139"/>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c r="AD77" s="136"/>
      <c r="AE77" s="136"/>
      <c r="AF77" s="136"/>
      <c r="AG77" s="136"/>
      <c r="AH77" s="136"/>
      <c r="AI77" s="117"/>
    </row>
    <row r="78" spans="1:35" hidden="1" x14ac:dyDescent="0.3">
      <c r="A78" s="47">
        <f t="shared" ca="1" si="0"/>
        <v>42286</v>
      </c>
      <c r="B78" s="47">
        <f t="shared" ca="1" si="1"/>
        <v>42286</v>
      </c>
      <c r="C78" s="139"/>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c r="AD78" s="136"/>
      <c r="AE78" s="136"/>
      <c r="AF78" s="136"/>
      <c r="AG78" s="136"/>
      <c r="AH78" s="136"/>
    </row>
    <row r="79" spans="1:35" hidden="1" x14ac:dyDescent="0.3">
      <c r="A79" s="47">
        <f t="shared" ca="1" si="0"/>
        <v>42286</v>
      </c>
      <c r="B79" s="47">
        <f t="shared" ca="1" si="1"/>
        <v>42286</v>
      </c>
      <c r="C79" s="139"/>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c r="AD79" s="136"/>
      <c r="AE79" s="136"/>
      <c r="AF79" s="136"/>
      <c r="AG79" s="136"/>
      <c r="AH79" s="136"/>
    </row>
    <row r="80" spans="1:35" hidden="1" x14ac:dyDescent="0.3">
      <c r="A80" s="47">
        <f t="shared" ca="1" si="0"/>
        <v>42286</v>
      </c>
      <c r="B80" s="47">
        <f t="shared" ca="1" si="1"/>
        <v>42286</v>
      </c>
      <c r="C80" s="139"/>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c r="AD80" s="136"/>
      <c r="AE80" s="136"/>
      <c r="AF80" s="136"/>
      <c r="AG80" s="136"/>
      <c r="AH80" s="136"/>
    </row>
    <row r="81" spans="1:34" hidden="1" x14ac:dyDescent="0.3">
      <c r="A81" s="47">
        <f t="shared" ca="1" si="0"/>
        <v>42286</v>
      </c>
      <c r="B81" s="47">
        <f t="shared" ca="1" si="1"/>
        <v>42286</v>
      </c>
      <c r="C81" s="139"/>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c r="AD81" s="136"/>
      <c r="AE81" s="136"/>
      <c r="AF81" s="136"/>
      <c r="AG81" s="136"/>
      <c r="AH81" s="136"/>
    </row>
    <row r="82" spans="1:34" hidden="1" x14ac:dyDescent="0.3">
      <c r="A82" s="47">
        <f t="shared" ca="1" si="0"/>
        <v>42286</v>
      </c>
      <c r="B82" s="47">
        <f t="shared" ca="1" si="1"/>
        <v>42286</v>
      </c>
      <c r="C82" s="139"/>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c r="AD82" s="136"/>
      <c r="AE82" s="136"/>
      <c r="AF82" s="136"/>
      <c r="AG82" s="136"/>
      <c r="AH82" s="136"/>
    </row>
    <row r="83" spans="1:34" hidden="1" x14ac:dyDescent="0.3">
      <c r="A83" s="47">
        <f t="shared" ca="1" si="0"/>
        <v>42286</v>
      </c>
      <c r="B83" s="47">
        <f t="shared" ca="1" si="1"/>
        <v>42286</v>
      </c>
      <c r="C83" s="139"/>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c r="AD83" s="136"/>
      <c r="AE83" s="136"/>
      <c r="AF83" s="136"/>
      <c r="AG83" s="136"/>
      <c r="AH83" s="136"/>
    </row>
    <row r="84" spans="1:34" hidden="1" x14ac:dyDescent="0.3">
      <c r="A84" s="47">
        <f t="shared" ca="1" si="0"/>
        <v>42286</v>
      </c>
      <c r="B84" s="47">
        <f t="shared" ca="1" si="1"/>
        <v>42286</v>
      </c>
      <c r="C84" s="139"/>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c r="AD84" s="136"/>
      <c r="AE84" s="136"/>
      <c r="AF84" s="136"/>
      <c r="AG84" s="136"/>
      <c r="AH84" s="136"/>
    </row>
    <row r="85" spans="1:34" hidden="1" x14ac:dyDescent="0.3">
      <c r="A85" s="47">
        <f t="shared" ca="1" si="0"/>
        <v>42286</v>
      </c>
      <c r="B85" s="47">
        <f t="shared" ca="1" si="1"/>
        <v>42286</v>
      </c>
      <c r="C85" s="139"/>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c r="AD85" s="136"/>
      <c r="AE85" s="136"/>
      <c r="AF85" s="136"/>
      <c r="AG85" s="136"/>
      <c r="AH85" s="136"/>
    </row>
    <row r="86" spans="1:34" hidden="1" x14ac:dyDescent="0.3">
      <c r="A86" s="47">
        <f t="shared" ca="1" si="0"/>
        <v>42286</v>
      </c>
      <c r="B86" s="47">
        <f t="shared" ca="1" si="1"/>
        <v>42286</v>
      </c>
      <c r="C86" s="139"/>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c r="AD86" s="136"/>
      <c r="AE86" s="136"/>
      <c r="AF86" s="136"/>
      <c r="AG86" s="136"/>
      <c r="AH86" s="136"/>
    </row>
    <row r="87" spans="1:34" hidden="1" x14ac:dyDescent="0.3">
      <c r="A87" s="47">
        <f t="shared" ca="1" si="0"/>
        <v>42286</v>
      </c>
      <c r="B87" s="47">
        <f t="shared" ca="1" si="1"/>
        <v>42286</v>
      </c>
      <c r="C87" s="139"/>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c r="AD87" s="136"/>
      <c r="AE87" s="136"/>
      <c r="AF87" s="136"/>
      <c r="AG87" s="136"/>
      <c r="AH87" s="136"/>
    </row>
    <row r="88" spans="1:34" hidden="1" x14ac:dyDescent="0.3">
      <c r="A88" s="47">
        <f t="shared" ca="1" si="0"/>
        <v>42286</v>
      </c>
      <c r="B88" s="47">
        <f t="shared" ca="1" si="1"/>
        <v>42286</v>
      </c>
      <c r="C88" s="139"/>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c r="AD88" s="136"/>
      <c r="AE88" s="136"/>
      <c r="AF88" s="136"/>
      <c r="AG88" s="136"/>
      <c r="AH88" s="136"/>
    </row>
    <row r="89" spans="1:34" hidden="1" x14ac:dyDescent="0.3">
      <c r="A89" s="47">
        <f t="shared" ca="1" si="0"/>
        <v>42286</v>
      </c>
      <c r="B89" s="47">
        <f t="shared" ca="1" si="1"/>
        <v>42286</v>
      </c>
      <c r="C89" s="139"/>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c r="AD89" s="136"/>
      <c r="AE89" s="136"/>
      <c r="AF89" s="136"/>
      <c r="AG89" s="136"/>
      <c r="AH89" s="136"/>
    </row>
    <row r="90" spans="1:34" hidden="1" x14ac:dyDescent="0.3">
      <c r="A90" s="47">
        <f t="shared" ca="1" si="0"/>
        <v>42286</v>
      </c>
      <c r="B90" s="47">
        <f t="shared" ca="1" si="1"/>
        <v>42286</v>
      </c>
      <c r="C90" s="139"/>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c r="AD90" s="136"/>
      <c r="AE90" s="136"/>
      <c r="AF90" s="136"/>
      <c r="AG90" s="136"/>
      <c r="AH90" s="136"/>
    </row>
    <row r="91" spans="1:34" hidden="1" x14ac:dyDescent="0.3">
      <c r="A91" s="47">
        <f t="shared" ca="1" si="0"/>
        <v>42286</v>
      </c>
      <c r="B91" s="47">
        <f t="shared" ca="1" si="1"/>
        <v>42286</v>
      </c>
      <c r="C91" s="139"/>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c r="AD91" s="136"/>
      <c r="AE91" s="136"/>
      <c r="AF91" s="136"/>
      <c r="AG91" s="136"/>
      <c r="AH91" s="136"/>
    </row>
    <row r="92" spans="1:34" hidden="1" x14ac:dyDescent="0.3">
      <c r="A92" s="47">
        <f t="shared" ca="1" si="0"/>
        <v>42286</v>
      </c>
      <c r="B92" s="47">
        <f t="shared" ca="1" si="1"/>
        <v>42286</v>
      </c>
      <c r="C92" s="139"/>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c r="AD92" s="136"/>
      <c r="AE92" s="136"/>
      <c r="AF92" s="136"/>
      <c r="AG92" s="136"/>
      <c r="AH92" s="136"/>
    </row>
    <row r="93" spans="1:34" hidden="1" x14ac:dyDescent="0.3">
      <c r="A93" s="47">
        <f t="shared" ca="1" si="0"/>
        <v>42286</v>
      </c>
      <c r="B93" s="47">
        <f t="shared" ca="1" si="1"/>
        <v>42286</v>
      </c>
      <c r="C93" s="139"/>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c r="AD93" s="136"/>
      <c r="AE93" s="136"/>
      <c r="AF93" s="136"/>
      <c r="AG93" s="136"/>
      <c r="AH93" s="136"/>
    </row>
    <row r="94" spans="1:34" hidden="1" x14ac:dyDescent="0.3">
      <c r="A94" s="47">
        <f t="shared" ca="1" si="0"/>
        <v>42286</v>
      </c>
      <c r="B94" s="47">
        <f t="shared" ca="1" si="1"/>
        <v>42286</v>
      </c>
      <c r="C94" s="139"/>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c r="AD94" s="136"/>
      <c r="AE94" s="136"/>
      <c r="AF94" s="136"/>
      <c r="AG94" s="136"/>
      <c r="AH94" s="136"/>
    </row>
    <row r="95" spans="1:34" hidden="1" x14ac:dyDescent="0.3">
      <c r="A95" s="47">
        <f t="shared" ca="1" si="0"/>
        <v>42286</v>
      </c>
      <c r="B95" s="47">
        <f t="shared" ca="1" si="1"/>
        <v>42286</v>
      </c>
      <c r="C95" s="139"/>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c r="AD95" s="136"/>
      <c r="AE95" s="136"/>
      <c r="AF95" s="136"/>
      <c r="AG95" s="136"/>
      <c r="AH95" s="136"/>
    </row>
    <row r="96" spans="1:34" hidden="1" x14ac:dyDescent="0.3">
      <c r="A96" s="47">
        <f t="shared" ca="1" si="0"/>
        <v>42286</v>
      </c>
      <c r="B96" s="47">
        <f t="shared" ca="1" si="1"/>
        <v>42286</v>
      </c>
      <c r="C96" s="139"/>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c r="AD96" s="136"/>
      <c r="AE96" s="136"/>
      <c r="AF96" s="136"/>
      <c r="AG96" s="136"/>
      <c r="AH96" s="136"/>
    </row>
    <row r="97" spans="1:34" hidden="1" x14ac:dyDescent="0.3">
      <c r="A97" s="47">
        <f t="shared" ca="1" si="0"/>
        <v>42286</v>
      </c>
      <c r="B97" s="47">
        <f t="shared" ca="1" si="1"/>
        <v>42286</v>
      </c>
      <c r="C97" s="139"/>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c r="AD97" s="136"/>
      <c r="AE97" s="136"/>
      <c r="AF97" s="136"/>
      <c r="AG97" s="136"/>
      <c r="AH97" s="136"/>
    </row>
    <row r="98" spans="1:34" hidden="1" x14ac:dyDescent="0.3">
      <c r="A98" s="47">
        <f t="shared" ca="1" si="0"/>
        <v>42286</v>
      </c>
      <c r="B98" s="47">
        <f t="shared" ca="1" si="1"/>
        <v>42286</v>
      </c>
      <c r="C98" s="139"/>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c r="AD98" s="136"/>
      <c r="AE98" s="136"/>
      <c r="AF98" s="136"/>
      <c r="AG98" s="136"/>
      <c r="AH98" s="136"/>
    </row>
    <row r="99" spans="1:34" hidden="1" x14ac:dyDescent="0.3">
      <c r="A99" s="65">
        <f t="shared" ref="A99:A110" ca="1" si="2">DAYS360(INDIRECT($A$127&amp;ROW()),TODAY())</f>
        <v>42286</v>
      </c>
      <c r="B99" s="65">
        <f t="shared" ref="B99:B110" ca="1" si="3">DAYS360(INDIRECT($A$126&amp;ROW()),TODAY())</f>
        <v>42286</v>
      </c>
      <c r="C99" s="139"/>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c r="AD99" s="136"/>
      <c r="AE99" s="136"/>
      <c r="AF99" s="136"/>
      <c r="AG99" s="136"/>
      <c r="AH99" s="136"/>
    </row>
    <row r="100" spans="1:34" hidden="1" x14ac:dyDescent="0.3">
      <c r="A100" s="65">
        <f t="shared" ca="1" si="2"/>
        <v>42286</v>
      </c>
      <c r="B100" s="65">
        <f t="shared" ca="1" si="3"/>
        <v>42286</v>
      </c>
      <c r="C100" s="139"/>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c r="AD100" s="136"/>
      <c r="AE100" s="136"/>
      <c r="AF100" s="136"/>
      <c r="AG100" s="136"/>
      <c r="AH100" s="136"/>
    </row>
    <row r="101" spans="1:34" hidden="1" x14ac:dyDescent="0.3">
      <c r="A101" s="65">
        <f t="shared" ca="1" si="2"/>
        <v>42286</v>
      </c>
      <c r="B101" s="65">
        <f t="shared" ca="1" si="3"/>
        <v>42286</v>
      </c>
      <c r="C101" s="139"/>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c r="AD101" s="136"/>
      <c r="AE101" s="136"/>
      <c r="AF101" s="136"/>
      <c r="AG101" s="136"/>
      <c r="AH101" s="136"/>
    </row>
    <row r="102" spans="1:34" hidden="1" x14ac:dyDescent="0.3">
      <c r="A102" s="65">
        <f t="shared" ca="1" si="2"/>
        <v>42286</v>
      </c>
      <c r="B102" s="65">
        <f t="shared" ca="1" si="3"/>
        <v>42286</v>
      </c>
      <c r="C102" s="139"/>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c r="AD102" s="136"/>
      <c r="AE102" s="136"/>
      <c r="AF102" s="136"/>
      <c r="AG102" s="136"/>
      <c r="AH102" s="136"/>
    </row>
    <row r="103" spans="1:34" hidden="1" x14ac:dyDescent="0.3">
      <c r="A103" s="65">
        <f t="shared" ca="1" si="2"/>
        <v>42286</v>
      </c>
      <c r="B103" s="65">
        <f t="shared" ca="1" si="3"/>
        <v>42286</v>
      </c>
      <c r="C103" s="139"/>
      <c r="D103" s="136"/>
      <c r="E103" s="136"/>
      <c r="F103" s="136"/>
      <c r="G103" s="136"/>
      <c r="H103" s="136"/>
      <c r="I103" s="136"/>
      <c r="J103" s="136"/>
      <c r="K103" s="136"/>
      <c r="L103" s="136"/>
      <c r="M103" s="136"/>
      <c r="N103" s="136"/>
      <c r="O103" s="136"/>
      <c r="P103" s="136"/>
      <c r="Q103" s="136"/>
      <c r="R103" s="136"/>
      <c r="S103" s="136"/>
      <c r="T103" s="136"/>
      <c r="U103" s="136"/>
      <c r="V103" s="136"/>
      <c r="W103" s="136"/>
      <c r="X103" s="136"/>
      <c r="Y103" s="136"/>
      <c r="Z103" s="136"/>
      <c r="AA103" s="136"/>
      <c r="AB103" s="136"/>
      <c r="AC103" s="136"/>
      <c r="AD103" s="136"/>
      <c r="AE103" s="136"/>
      <c r="AF103" s="136"/>
      <c r="AG103" s="136"/>
      <c r="AH103" s="136"/>
    </row>
    <row r="104" spans="1:34" hidden="1" x14ac:dyDescent="0.3">
      <c r="A104" s="65">
        <f t="shared" ca="1" si="2"/>
        <v>42286</v>
      </c>
      <c r="B104" s="65">
        <f t="shared" ca="1" si="3"/>
        <v>42286</v>
      </c>
      <c r="C104" s="139"/>
      <c r="D104" s="136"/>
      <c r="E104" s="136"/>
      <c r="F104" s="136"/>
      <c r="G104" s="136"/>
      <c r="H104" s="136"/>
      <c r="I104" s="136"/>
      <c r="J104" s="136"/>
      <c r="K104" s="136"/>
      <c r="L104" s="136"/>
      <c r="M104" s="136"/>
      <c r="N104" s="136"/>
      <c r="O104" s="136"/>
      <c r="P104" s="136"/>
      <c r="Q104" s="136"/>
      <c r="R104" s="136"/>
      <c r="S104" s="136"/>
      <c r="T104" s="136"/>
      <c r="U104" s="136"/>
      <c r="V104" s="136"/>
      <c r="W104" s="136"/>
      <c r="X104" s="136"/>
      <c r="Y104" s="136"/>
      <c r="Z104" s="136"/>
      <c r="AA104" s="136"/>
      <c r="AB104" s="136"/>
      <c r="AC104" s="136"/>
      <c r="AD104" s="136"/>
      <c r="AE104" s="136"/>
      <c r="AF104" s="136"/>
      <c r="AG104" s="136"/>
      <c r="AH104" s="136"/>
    </row>
    <row r="105" spans="1:34" hidden="1" x14ac:dyDescent="0.3">
      <c r="A105" s="65">
        <f t="shared" ca="1" si="2"/>
        <v>42286</v>
      </c>
      <c r="B105" s="65">
        <f t="shared" ca="1" si="3"/>
        <v>42286</v>
      </c>
      <c r="C105" s="139"/>
      <c r="D105" s="136"/>
      <c r="E105" s="136"/>
      <c r="F105" s="136"/>
      <c r="G105" s="136"/>
      <c r="H105" s="136"/>
      <c r="I105" s="136"/>
      <c r="J105" s="136"/>
      <c r="K105" s="136"/>
      <c r="L105" s="136"/>
      <c r="M105" s="136"/>
      <c r="N105" s="136"/>
      <c r="O105" s="136"/>
      <c r="P105" s="136"/>
      <c r="Q105" s="136"/>
      <c r="R105" s="136"/>
      <c r="S105" s="136"/>
      <c r="T105" s="136"/>
      <c r="U105" s="136"/>
      <c r="V105" s="136"/>
      <c r="W105" s="136"/>
      <c r="X105" s="136"/>
      <c r="Y105" s="136"/>
      <c r="Z105" s="136"/>
      <c r="AA105" s="136"/>
      <c r="AB105" s="136"/>
      <c r="AC105" s="136"/>
      <c r="AD105" s="136"/>
      <c r="AE105" s="136"/>
      <c r="AF105" s="136"/>
      <c r="AG105" s="136"/>
      <c r="AH105" s="136"/>
    </row>
    <row r="106" spans="1:34" hidden="1" x14ac:dyDescent="0.3">
      <c r="A106" s="65">
        <f t="shared" ca="1" si="2"/>
        <v>42286</v>
      </c>
      <c r="B106" s="65">
        <f t="shared" ca="1" si="3"/>
        <v>42286</v>
      </c>
      <c r="C106" s="139"/>
      <c r="D106" s="136"/>
      <c r="E106" s="136"/>
      <c r="F106" s="136"/>
      <c r="G106" s="136"/>
      <c r="H106" s="136"/>
      <c r="I106" s="136"/>
      <c r="J106" s="136"/>
      <c r="K106" s="136"/>
      <c r="L106" s="136"/>
      <c r="M106" s="136"/>
      <c r="N106" s="136"/>
      <c r="O106" s="136"/>
      <c r="P106" s="136"/>
      <c r="Q106" s="136"/>
      <c r="R106" s="136"/>
      <c r="S106" s="136"/>
      <c r="T106" s="136"/>
      <c r="U106" s="136"/>
      <c r="V106" s="136"/>
      <c r="W106" s="136"/>
      <c r="X106" s="136"/>
      <c r="Y106" s="136"/>
      <c r="Z106" s="136"/>
      <c r="AA106" s="136"/>
      <c r="AB106" s="136"/>
      <c r="AC106" s="136"/>
      <c r="AD106" s="136"/>
      <c r="AE106" s="136"/>
      <c r="AF106" s="136"/>
      <c r="AG106" s="136"/>
      <c r="AH106" s="136"/>
    </row>
    <row r="107" spans="1:34" hidden="1" x14ac:dyDescent="0.3">
      <c r="A107" s="65">
        <f t="shared" ca="1" si="2"/>
        <v>42286</v>
      </c>
      <c r="B107" s="65">
        <f t="shared" ca="1" si="3"/>
        <v>42286</v>
      </c>
      <c r="C107" s="139"/>
      <c r="D107" s="136"/>
      <c r="E107" s="136"/>
      <c r="F107" s="136"/>
      <c r="G107" s="136"/>
      <c r="H107" s="136"/>
      <c r="I107" s="136"/>
      <c r="J107" s="136"/>
      <c r="K107" s="136"/>
      <c r="L107" s="136"/>
      <c r="M107" s="136"/>
      <c r="N107" s="136"/>
      <c r="O107" s="136"/>
      <c r="P107" s="136"/>
      <c r="Q107" s="136"/>
      <c r="R107" s="136"/>
      <c r="S107" s="136"/>
      <c r="T107" s="136"/>
      <c r="U107" s="136"/>
      <c r="V107" s="136"/>
      <c r="W107" s="136"/>
      <c r="X107" s="136"/>
      <c r="Y107" s="136"/>
      <c r="Z107" s="136"/>
      <c r="AA107" s="136"/>
      <c r="AB107" s="136"/>
      <c r="AC107" s="136"/>
      <c r="AD107" s="136"/>
      <c r="AE107" s="136"/>
      <c r="AF107" s="136"/>
      <c r="AG107" s="136"/>
      <c r="AH107" s="136"/>
    </row>
    <row r="108" spans="1:34" hidden="1" x14ac:dyDescent="0.3">
      <c r="A108" s="65">
        <f t="shared" ca="1" si="2"/>
        <v>42286</v>
      </c>
      <c r="B108" s="65">
        <f t="shared" ca="1" si="3"/>
        <v>42286</v>
      </c>
      <c r="C108" s="139"/>
      <c r="D108" s="136"/>
      <c r="E108" s="136"/>
      <c r="F108" s="136"/>
      <c r="G108" s="136"/>
      <c r="H108" s="136"/>
      <c r="I108" s="136"/>
      <c r="J108" s="136"/>
      <c r="K108" s="136"/>
      <c r="L108" s="136"/>
      <c r="M108" s="136"/>
      <c r="N108" s="136"/>
      <c r="O108" s="136"/>
      <c r="P108" s="136"/>
      <c r="Q108" s="136"/>
      <c r="R108" s="136"/>
      <c r="S108" s="136"/>
      <c r="T108" s="136"/>
      <c r="U108" s="136"/>
      <c r="V108" s="136"/>
      <c r="W108" s="136"/>
      <c r="X108" s="136"/>
      <c r="Y108" s="136"/>
      <c r="Z108" s="136"/>
      <c r="AA108" s="136"/>
      <c r="AB108" s="136"/>
      <c r="AC108" s="136"/>
      <c r="AD108" s="136"/>
      <c r="AE108" s="136"/>
      <c r="AF108" s="136"/>
      <c r="AG108" s="136"/>
      <c r="AH108" s="136"/>
    </row>
    <row r="109" spans="1:34" hidden="1" x14ac:dyDescent="0.3">
      <c r="A109" s="65">
        <f t="shared" ca="1" si="2"/>
        <v>42286</v>
      </c>
      <c r="B109" s="65">
        <f t="shared" ca="1" si="3"/>
        <v>42286</v>
      </c>
      <c r="C109" s="139"/>
      <c r="D109" s="136"/>
      <c r="E109" s="136"/>
      <c r="F109" s="136"/>
      <c r="G109" s="136"/>
      <c r="H109" s="136"/>
      <c r="I109" s="136"/>
      <c r="J109" s="136"/>
      <c r="K109" s="136"/>
      <c r="L109" s="136"/>
      <c r="M109" s="136"/>
      <c r="N109" s="136"/>
      <c r="O109" s="136"/>
      <c r="P109" s="136"/>
      <c r="Q109" s="136"/>
      <c r="R109" s="136"/>
      <c r="S109" s="136"/>
      <c r="T109" s="136"/>
      <c r="U109" s="136"/>
      <c r="V109" s="136"/>
      <c r="W109" s="136"/>
      <c r="X109" s="136"/>
      <c r="Y109" s="136"/>
      <c r="Z109" s="136"/>
      <c r="AA109" s="136"/>
      <c r="AB109" s="136"/>
      <c r="AC109" s="136"/>
      <c r="AD109" s="136"/>
      <c r="AE109" s="136"/>
      <c r="AF109" s="136"/>
      <c r="AG109" s="136"/>
      <c r="AH109" s="136"/>
    </row>
    <row r="110" spans="1:34" hidden="1" x14ac:dyDescent="0.3">
      <c r="A110" s="65">
        <f t="shared" ca="1" si="2"/>
        <v>42286</v>
      </c>
      <c r="B110" s="65">
        <f t="shared" ca="1" si="3"/>
        <v>42286</v>
      </c>
      <c r="C110" s="139"/>
      <c r="D110" s="136"/>
      <c r="E110" s="136"/>
      <c r="F110" s="136"/>
      <c r="G110" s="136"/>
      <c r="H110" s="136"/>
      <c r="I110" s="136"/>
      <c r="J110" s="136"/>
      <c r="K110" s="136"/>
      <c r="L110" s="136"/>
      <c r="M110" s="136"/>
      <c r="N110" s="136"/>
      <c r="O110" s="136"/>
      <c r="P110" s="136"/>
      <c r="Q110" s="136"/>
      <c r="R110" s="136"/>
      <c r="S110" s="136"/>
      <c r="T110" s="136"/>
      <c r="U110" s="136"/>
      <c r="V110" s="136"/>
      <c r="W110" s="136"/>
      <c r="X110" s="136"/>
      <c r="Y110" s="136"/>
      <c r="Z110" s="136"/>
      <c r="AA110" s="136"/>
      <c r="AB110" s="136"/>
      <c r="AC110" s="136"/>
      <c r="AD110" s="136"/>
      <c r="AE110" s="136"/>
      <c r="AF110" s="136"/>
      <c r="AG110" s="136"/>
      <c r="AH110" s="136"/>
    </row>
    <row r="111" spans="1:34" x14ac:dyDescent="0.3">
      <c r="C111" s="136"/>
      <c r="D111" s="136"/>
      <c r="E111" s="136"/>
      <c r="F111" s="136"/>
      <c r="G111" s="136"/>
      <c r="H111" s="136"/>
      <c r="I111" s="136"/>
      <c r="J111" s="136"/>
      <c r="K111" s="136"/>
      <c r="L111" s="136"/>
      <c r="M111" s="136"/>
      <c r="N111" s="136"/>
      <c r="O111" s="136"/>
      <c r="P111" s="136"/>
      <c r="Q111" s="136"/>
      <c r="R111" s="136"/>
      <c r="S111" s="136"/>
      <c r="T111" s="136"/>
      <c r="U111" s="136"/>
      <c r="V111" s="136"/>
      <c r="W111" s="136"/>
      <c r="X111" s="136"/>
      <c r="Y111" s="136"/>
      <c r="Z111" s="136"/>
      <c r="AA111" s="136"/>
      <c r="AB111" s="136"/>
      <c r="AC111" s="136"/>
      <c r="AD111" s="136"/>
      <c r="AE111" s="136"/>
      <c r="AF111" s="136"/>
      <c r="AG111" s="136"/>
      <c r="AH111" s="136"/>
    </row>
    <row r="112" spans="1:34" x14ac:dyDescent="0.3">
      <c r="C112" s="136"/>
      <c r="D112" s="136"/>
      <c r="E112" s="136"/>
      <c r="F112" s="136"/>
      <c r="G112" s="136"/>
      <c r="H112" s="136"/>
      <c r="I112" s="136"/>
      <c r="J112" s="136"/>
      <c r="K112" s="136"/>
      <c r="L112" s="136"/>
      <c r="M112" s="136"/>
      <c r="N112" s="136"/>
      <c r="O112" s="136"/>
      <c r="P112" s="136"/>
      <c r="Q112" s="136"/>
      <c r="R112" s="136"/>
      <c r="S112" s="136"/>
      <c r="T112" s="136"/>
      <c r="U112" s="136"/>
      <c r="V112" s="136"/>
      <c r="W112" s="136"/>
      <c r="X112" s="136"/>
      <c r="Y112" s="136"/>
      <c r="Z112" s="136"/>
      <c r="AA112" s="136"/>
      <c r="AB112" s="136"/>
      <c r="AC112" s="136"/>
      <c r="AD112" s="136"/>
      <c r="AE112" s="136"/>
      <c r="AF112" s="136"/>
      <c r="AG112" s="136"/>
      <c r="AH112" s="136"/>
    </row>
    <row r="113" spans="1:34" x14ac:dyDescent="0.3">
      <c r="C113" s="136"/>
      <c r="D113" s="136"/>
      <c r="E113" s="136"/>
      <c r="F113" s="136"/>
      <c r="G113" s="136"/>
      <c r="H113" s="136"/>
      <c r="I113" s="136"/>
      <c r="J113" s="136"/>
      <c r="K113" s="136"/>
      <c r="L113" s="136"/>
      <c r="M113" s="136"/>
      <c r="N113" s="136"/>
      <c r="O113" s="136"/>
      <c r="P113" s="136"/>
      <c r="Q113" s="136"/>
      <c r="R113" s="136"/>
      <c r="S113" s="136"/>
      <c r="T113" s="136"/>
      <c r="U113" s="136"/>
      <c r="V113" s="136"/>
      <c r="W113" s="136"/>
      <c r="X113" s="136"/>
      <c r="Y113" s="136"/>
      <c r="Z113" s="136"/>
      <c r="AA113" s="136"/>
      <c r="AB113" s="136"/>
      <c r="AC113" s="136"/>
      <c r="AD113" s="136"/>
      <c r="AE113" s="136"/>
      <c r="AF113" s="136"/>
      <c r="AG113" s="136"/>
      <c r="AH113" s="136"/>
    </row>
    <row r="114" spans="1:34" x14ac:dyDescent="0.3">
      <c r="C114" s="136"/>
      <c r="D114" s="136"/>
      <c r="E114" s="136"/>
      <c r="F114" s="136"/>
      <c r="G114" s="136"/>
      <c r="H114" s="136"/>
      <c r="I114" s="136"/>
      <c r="J114" s="136"/>
      <c r="K114" s="136"/>
      <c r="L114" s="136"/>
      <c r="M114" s="136"/>
      <c r="N114" s="136"/>
      <c r="O114" s="136"/>
      <c r="P114" s="136"/>
      <c r="Q114" s="136"/>
      <c r="R114" s="136"/>
      <c r="S114" s="136"/>
      <c r="T114" s="136"/>
      <c r="U114" s="136"/>
      <c r="V114" s="136"/>
      <c r="W114" s="136"/>
      <c r="X114" s="136"/>
      <c r="Y114" s="136"/>
      <c r="Z114" s="136"/>
      <c r="AA114" s="136"/>
      <c r="AB114" s="136"/>
      <c r="AC114" s="136"/>
      <c r="AD114" s="136"/>
      <c r="AE114" s="136"/>
      <c r="AF114" s="136"/>
      <c r="AG114" s="136"/>
      <c r="AH114" s="136"/>
    </row>
    <row r="115" spans="1:34" x14ac:dyDescent="0.3">
      <c r="A115" s="19" t="s">
        <v>977</v>
      </c>
    </row>
    <row r="116" spans="1:34" x14ac:dyDescent="0.3">
      <c r="A116" s="47">
        <f>COUNTA(C18:C110)+(A117-1)</f>
        <v>40</v>
      </c>
      <c r="B116" s="47" t="s">
        <v>123</v>
      </c>
    </row>
    <row r="117" spans="1:34" x14ac:dyDescent="0.3">
      <c r="A117" s="47">
        <v>18</v>
      </c>
      <c r="B117" s="47" t="s">
        <v>124</v>
      </c>
      <c r="D117" s="47">
        <f>SUBTOTAL(3,D18:D114)</f>
        <v>19</v>
      </c>
    </row>
    <row r="118" spans="1:34" x14ac:dyDescent="0.3">
      <c r="A118" s="47" t="s">
        <v>125</v>
      </c>
      <c r="B118" s="47" t="s">
        <v>59</v>
      </c>
    </row>
    <row r="119" spans="1:34" x14ac:dyDescent="0.3">
      <c r="A119" s="47" t="s">
        <v>126</v>
      </c>
      <c r="B119" s="47" t="s">
        <v>72</v>
      </c>
    </row>
    <row r="120" spans="1:34" x14ac:dyDescent="0.3">
      <c r="A120" s="47" t="s">
        <v>127</v>
      </c>
      <c r="B120" s="47" t="s">
        <v>65</v>
      </c>
    </row>
    <row r="121" spans="1:34" x14ac:dyDescent="0.3">
      <c r="A121" s="47" t="s">
        <v>128</v>
      </c>
      <c r="B121" s="47" t="s">
        <v>129</v>
      </c>
    </row>
    <row r="122" spans="1:34" x14ac:dyDescent="0.3">
      <c r="A122" s="47" t="s">
        <v>130</v>
      </c>
      <c r="B122" s="47" t="s">
        <v>131</v>
      </c>
    </row>
    <row r="123" spans="1:34" x14ac:dyDescent="0.3">
      <c r="A123" s="47" t="s">
        <v>132</v>
      </c>
      <c r="B123" s="47" t="s">
        <v>133</v>
      </c>
    </row>
    <row r="124" spans="1:34" x14ac:dyDescent="0.3">
      <c r="A124" s="47" t="s">
        <v>134</v>
      </c>
      <c r="B124" s="47" t="s">
        <v>135</v>
      </c>
      <c r="C124" s="136"/>
      <c r="D124" s="19"/>
      <c r="E124" s="47">
        <f>ROW()-18</f>
        <v>106</v>
      </c>
    </row>
    <row r="125" spans="1:34" x14ac:dyDescent="0.3">
      <c r="A125" s="47" t="s">
        <v>136</v>
      </c>
      <c r="B125" s="47" t="s">
        <v>137</v>
      </c>
      <c r="C125" s="136"/>
      <c r="D125" s="19"/>
    </row>
    <row r="126" spans="1:34" x14ac:dyDescent="0.3">
      <c r="A126" s="47" t="s">
        <v>140</v>
      </c>
      <c r="B126" s="47" t="s">
        <v>141</v>
      </c>
      <c r="C126" s="136"/>
      <c r="D126" s="19"/>
    </row>
    <row r="127" spans="1:34" x14ac:dyDescent="0.3">
      <c r="A127" s="47" t="s">
        <v>142</v>
      </c>
      <c r="B127" s="47" t="s">
        <v>143</v>
      </c>
      <c r="C127" s="136"/>
      <c r="D127" s="19"/>
    </row>
    <row r="128" spans="1:34" x14ac:dyDescent="0.3">
      <c r="A128" s="47" t="s">
        <v>646</v>
      </c>
      <c r="B128" s="47" t="s">
        <v>647</v>
      </c>
      <c r="C128" s="136"/>
      <c r="D128" s="19"/>
    </row>
    <row r="129" spans="1:4" x14ac:dyDescent="0.3">
      <c r="A129" s="47" t="s">
        <v>837</v>
      </c>
      <c r="B129" s="47" t="s">
        <v>58</v>
      </c>
      <c r="C129" s="136"/>
      <c r="D129" s="19"/>
    </row>
    <row r="130" spans="1:4" x14ac:dyDescent="0.3">
      <c r="C130" s="136"/>
      <c r="D130" s="19"/>
    </row>
    <row r="131" spans="1:4" x14ac:dyDescent="0.3">
      <c r="C131" s="136"/>
      <c r="D131" s="19"/>
    </row>
    <row r="132" spans="1:4" x14ac:dyDescent="0.3">
      <c r="A132" s="19" t="s">
        <v>1056</v>
      </c>
      <c r="C132" s="136"/>
      <c r="D132" s="19"/>
    </row>
    <row r="133" spans="1:4" x14ac:dyDescent="0.3">
      <c r="C133" s="136"/>
      <c r="D133" s="19"/>
    </row>
    <row r="134" spans="1:4" x14ac:dyDescent="0.3">
      <c r="C134" s="136"/>
      <c r="D134" s="19"/>
    </row>
    <row r="135" spans="1:4" x14ac:dyDescent="0.3">
      <c r="A135" s="19" t="s">
        <v>708</v>
      </c>
      <c r="C135" s="136"/>
      <c r="D135" s="19"/>
    </row>
    <row r="136" spans="1:4" x14ac:dyDescent="0.3">
      <c r="A136" s="35" t="s">
        <v>976</v>
      </c>
      <c r="C136" s="136"/>
      <c r="D136" s="19"/>
    </row>
    <row r="137" spans="1:4" x14ac:dyDescent="0.3">
      <c r="A137" s="19" t="s">
        <v>304</v>
      </c>
      <c r="C137" s="136"/>
      <c r="D137" s="19"/>
    </row>
    <row r="138" spans="1:4" x14ac:dyDescent="0.3">
      <c r="C138" s="136"/>
      <c r="D138" s="19"/>
    </row>
    <row r="139" spans="1:4" x14ac:dyDescent="0.3">
      <c r="C139" s="136"/>
      <c r="D139" s="19"/>
    </row>
    <row r="140" spans="1:4" x14ac:dyDescent="0.3">
      <c r="C140" s="136"/>
      <c r="D140" s="19"/>
    </row>
    <row r="141" spans="1:4" x14ac:dyDescent="0.3">
      <c r="C141" s="136"/>
      <c r="D141" s="19"/>
    </row>
    <row r="142" spans="1:4" x14ac:dyDescent="0.3">
      <c r="C142" s="136"/>
      <c r="D142" s="19" t="str">
        <f t="shared" ref="D142:D155" ca="1" si="4">HYPERLINK(CONCATENATE("https://bugzilla.houston.hpecorp.net:1181/bugzilla/show_bug.cgi?id=",MID(INDIRECT($A$129&amp;(ROW()-106)),9,5)),MID(INDIRECT($A$129&amp;(ROW()-106)),9,5))</f>
        <v>th mo</v>
      </c>
    </row>
    <row r="143" spans="1:4" x14ac:dyDescent="0.3">
      <c r="C143" s="136"/>
      <c r="D143" s="19" t="str">
        <f t="shared" ca="1" si="4"/>
        <v>rom U</v>
      </c>
    </row>
    <row r="144" spans="1:4" x14ac:dyDescent="0.3">
      <c r="C144" s="136"/>
      <c r="D144" s="19" t="str">
        <f t="shared" ca="1" si="4"/>
        <v xml:space="preserve"> lwsm</v>
      </c>
    </row>
    <row r="145" spans="3:4" x14ac:dyDescent="0.3">
      <c r="C145" s="136"/>
      <c r="D145" s="19" t="str">
        <f t="shared" ca="1" si="4"/>
        <v>10093</v>
      </c>
    </row>
    <row r="146" spans="3:4" x14ac:dyDescent="0.3">
      <c r="C146" s="136"/>
      <c r="D146" s="19" t="str">
        <f t="shared" ca="1" si="4"/>
        <v>ss-pr</v>
      </c>
    </row>
    <row r="147" spans="3:4" x14ac:dyDescent="0.3">
      <c r="C147" s="136"/>
      <c r="D147" s="19" t="str">
        <f t="shared" ca="1" si="4"/>
        <v/>
      </c>
    </row>
    <row r="148" spans="3:4" x14ac:dyDescent="0.3">
      <c r="C148" s="136"/>
      <c r="D148" s="19" t="str">
        <f t="shared" ca="1" si="4"/>
        <v/>
      </c>
    </row>
    <row r="149" spans="3:4" x14ac:dyDescent="0.3">
      <c r="C149" s="136"/>
      <c r="D149" s="19" t="str">
        <f t="shared" ca="1" si="4"/>
        <v/>
      </c>
    </row>
    <row r="150" spans="3:4" x14ac:dyDescent="0.3">
      <c r="C150" s="136"/>
      <c r="D150" s="19" t="str">
        <f t="shared" ca="1" si="4"/>
        <v/>
      </c>
    </row>
    <row r="151" spans="3:4" x14ac:dyDescent="0.3">
      <c r="C151" s="136"/>
      <c r="D151" s="19" t="str">
        <f t="shared" ca="1" si="4"/>
        <v/>
      </c>
    </row>
    <row r="152" spans="3:4" x14ac:dyDescent="0.3">
      <c r="C152" s="136"/>
      <c r="D152" s="19" t="str">
        <f t="shared" ca="1" si="4"/>
        <v/>
      </c>
    </row>
    <row r="153" spans="3:4" x14ac:dyDescent="0.3">
      <c r="C153" s="136"/>
      <c r="D153" s="19" t="str">
        <f t="shared" ca="1" si="4"/>
        <v/>
      </c>
    </row>
    <row r="154" spans="3:4" x14ac:dyDescent="0.3">
      <c r="C154" s="136"/>
      <c r="D154" s="19" t="str">
        <f t="shared" ca="1" si="4"/>
        <v/>
      </c>
    </row>
    <row r="155" spans="3:4" x14ac:dyDescent="0.3">
      <c r="C155" s="136"/>
      <c r="D155" s="19" t="str">
        <f t="shared" ca="1" si="4"/>
        <v/>
      </c>
    </row>
    <row r="156" spans="3:4" x14ac:dyDescent="0.3">
      <c r="C156" s="136"/>
      <c r="D156" s="19" t="str">
        <f t="shared" ref="D156:D187" ca="1" si="5">HYPERLINK(CONCATENATE("https://bugzilla.houston.hpecorp.net:1181/bugzilla/show_bug.cgi?id=",MID(INDIRECT($A$129&amp;(ROW()-106)),9,5)),MID(INDIRECT($A$129&amp;(ROW()-106)),9,5))</f>
        <v/>
      </c>
    </row>
    <row r="157" spans="3:4" x14ac:dyDescent="0.3">
      <c r="C157" s="136"/>
      <c r="D157" s="19" t="str">
        <f t="shared" ca="1" si="5"/>
        <v/>
      </c>
    </row>
    <row r="158" spans="3:4" x14ac:dyDescent="0.3">
      <c r="C158" s="136"/>
      <c r="D158" s="19" t="str">
        <f t="shared" ca="1" si="5"/>
        <v/>
      </c>
    </row>
    <row r="159" spans="3:4" x14ac:dyDescent="0.3">
      <c r="C159" s="136"/>
      <c r="D159" s="19" t="str">
        <f t="shared" ca="1" si="5"/>
        <v/>
      </c>
    </row>
    <row r="160" spans="3:4" x14ac:dyDescent="0.3">
      <c r="C160" s="136"/>
      <c r="D160" s="19" t="str">
        <f t="shared" ca="1" si="5"/>
        <v/>
      </c>
    </row>
    <row r="161" spans="3:4" x14ac:dyDescent="0.3">
      <c r="C161" s="136"/>
      <c r="D161" s="19" t="str">
        <f t="shared" ca="1" si="5"/>
        <v/>
      </c>
    </row>
    <row r="162" spans="3:4" x14ac:dyDescent="0.3">
      <c r="C162" s="136"/>
      <c r="D162" s="19" t="str">
        <f t="shared" ca="1" si="5"/>
        <v/>
      </c>
    </row>
    <row r="163" spans="3:4" x14ac:dyDescent="0.3">
      <c r="C163" s="136"/>
      <c r="D163" s="19" t="str">
        <f t="shared" ca="1" si="5"/>
        <v/>
      </c>
    </row>
    <row r="164" spans="3:4" x14ac:dyDescent="0.3">
      <c r="C164" s="136"/>
      <c r="D164" s="19" t="str">
        <f t="shared" ca="1" si="5"/>
        <v/>
      </c>
    </row>
    <row r="165" spans="3:4" x14ac:dyDescent="0.3">
      <c r="C165" s="136"/>
      <c r="D165" s="19" t="str">
        <f t="shared" ca="1" si="5"/>
        <v/>
      </c>
    </row>
    <row r="166" spans="3:4" x14ac:dyDescent="0.3">
      <c r="C166" s="136"/>
      <c r="D166" s="19" t="str">
        <f t="shared" ca="1" si="5"/>
        <v/>
      </c>
    </row>
    <row r="167" spans="3:4" x14ac:dyDescent="0.3">
      <c r="C167" s="136"/>
      <c r="D167" s="19" t="str">
        <f t="shared" ca="1" si="5"/>
        <v/>
      </c>
    </row>
    <row r="168" spans="3:4" x14ac:dyDescent="0.3">
      <c r="C168" s="136"/>
      <c r="D168" s="19" t="str">
        <f t="shared" ca="1" si="5"/>
        <v/>
      </c>
    </row>
    <row r="169" spans="3:4" x14ac:dyDescent="0.3">
      <c r="C169" s="136"/>
      <c r="D169" s="19" t="str">
        <f t="shared" ca="1" si="5"/>
        <v/>
      </c>
    </row>
    <row r="170" spans="3:4" x14ac:dyDescent="0.3">
      <c r="C170" s="136"/>
      <c r="D170" s="19" t="str">
        <f t="shared" ca="1" si="5"/>
        <v/>
      </c>
    </row>
    <row r="171" spans="3:4" x14ac:dyDescent="0.3">
      <c r="C171" s="136"/>
      <c r="D171" s="19" t="str">
        <f t="shared" ca="1" si="5"/>
        <v/>
      </c>
    </row>
    <row r="172" spans="3:4" x14ac:dyDescent="0.3">
      <c r="C172" s="136"/>
      <c r="D172" s="19" t="str">
        <f t="shared" ca="1" si="5"/>
        <v/>
      </c>
    </row>
    <row r="173" spans="3:4" x14ac:dyDescent="0.3">
      <c r="C173" s="136"/>
      <c r="D173" s="19" t="str">
        <f t="shared" ca="1" si="5"/>
        <v/>
      </c>
    </row>
    <row r="174" spans="3:4" x14ac:dyDescent="0.3">
      <c r="C174" s="136"/>
      <c r="D174" s="19" t="str">
        <f t="shared" ca="1" si="5"/>
        <v/>
      </c>
    </row>
    <row r="175" spans="3:4" x14ac:dyDescent="0.3">
      <c r="C175" s="136"/>
      <c r="D175" s="19" t="str">
        <f t="shared" ca="1" si="5"/>
        <v/>
      </c>
    </row>
    <row r="176" spans="3:4" x14ac:dyDescent="0.3">
      <c r="C176" s="136"/>
      <c r="D176" s="19" t="str">
        <f t="shared" ca="1" si="5"/>
        <v/>
      </c>
    </row>
    <row r="177" spans="3:4" x14ac:dyDescent="0.3">
      <c r="C177" s="136"/>
      <c r="D177" s="19" t="str">
        <f t="shared" ca="1" si="5"/>
        <v/>
      </c>
    </row>
    <row r="178" spans="3:4" x14ac:dyDescent="0.3">
      <c r="C178" s="136"/>
      <c r="D178" s="19" t="str">
        <f t="shared" ca="1" si="5"/>
        <v/>
      </c>
    </row>
    <row r="179" spans="3:4" x14ac:dyDescent="0.3">
      <c r="C179" s="136"/>
      <c r="D179" s="19" t="str">
        <f t="shared" ca="1" si="5"/>
        <v/>
      </c>
    </row>
    <row r="180" spans="3:4" x14ac:dyDescent="0.3">
      <c r="C180" s="136"/>
      <c r="D180" s="19" t="str">
        <f t="shared" ca="1" si="5"/>
        <v/>
      </c>
    </row>
    <row r="181" spans="3:4" x14ac:dyDescent="0.3">
      <c r="C181" s="136"/>
      <c r="D181" s="19" t="str">
        <f t="shared" ca="1" si="5"/>
        <v/>
      </c>
    </row>
    <row r="182" spans="3:4" x14ac:dyDescent="0.3">
      <c r="C182" s="136"/>
      <c r="D182" s="19" t="str">
        <f t="shared" ca="1" si="5"/>
        <v/>
      </c>
    </row>
    <row r="183" spans="3:4" x14ac:dyDescent="0.3">
      <c r="C183" s="136"/>
      <c r="D183" s="19" t="str">
        <f t="shared" ca="1" si="5"/>
        <v/>
      </c>
    </row>
    <row r="184" spans="3:4" x14ac:dyDescent="0.3">
      <c r="C184" s="136"/>
      <c r="D184" s="19" t="str">
        <f t="shared" ca="1" si="5"/>
        <v/>
      </c>
    </row>
    <row r="185" spans="3:4" x14ac:dyDescent="0.3">
      <c r="C185" s="136"/>
      <c r="D185" s="19" t="str">
        <f t="shared" ca="1" si="5"/>
        <v/>
      </c>
    </row>
    <row r="186" spans="3:4" x14ac:dyDescent="0.3">
      <c r="C186" s="136"/>
      <c r="D186" s="19" t="str">
        <f t="shared" ca="1" si="5"/>
        <v/>
      </c>
    </row>
    <row r="187" spans="3:4" x14ac:dyDescent="0.3">
      <c r="C187" s="136"/>
      <c r="D187" s="19" t="str">
        <f t="shared" ca="1" si="5"/>
        <v/>
      </c>
    </row>
    <row r="188" spans="3:4" x14ac:dyDescent="0.3">
      <c r="C188" s="136"/>
      <c r="D188" s="19" t="str">
        <f t="shared" ref="D188:D200" ca="1" si="6">HYPERLINK(CONCATENATE("https://bugzilla.houston.hpecorp.net:1181/bugzilla/show_bug.cgi?id=",MID(INDIRECT($A$129&amp;(ROW()-106)),9,5)),MID(INDIRECT($A$129&amp;(ROW()-106)),9,5))</f>
        <v/>
      </c>
    </row>
    <row r="189" spans="3:4" x14ac:dyDescent="0.3">
      <c r="C189" s="136"/>
      <c r="D189" s="19" t="str">
        <f t="shared" ca="1" si="6"/>
        <v/>
      </c>
    </row>
    <row r="190" spans="3:4" x14ac:dyDescent="0.3">
      <c r="C190" s="136"/>
      <c r="D190" s="19" t="str">
        <f t="shared" ca="1" si="6"/>
        <v/>
      </c>
    </row>
    <row r="191" spans="3:4" x14ac:dyDescent="0.3">
      <c r="C191" s="136"/>
      <c r="D191" s="19" t="str">
        <f t="shared" ca="1" si="6"/>
        <v/>
      </c>
    </row>
    <row r="192" spans="3:4" x14ac:dyDescent="0.3">
      <c r="C192" s="136"/>
      <c r="D192" s="19" t="str">
        <f t="shared" ca="1" si="6"/>
        <v/>
      </c>
    </row>
    <row r="193" spans="3:4" x14ac:dyDescent="0.3">
      <c r="C193" s="136"/>
      <c r="D193" s="19" t="str">
        <f t="shared" ca="1" si="6"/>
        <v/>
      </c>
    </row>
    <row r="194" spans="3:4" x14ac:dyDescent="0.3">
      <c r="C194" s="136"/>
      <c r="D194" s="19" t="str">
        <f t="shared" ca="1" si="6"/>
        <v/>
      </c>
    </row>
    <row r="195" spans="3:4" x14ac:dyDescent="0.3">
      <c r="C195" s="136"/>
      <c r="D195" s="19" t="str">
        <f t="shared" ca="1" si="6"/>
        <v/>
      </c>
    </row>
    <row r="196" spans="3:4" x14ac:dyDescent="0.3">
      <c r="C196" s="136"/>
      <c r="D196" s="19" t="str">
        <f t="shared" ca="1" si="6"/>
        <v/>
      </c>
    </row>
    <row r="197" spans="3:4" x14ac:dyDescent="0.3">
      <c r="C197" s="136"/>
      <c r="D197" s="19" t="str">
        <f t="shared" ca="1" si="6"/>
        <v/>
      </c>
    </row>
    <row r="198" spans="3:4" x14ac:dyDescent="0.3">
      <c r="C198" s="136"/>
      <c r="D198" s="19" t="str">
        <f t="shared" ca="1" si="6"/>
        <v/>
      </c>
    </row>
    <row r="199" spans="3:4" x14ac:dyDescent="0.3">
      <c r="C199" s="136"/>
      <c r="D199" s="19" t="str">
        <f t="shared" ca="1" si="6"/>
        <v/>
      </c>
    </row>
    <row r="200" spans="3:4" x14ac:dyDescent="0.3">
      <c r="C200" s="136"/>
      <c r="D200" s="19" t="str">
        <f t="shared" ca="1" si="6"/>
        <v/>
      </c>
    </row>
    <row r="201" spans="3:4" x14ac:dyDescent="0.3">
      <c r="C201" s="136"/>
    </row>
    <row r="202" spans="3:4" x14ac:dyDescent="0.3">
      <c r="C202" s="136"/>
    </row>
    <row r="203" spans="3:4" x14ac:dyDescent="0.3">
      <c r="C203" s="136"/>
    </row>
    <row r="204" spans="3:4" x14ac:dyDescent="0.3">
      <c r="C204" s="136"/>
    </row>
    <row r="205" spans="3:4" x14ac:dyDescent="0.3">
      <c r="C205" s="136"/>
    </row>
    <row r="206" spans="3:4" x14ac:dyDescent="0.3">
      <c r="C206" s="136"/>
    </row>
    <row r="207" spans="3:4" x14ac:dyDescent="0.3">
      <c r="C207" s="136"/>
    </row>
    <row r="208" spans="3:4" x14ac:dyDescent="0.3">
      <c r="C208" s="136"/>
    </row>
    <row r="209" spans="3:3" x14ac:dyDescent="0.3">
      <c r="C209" s="136"/>
    </row>
    <row r="210" spans="3:3" x14ac:dyDescent="0.3">
      <c r="C210" s="136"/>
    </row>
    <row r="211" spans="3:3" x14ac:dyDescent="0.3">
      <c r="C211" s="136"/>
    </row>
    <row r="212" spans="3:3" x14ac:dyDescent="0.3">
      <c r="C212" s="136"/>
    </row>
    <row r="213" spans="3:3" x14ac:dyDescent="0.3">
      <c r="C213" s="136"/>
    </row>
    <row r="214" spans="3:3" x14ac:dyDescent="0.3">
      <c r="C214" s="136"/>
    </row>
    <row r="215" spans="3:3" x14ac:dyDescent="0.3">
      <c r="C215" s="136"/>
    </row>
    <row r="216" spans="3:3" x14ac:dyDescent="0.3">
      <c r="C216" s="136"/>
    </row>
  </sheetData>
  <autoFilter ref="A17:AH110">
    <filterColumn colId="18">
      <filters>
        <filter val="File Access Auditing"/>
        <filter val="Protocols-SMB"/>
      </filters>
    </filterColumn>
  </autoFilter>
  <conditionalFormatting sqref="C18:C110">
    <cfRule type="expression" dxfId="312" priority="169">
      <formula>IF(Z18 &lt;&gt; " ---",IF(Z18 &lt;&gt; "",1,0),0)</formula>
    </cfRule>
    <cfRule type="expression" dxfId="311" priority="176">
      <formula>IF(V18=" ---",IF(Z18=" ---",1,0),0)</formula>
    </cfRule>
    <cfRule type="expression" dxfId="310" priority="1047">
      <formula>IF(FIND("Denied",V18),1,0)</formula>
    </cfRule>
    <cfRule type="expression" dxfId="309" priority="1048">
      <formula>IF(FIND("Director",V18,11),1,0)</formula>
    </cfRule>
    <cfRule type="expression" dxfId="308" priority="1049">
      <formula>IF(FIND("Approve",V18),1,0)</formula>
    </cfRule>
    <cfRule type="expression" dxfId="307" priority="1050">
      <formula>IF(FIND("Request",V18),1,0)</formula>
    </cfRule>
    <cfRule type="expression" dxfId="306" priority="1051">
      <formula>IF(FIND("Requested",AE18),1,0)</formula>
    </cfRule>
  </conditionalFormatting>
  <conditionalFormatting sqref="G18:G110">
    <cfRule type="expression" dxfId="305" priority="170">
      <formula>IF(G18="For Review",1,0)</formula>
    </cfRule>
  </conditionalFormatting>
  <conditionalFormatting sqref="C124:C216">
    <cfRule type="expression" dxfId="304" priority="1">
      <formula>IF(Z124 &lt;&gt; " ---",IF(Z124 &lt;&gt; "",1,0),0)</formula>
    </cfRule>
    <cfRule type="expression" dxfId="303" priority="2">
      <formula>IF(V124=" ---",IF(Z124=" ---",1,0),0)</formula>
    </cfRule>
    <cfRule type="expression" dxfId="302" priority="3">
      <formula>IF(FIND("Denied",V124),1,0)</formula>
    </cfRule>
    <cfRule type="expression" dxfId="301" priority="4">
      <formula>IF(FIND("Director",V124,11),1,0)</formula>
    </cfRule>
    <cfRule type="expression" dxfId="300" priority="5">
      <formula>IF(FIND("Approve",V124),1,0)</formula>
    </cfRule>
    <cfRule type="expression" dxfId="299" priority="6">
      <formula>IF(FIND("Request",V124),1,0)</formula>
    </cfRule>
    <cfRule type="expression" dxfId="298" priority="7">
      <formula>IF(FIND("Requested",AE124),1,0)</formula>
    </cfRule>
  </conditionalFormatting>
  <hyperlinks>
    <hyperlink ref="A132" r:id="rId1"/>
    <hyperlink ref="A135" r:id="rId2"/>
    <hyperlink ref="A137" location="RedZoneAvitus!C18" display="C18"/>
    <hyperlink ref="A115" location="RedZoneAvitus!C124" display="c124"/>
    <hyperlink ref="N15" location="RedZone!C100" display="c100"/>
    <hyperlink ref="D33" r:id="rId3" display="santanug@hpe.com"/>
    <hyperlink ref="D19" r:id="rId4" display="ron.chamberts@hpe.com"/>
    <hyperlink ref="D22" r:id="rId5" display="arnab.das@hpe.com"/>
    <hyperlink ref="D39" r:id="rId6"/>
    <hyperlink ref="D41" r:id="rId7" display="ron.chambers@hpe.com"/>
    <hyperlink ref="D38" r:id="rId8" display="arnab.das@hpe.com"/>
    <hyperlink ref="D30" r:id="rId9" display="arnab.das@hpe.com"/>
  </hyperlinks>
  <pageMargins left="0.25" right="0.25" top="0.75" bottom="0.75" header="0.3" footer="0.3"/>
  <pageSetup scale="25" fitToHeight="0" orientation="landscape" r:id="rId10"/>
  <drawing r:id="rId11"/>
  <legacyDrawing r:id="rId12"/>
  <mc:AlternateContent xmlns:mc="http://schemas.openxmlformats.org/markup-compatibility/2006">
    <mc:Choice Requires="x14">
      <controls>
        <mc:AlternateContent xmlns:mc="http://schemas.openxmlformats.org/markup-compatibility/2006">
          <mc:Choice Requires="x14">
            <control shapeId="17409" r:id="rId13" name="Button 1">
              <controlPr defaultSize="0" print="0" autoFill="0" autoPict="0" macro="[0]!RedZoneStatusSetup">
                <anchor moveWithCells="1" sizeWithCells="1">
                  <from>
                    <xdr:col>12</xdr:col>
                    <xdr:colOff>76200</xdr:colOff>
                    <xdr:row>13</xdr:row>
                    <xdr:rowOff>167640</xdr:rowOff>
                  </from>
                  <to>
                    <xdr:col>12</xdr:col>
                    <xdr:colOff>1043940</xdr:colOff>
                    <xdr:row>15</xdr:row>
                    <xdr:rowOff>0</xdr:rowOff>
                  </to>
                </anchor>
              </controlPr>
            </control>
          </mc:Choice>
        </mc:AlternateContent>
        <mc:AlternateContent xmlns:mc="http://schemas.openxmlformats.org/markup-compatibility/2006">
          <mc:Choice Requires="x14">
            <control shapeId="17410" r:id="rId14" name="Button 2">
              <controlPr defaultSize="0" print="0" autoFill="0" autoPict="0" macro="[0]!RedZoneAvitusSetup">
                <anchor moveWithCells="1" sizeWithCells="1">
                  <from>
                    <xdr:col>6</xdr:col>
                    <xdr:colOff>0</xdr:colOff>
                    <xdr:row>14</xdr:row>
                    <xdr:rowOff>0</xdr:rowOff>
                  </from>
                  <to>
                    <xdr:col>7</xdr:col>
                    <xdr:colOff>167640</xdr:colOff>
                    <xdr:row>15</xdr:row>
                    <xdr:rowOff>15240</xdr:rowOff>
                  </to>
                </anchor>
              </controlPr>
            </control>
          </mc:Choice>
        </mc:AlternateContent>
        <mc:AlternateContent xmlns:mc="http://schemas.openxmlformats.org/markup-compatibility/2006">
          <mc:Choice Requires="x14">
            <control shapeId="17443" r:id="rId15" name="Button 35">
              <controlPr defaultSize="0" print="0" autoFill="0" autoPict="0" macro="[0]!ClearFilters">
                <anchor moveWithCells="1" sizeWithCells="1">
                  <from>
                    <xdr:col>6</xdr:col>
                    <xdr:colOff>30480</xdr:colOff>
                    <xdr:row>12</xdr:row>
                    <xdr:rowOff>7620</xdr:rowOff>
                  </from>
                  <to>
                    <xdr:col>6</xdr:col>
                    <xdr:colOff>754380</xdr:colOff>
                    <xdr:row>13</xdr:row>
                    <xdr:rowOff>0</xdr:rowOff>
                  </to>
                </anchor>
              </controlPr>
            </control>
          </mc:Choice>
        </mc:AlternateContent>
        <mc:AlternateContent xmlns:mc="http://schemas.openxmlformats.org/markup-compatibility/2006">
          <mc:Choice Requires="x14">
            <control shapeId="17444" r:id="rId16" name="Button 36">
              <controlPr defaultSize="0" print="0" autoFill="0" autoPict="0" macro="[0]!smbFAA">
                <anchor moveWithCells="1" sizeWithCells="1">
                  <from>
                    <xdr:col>8</xdr:col>
                    <xdr:colOff>0</xdr:colOff>
                    <xdr:row>13</xdr:row>
                    <xdr:rowOff>160020</xdr:rowOff>
                  </from>
                  <to>
                    <xdr:col>9</xdr:col>
                    <xdr:colOff>38100</xdr:colOff>
                    <xdr:row>15</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11"/>
  <sheetViews>
    <sheetView zoomScale="62" zoomScaleNormal="62" workbookViewId="0">
      <selection activeCell="K7" sqref="K7"/>
    </sheetView>
  </sheetViews>
  <sheetFormatPr defaultRowHeight="14.4" x14ac:dyDescent="0.3"/>
  <cols>
    <col min="1" max="1" width="21.21875" style="31" customWidth="1"/>
    <col min="2" max="3" width="24.5546875" style="31" customWidth="1"/>
    <col min="4" max="4" width="7.44140625" customWidth="1"/>
    <col min="5" max="5" width="0" hidden="1" customWidth="1"/>
  </cols>
  <sheetData>
    <row r="1" spans="1:6" x14ac:dyDescent="0.3">
      <c r="A1" s="31" t="s">
        <v>1513</v>
      </c>
      <c r="B1" s="31" t="s">
        <v>1514</v>
      </c>
      <c r="D1" s="136" t="s">
        <v>145</v>
      </c>
      <c r="E1" s="136" t="s">
        <v>57</v>
      </c>
      <c r="F1" s="136" t="s">
        <v>1512</v>
      </c>
    </row>
    <row r="2" spans="1:6" ht="86.4" x14ac:dyDescent="0.3">
      <c r="A2" s="31" t="s">
        <v>1515</v>
      </c>
      <c r="B2" s="31" t="s">
        <v>1516</v>
      </c>
      <c r="C2" s="31" t="s">
        <v>1518</v>
      </c>
      <c r="D2" s="42">
        <v>94835</v>
      </c>
      <c r="E2" s="136" t="s">
        <v>1452</v>
      </c>
      <c r="F2" s="136" t="s">
        <v>1490</v>
      </c>
    </row>
    <row r="3" spans="1:6" ht="86.4" x14ac:dyDescent="0.3">
      <c r="A3" s="31" t="s">
        <v>1517</v>
      </c>
      <c r="B3" s="31" t="s">
        <v>1516</v>
      </c>
      <c r="C3" s="31" t="s">
        <v>1518</v>
      </c>
      <c r="D3" s="42">
        <v>98719</v>
      </c>
      <c r="E3" s="136" t="s">
        <v>331</v>
      </c>
      <c r="F3" s="136" t="s">
        <v>1477</v>
      </c>
    </row>
    <row r="4" spans="1:6" x14ac:dyDescent="0.3">
      <c r="A4" s="31" t="s">
        <v>1520</v>
      </c>
      <c r="B4" s="31" t="s">
        <v>1521</v>
      </c>
      <c r="C4" s="31" t="s">
        <v>1519</v>
      </c>
      <c r="D4" s="42">
        <v>98910</v>
      </c>
      <c r="E4" s="136" t="s">
        <v>581</v>
      </c>
      <c r="F4" s="136" t="s">
        <v>1482</v>
      </c>
    </row>
    <row r="5" spans="1:6" ht="86.4" x14ac:dyDescent="0.3">
      <c r="A5" s="31" t="s">
        <v>1517</v>
      </c>
      <c r="B5" s="31" t="s">
        <v>1516</v>
      </c>
      <c r="C5" s="31" t="s">
        <v>1526</v>
      </c>
      <c r="D5" s="42">
        <v>98940</v>
      </c>
      <c r="E5" s="136" t="s">
        <v>1485</v>
      </c>
      <c r="F5" s="136" t="s">
        <v>1483</v>
      </c>
    </row>
    <row r="6" spans="1:6" ht="86.4" x14ac:dyDescent="0.3">
      <c r="A6" s="31" t="s">
        <v>1525</v>
      </c>
      <c r="B6" s="31" t="s">
        <v>1516</v>
      </c>
      <c r="C6" s="31" t="s">
        <v>1526</v>
      </c>
      <c r="D6" s="42">
        <v>98941</v>
      </c>
      <c r="E6" s="136" t="s">
        <v>695</v>
      </c>
      <c r="F6" s="136" t="s">
        <v>1488</v>
      </c>
    </row>
    <row r="7" spans="1:6" ht="28.8" x14ac:dyDescent="0.3">
      <c r="A7" s="31" t="s">
        <v>1522</v>
      </c>
      <c r="B7" s="31" t="s">
        <v>1523</v>
      </c>
      <c r="C7" s="31" t="s">
        <v>1524</v>
      </c>
      <c r="D7" s="42">
        <v>99537</v>
      </c>
      <c r="E7" s="136" t="s">
        <v>332</v>
      </c>
      <c r="F7" s="136" t="s">
        <v>1493</v>
      </c>
    </row>
    <row r="8" spans="1:6" ht="86.4" x14ac:dyDescent="0.3">
      <c r="A8" s="31" t="s">
        <v>1527</v>
      </c>
      <c r="B8" s="31" t="s">
        <v>1516</v>
      </c>
      <c r="C8" s="31" t="s">
        <v>1528</v>
      </c>
      <c r="D8" s="42">
        <v>100123</v>
      </c>
      <c r="E8" s="136" t="s">
        <v>336</v>
      </c>
      <c r="F8" s="136" t="s">
        <v>1489</v>
      </c>
    </row>
    <row r="9" spans="1:6" ht="86.4" x14ac:dyDescent="0.3">
      <c r="A9" s="31" t="s">
        <v>1527</v>
      </c>
      <c r="B9" s="31" t="s">
        <v>1516</v>
      </c>
      <c r="C9" s="31" t="s">
        <v>1529</v>
      </c>
      <c r="D9" s="42">
        <v>100789</v>
      </c>
      <c r="E9" s="136" t="s">
        <v>1486</v>
      </c>
      <c r="F9" s="136" t="s">
        <v>1504</v>
      </c>
    </row>
    <row r="10" spans="1:6" ht="28.8" x14ac:dyDescent="0.3">
      <c r="A10" s="31" t="s">
        <v>1530</v>
      </c>
      <c r="B10" s="31" t="s">
        <v>1531</v>
      </c>
      <c r="C10" s="31" t="s">
        <v>1532</v>
      </c>
      <c r="D10" s="42">
        <v>100833</v>
      </c>
      <c r="E10" s="136" t="s">
        <v>374</v>
      </c>
      <c r="F10" s="136" t="s">
        <v>1505</v>
      </c>
    </row>
    <row r="11" spans="1:6" ht="28.8" x14ac:dyDescent="0.3">
      <c r="A11" s="31" t="s">
        <v>1530</v>
      </c>
      <c r="B11" s="31" t="s">
        <v>1531</v>
      </c>
      <c r="C11" s="31" t="s">
        <v>1532</v>
      </c>
      <c r="D11" s="42">
        <v>100835</v>
      </c>
      <c r="E11" s="136" t="s">
        <v>331</v>
      </c>
      <c r="F11" s="136" t="s">
        <v>1506</v>
      </c>
    </row>
  </sheetData>
  <conditionalFormatting sqref="D2:D11">
    <cfRule type="expression" dxfId="297" priority="1">
      <formula>IF(AA2 &lt;&gt; " ---",IF(AA2 &lt;&gt; "",1,0),0)</formula>
    </cfRule>
    <cfRule type="expression" dxfId="296" priority="2">
      <formula>IF(W2=" ---",IF(AA2=" ---",1,0),0)</formula>
    </cfRule>
    <cfRule type="expression" dxfId="295" priority="3">
      <formula>IF(FIND("Denied",W2),1,0)</formula>
    </cfRule>
    <cfRule type="expression" dxfId="294" priority="4">
      <formula>IF(FIND("Director",W2,11),1,0)</formula>
    </cfRule>
    <cfRule type="expression" dxfId="293" priority="5">
      <formula>IF(FIND("Approve",W2),1,0)</formula>
    </cfRule>
    <cfRule type="expression" dxfId="292" priority="6">
      <formula>IF(FIND("Request",W2),1,0)</formula>
    </cfRule>
    <cfRule type="expression" dxfId="291" priority="7">
      <formula>IF(FIND("Requested",AF2),1,0)</formula>
    </cfRule>
  </conditionalFormatting>
  <hyperlinks>
    <hyperlink ref="E2" r:id="rId1" display="ron.chamberts@hpe.com"/>
    <hyperlink ref="E4" r:id="rId2" display="arnab.das@hpe.com"/>
    <hyperlink ref="E11" r:id="rId3"/>
  </hyperlinks>
  <pageMargins left="0.7" right="0.7" top="0.75" bottom="0.75" header="0.3" footer="0.3"/>
  <pageSetup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80"/>
  <sheetViews>
    <sheetView zoomScale="69" zoomScaleNormal="69" workbookViewId="0">
      <selection activeCell="E14" sqref="E14"/>
    </sheetView>
  </sheetViews>
  <sheetFormatPr defaultRowHeight="14.4" x14ac:dyDescent="0.3"/>
  <cols>
    <col min="1" max="1" width="59.77734375" style="31" customWidth="1"/>
    <col min="2" max="2" width="6" bestFit="1" customWidth="1"/>
    <col min="3" max="3" width="6.21875" bestFit="1" customWidth="1"/>
    <col min="4" max="4" width="28.44140625" bestFit="1" customWidth="1"/>
    <col min="5" max="5" width="155.5546875" customWidth="1"/>
    <col min="6" max="6" width="7.44140625" bestFit="1" customWidth="1"/>
    <col min="7" max="7" width="14.88671875" bestFit="1" customWidth="1"/>
    <col min="8" max="8" width="31.21875" bestFit="1" customWidth="1"/>
  </cols>
  <sheetData>
    <row r="1" spans="1:33" x14ac:dyDescent="0.3">
      <c r="A1" s="71" t="s">
        <v>1115</v>
      </c>
      <c r="B1" t="s">
        <v>173</v>
      </c>
      <c r="C1" s="132" t="s">
        <v>145</v>
      </c>
      <c r="D1" s="132" t="s">
        <v>57</v>
      </c>
      <c r="E1" s="132" t="s">
        <v>58</v>
      </c>
      <c r="F1" s="132" t="s">
        <v>59</v>
      </c>
      <c r="G1" s="68" t="s">
        <v>60</v>
      </c>
      <c r="H1" s="68" t="s">
        <v>61</v>
      </c>
      <c r="I1" s="68" t="s">
        <v>62</v>
      </c>
      <c r="J1" s="68" t="s">
        <v>63</v>
      </c>
      <c r="K1" s="68" t="s">
        <v>64</v>
      </c>
      <c r="L1" s="68" t="s">
        <v>65</v>
      </c>
      <c r="M1" s="68" t="s">
        <v>66</v>
      </c>
      <c r="N1" s="68" t="s">
        <v>67</v>
      </c>
      <c r="O1" s="68" t="s">
        <v>68</v>
      </c>
      <c r="P1" s="68" t="s">
        <v>69</v>
      </c>
      <c r="Q1" s="68" t="s">
        <v>70</v>
      </c>
      <c r="R1" s="68" t="s">
        <v>71</v>
      </c>
      <c r="S1" s="68" t="s">
        <v>72</v>
      </c>
      <c r="T1" s="68" t="s">
        <v>73</v>
      </c>
      <c r="U1" s="68" t="s">
        <v>74</v>
      </c>
      <c r="V1" s="68" t="s">
        <v>75</v>
      </c>
      <c r="W1" s="68" t="s">
        <v>76</v>
      </c>
      <c r="X1" s="68" t="s">
        <v>77</v>
      </c>
      <c r="Y1" s="68" t="s">
        <v>78</v>
      </c>
      <c r="Z1" s="68" t="s">
        <v>79</v>
      </c>
      <c r="AA1" s="68" t="s">
        <v>615</v>
      </c>
      <c r="AB1" s="68" t="s">
        <v>308</v>
      </c>
      <c r="AC1" s="68" t="s">
        <v>307</v>
      </c>
      <c r="AD1" s="68" t="s">
        <v>621</v>
      </c>
      <c r="AE1" s="68" t="s">
        <v>622</v>
      </c>
      <c r="AF1" s="68" t="s">
        <v>1084</v>
      </c>
      <c r="AG1" s="68" t="s">
        <v>580</v>
      </c>
    </row>
    <row r="2" spans="1:33" x14ac:dyDescent="0.3">
      <c r="B2" s="19" t="str">
        <f ca="1">HYPERLINK(CONCATENATE("https://bugzilla.houston.hpecorp.net:1181/bugzilla/show_bug.cgi?id=",MID(INDIRECT($A$80&amp;ROW()),9,5)),MID(INDIRECT($A$80&amp;ROW()),9,5))</f>
        <v>89469</v>
      </c>
      <c r="C2" s="42">
        <v>89583</v>
      </c>
      <c r="D2" s="132" t="s">
        <v>1259</v>
      </c>
      <c r="E2" s="132" t="s">
        <v>1415</v>
      </c>
      <c r="F2" s="132" t="s">
        <v>2</v>
      </c>
      <c r="G2" s="68" t="s">
        <v>569</v>
      </c>
      <c r="H2" s="68" t="s">
        <v>316</v>
      </c>
      <c r="I2" s="68"/>
      <c r="J2" s="69">
        <v>42499.678622685184</v>
      </c>
      <c r="K2" s="68" t="s">
        <v>159</v>
      </c>
      <c r="L2" s="68" t="s">
        <v>48</v>
      </c>
      <c r="M2" s="69">
        <v>42436.361817129633</v>
      </c>
      <c r="N2" s="68" t="s">
        <v>16</v>
      </c>
      <c r="O2" s="68"/>
      <c r="P2" s="68" t="s">
        <v>366</v>
      </c>
      <c r="Q2" s="68" t="s">
        <v>6</v>
      </c>
      <c r="R2" s="68" t="s">
        <v>30</v>
      </c>
      <c r="S2" s="68" t="s">
        <v>13</v>
      </c>
      <c r="T2" s="68" t="s">
        <v>19</v>
      </c>
      <c r="U2" s="68"/>
      <c r="V2" s="68" t="s">
        <v>7</v>
      </c>
      <c r="W2" s="68" t="s">
        <v>10</v>
      </c>
      <c r="X2" s="68" t="s">
        <v>7</v>
      </c>
      <c r="Y2" s="68" t="s">
        <v>82</v>
      </c>
      <c r="Z2" s="68" t="s">
        <v>7</v>
      </c>
      <c r="AA2" s="68" t="s">
        <v>7</v>
      </c>
      <c r="AB2" s="68" t="s">
        <v>7</v>
      </c>
      <c r="AC2" s="68" t="s">
        <v>7</v>
      </c>
      <c r="AD2" s="68" t="s">
        <v>7</v>
      </c>
      <c r="AE2" s="68" t="s">
        <v>7</v>
      </c>
      <c r="AF2" s="68" t="s">
        <v>7</v>
      </c>
      <c r="AG2" s="68">
        <v>10408</v>
      </c>
    </row>
    <row r="3" spans="1:33" x14ac:dyDescent="0.3">
      <c r="B3" s="19" t="str">
        <f t="shared" ref="B3:B66" ca="1" si="0">HYPERLINK(CONCATENATE("https://bugzilla.houston.hpecorp.net:1181/bugzilla/show_bug.cgi?id=",MID(INDIRECT($A$80&amp;ROW()),9,5)),MID(INDIRECT($A$80&amp;ROW()),9,5))</f>
        <v>89625</v>
      </c>
      <c r="C3" s="42">
        <v>89851</v>
      </c>
      <c r="D3" s="132" t="s">
        <v>1416</v>
      </c>
      <c r="E3" s="132" t="s">
        <v>1404</v>
      </c>
      <c r="F3" s="132" t="s">
        <v>652</v>
      </c>
      <c r="G3" s="68" t="s">
        <v>569</v>
      </c>
      <c r="H3" s="68" t="s">
        <v>81</v>
      </c>
      <c r="I3" s="68"/>
      <c r="J3" s="69">
        <v>42506.822696759256</v>
      </c>
      <c r="K3" s="68" t="s">
        <v>20</v>
      </c>
      <c r="L3" s="68" t="s">
        <v>48</v>
      </c>
      <c r="M3" s="69">
        <v>42445.024756944447</v>
      </c>
      <c r="N3" s="68" t="s">
        <v>16</v>
      </c>
      <c r="O3" s="68"/>
      <c r="P3" s="68" t="s">
        <v>366</v>
      </c>
      <c r="Q3" s="68" t="s">
        <v>12</v>
      </c>
      <c r="R3" s="68" t="s">
        <v>30</v>
      </c>
      <c r="S3" s="68" t="s">
        <v>13</v>
      </c>
      <c r="T3" s="68" t="s">
        <v>35</v>
      </c>
      <c r="U3" s="68"/>
      <c r="V3" s="68" t="s">
        <v>7</v>
      </c>
      <c r="W3" s="68" t="s">
        <v>10</v>
      </c>
      <c r="X3" s="68" t="s">
        <v>7</v>
      </c>
      <c r="Y3" s="68" t="s">
        <v>82</v>
      </c>
      <c r="Z3" s="68" t="s">
        <v>7</v>
      </c>
      <c r="AA3" s="68" t="s">
        <v>7</v>
      </c>
      <c r="AB3" s="68" t="s">
        <v>7</v>
      </c>
      <c r="AC3" s="68" t="s">
        <v>7</v>
      </c>
      <c r="AD3" s="68" t="s">
        <v>7</v>
      </c>
      <c r="AE3" s="68" t="s">
        <v>7</v>
      </c>
      <c r="AF3" s="68" t="s">
        <v>7</v>
      </c>
      <c r="AG3" s="68">
        <v>10537</v>
      </c>
    </row>
    <row r="4" spans="1:33" x14ac:dyDescent="0.3">
      <c r="B4" s="19" t="str">
        <f t="shared" ca="1" si="0"/>
        <v>90760</v>
      </c>
      <c r="C4" s="42">
        <v>90852</v>
      </c>
      <c r="D4" s="132" t="s">
        <v>332</v>
      </c>
      <c r="E4" s="132" t="s">
        <v>1411</v>
      </c>
      <c r="F4" s="132" t="s">
        <v>652</v>
      </c>
      <c r="G4" s="68" t="s">
        <v>569</v>
      </c>
      <c r="H4" s="68" t="s">
        <v>81</v>
      </c>
      <c r="I4" s="68"/>
      <c r="J4" s="69">
        <v>42471.527499999997</v>
      </c>
      <c r="K4" s="68" t="s">
        <v>20</v>
      </c>
      <c r="L4" s="68" t="s">
        <v>569</v>
      </c>
      <c r="M4" s="69">
        <v>42471.527499999997</v>
      </c>
      <c r="N4" s="68" t="s">
        <v>50</v>
      </c>
      <c r="O4" s="68"/>
      <c r="P4" s="68" t="s">
        <v>717</v>
      </c>
      <c r="Q4" s="68" t="s">
        <v>17</v>
      </c>
      <c r="R4" s="68" t="s">
        <v>30</v>
      </c>
      <c r="S4" s="68" t="s">
        <v>8</v>
      </c>
      <c r="T4" s="68" t="s">
        <v>122</v>
      </c>
      <c r="U4" s="68"/>
      <c r="V4" s="68" t="s">
        <v>7</v>
      </c>
      <c r="W4" s="68" t="s">
        <v>10</v>
      </c>
      <c r="X4" s="68" t="s">
        <v>7</v>
      </c>
      <c r="Y4" s="68" t="s">
        <v>82</v>
      </c>
      <c r="Z4" s="68" t="s">
        <v>7</v>
      </c>
      <c r="AA4" s="68" t="s">
        <v>7</v>
      </c>
      <c r="AB4" s="68" t="s">
        <v>7</v>
      </c>
      <c r="AC4" s="68" t="s">
        <v>7</v>
      </c>
      <c r="AD4" s="68" t="s">
        <v>7</v>
      </c>
      <c r="AE4" s="68" t="s">
        <v>7</v>
      </c>
      <c r="AF4" s="68" t="s">
        <v>7</v>
      </c>
      <c r="AG4" s="68"/>
    </row>
    <row r="5" spans="1:33" x14ac:dyDescent="0.3">
      <c r="B5" s="19" t="str">
        <f t="shared" ca="1" si="0"/>
        <v>89113</v>
      </c>
      <c r="C5" s="42">
        <v>91248</v>
      </c>
      <c r="D5" s="132" t="s">
        <v>564</v>
      </c>
      <c r="E5" s="132" t="s">
        <v>1417</v>
      </c>
      <c r="F5" s="132" t="s">
        <v>11</v>
      </c>
      <c r="G5" s="68" t="s">
        <v>569</v>
      </c>
      <c r="H5" s="68" t="s">
        <v>81</v>
      </c>
      <c r="I5" s="68"/>
      <c r="J5" s="69">
        <v>42496.638773148145</v>
      </c>
      <c r="K5" s="68" t="s">
        <v>20</v>
      </c>
      <c r="L5" s="68" t="s">
        <v>1034</v>
      </c>
      <c r="M5" s="69">
        <v>42489.026493055557</v>
      </c>
      <c r="N5" s="68" t="s">
        <v>16</v>
      </c>
      <c r="O5" s="68"/>
      <c r="P5" s="68" t="s">
        <v>366</v>
      </c>
      <c r="Q5" s="68" t="s">
        <v>17</v>
      </c>
      <c r="R5" s="68" t="s">
        <v>30</v>
      </c>
      <c r="S5" s="68" t="s">
        <v>13</v>
      </c>
      <c r="T5" s="68" t="s">
        <v>19</v>
      </c>
      <c r="U5" s="68"/>
      <c r="V5" s="68" t="s">
        <v>7</v>
      </c>
      <c r="W5" s="68" t="s">
        <v>10</v>
      </c>
      <c r="X5" s="68" t="s">
        <v>7</v>
      </c>
      <c r="Y5" s="68" t="s">
        <v>82</v>
      </c>
      <c r="Z5" s="68" t="s">
        <v>7</v>
      </c>
      <c r="AA5" s="68" t="s">
        <v>7</v>
      </c>
      <c r="AB5" s="68" t="s">
        <v>7</v>
      </c>
      <c r="AC5" s="68" t="s">
        <v>7</v>
      </c>
      <c r="AD5" s="68" t="s">
        <v>7</v>
      </c>
      <c r="AE5" s="68" t="s">
        <v>7</v>
      </c>
      <c r="AF5" s="68" t="s">
        <v>7</v>
      </c>
      <c r="AG5" s="68">
        <v>10905</v>
      </c>
    </row>
    <row r="6" spans="1:33" s="55" customFormat="1" x14ac:dyDescent="0.3">
      <c r="A6" s="72"/>
      <c r="B6" s="70" t="str">
        <f t="shared" ca="1" si="0"/>
        <v/>
      </c>
      <c r="C6" s="42"/>
      <c r="D6" s="132"/>
      <c r="E6" s="132"/>
      <c r="F6" s="132"/>
      <c r="G6" s="68"/>
      <c r="H6" s="68" t="s">
        <v>81</v>
      </c>
      <c r="I6" s="68"/>
      <c r="J6" s="69">
        <v>42516.200960648152</v>
      </c>
      <c r="K6" s="68" t="s">
        <v>159</v>
      </c>
      <c r="L6" s="68" t="s">
        <v>569</v>
      </c>
      <c r="M6" s="69">
        <v>42494.026261574072</v>
      </c>
      <c r="N6" s="68" t="s">
        <v>628</v>
      </c>
      <c r="O6" s="68"/>
      <c r="P6" s="68" t="s">
        <v>616</v>
      </c>
      <c r="Q6" s="68" t="s">
        <v>17</v>
      </c>
      <c r="R6" s="68" t="s">
        <v>30</v>
      </c>
      <c r="S6" s="68" t="s">
        <v>13</v>
      </c>
      <c r="T6" s="68" t="s">
        <v>19</v>
      </c>
      <c r="U6" s="68"/>
      <c r="V6" s="68" t="s">
        <v>7</v>
      </c>
      <c r="W6" s="68" t="s">
        <v>10</v>
      </c>
      <c r="X6" s="68" t="s">
        <v>7</v>
      </c>
      <c r="Y6" s="68" t="s">
        <v>82</v>
      </c>
      <c r="Z6" s="68" t="s">
        <v>7</v>
      </c>
      <c r="AA6" s="68" t="s">
        <v>7</v>
      </c>
      <c r="AB6" s="68" t="s">
        <v>7</v>
      </c>
      <c r="AC6" s="68" t="s">
        <v>7</v>
      </c>
      <c r="AD6" s="68" t="s">
        <v>7</v>
      </c>
      <c r="AE6" s="68" t="s">
        <v>7</v>
      </c>
      <c r="AF6" s="68" t="s">
        <v>7</v>
      </c>
      <c r="AG6" s="68"/>
    </row>
    <row r="7" spans="1:33" x14ac:dyDescent="0.3">
      <c r="A7" s="72"/>
      <c r="B7" s="19" t="str">
        <f t="shared" ca="1" si="0"/>
        <v/>
      </c>
      <c r="C7" s="42"/>
      <c r="D7" s="132"/>
      <c r="E7" s="132"/>
      <c r="F7" s="132"/>
      <c r="G7" s="68"/>
      <c r="H7" s="68" t="s">
        <v>81</v>
      </c>
      <c r="I7" s="68"/>
      <c r="J7" s="69">
        <v>42494.316168981481</v>
      </c>
      <c r="K7" s="68" t="s">
        <v>20</v>
      </c>
      <c r="L7" s="68" t="s">
        <v>1034</v>
      </c>
      <c r="M7" s="69">
        <v>42494.026886574073</v>
      </c>
      <c r="N7" s="68" t="s">
        <v>16</v>
      </c>
      <c r="O7" s="68"/>
      <c r="P7" s="68" t="s">
        <v>616</v>
      </c>
      <c r="Q7" s="68" t="s">
        <v>17</v>
      </c>
      <c r="R7" s="68" t="s">
        <v>30</v>
      </c>
      <c r="S7" s="68" t="s">
        <v>13</v>
      </c>
      <c r="T7" s="68" t="s">
        <v>19</v>
      </c>
      <c r="U7" s="68"/>
      <c r="V7" s="68" t="s">
        <v>7</v>
      </c>
      <c r="W7" s="68" t="s">
        <v>10</v>
      </c>
      <c r="X7" s="68" t="s">
        <v>7</v>
      </c>
      <c r="Y7" s="68" t="s">
        <v>82</v>
      </c>
      <c r="Z7" s="68" t="s">
        <v>7</v>
      </c>
      <c r="AA7" s="68" t="s">
        <v>7</v>
      </c>
      <c r="AB7" s="68" t="s">
        <v>7</v>
      </c>
      <c r="AC7" s="68" t="s">
        <v>7</v>
      </c>
      <c r="AD7" s="68" t="s">
        <v>7</v>
      </c>
      <c r="AE7" s="68" t="s">
        <v>7</v>
      </c>
      <c r="AF7" s="68" t="s">
        <v>7</v>
      </c>
      <c r="AG7" s="68">
        <v>10938</v>
      </c>
    </row>
    <row r="8" spans="1:33" x14ac:dyDescent="0.3">
      <c r="A8" s="72"/>
      <c r="B8" s="19" t="str">
        <f t="shared" ca="1" si="0"/>
        <v/>
      </c>
      <c r="C8" s="128"/>
      <c r="D8" s="128"/>
      <c r="E8" s="130"/>
      <c r="F8" s="128"/>
      <c r="G8" s="68"/>
      <c r="H8" s="68"/>
      <c r="I8" s="68"/>
      <c r="J8" s="69"/>
      <c r="K8" s="68"/>
      <c r="L8" s="68"/>
      <c r="M8" s="69"/>
      <c r="N8" s="68"/>
      <c r="O8" s="68"/>
      <c r="P8" s="68"/>
      <c r="Q8" s="68"/>
      <c r="R8" s="68"/>
      <c r="S8" s="68"/>
      <c r="T8" s="68"/>
      <c r="U8" s="68"/>
      <c r="V8" s="68"/>
      <c r="W8" s="68"/>
      <c r="X8" s="68"/>
      <c r="Y8" s="68"/>
      <c r="Z8" s="68"/>
      <c r="AA8" s="68"/>
      <c r="AB8" s="68"/>
      <c r="AC8" s="68"/>
      <c r="AD8" s="68"/>
      <c r="AE8" s="68"/>
      <c r="AF8" s="68"/>
      <c r="AG8" s="68"/>
    </row>
    <row r="9" spans="1:33" x14ac:dyDescent="0.3">
      <c r="A9" s="72"/>
      <c r="B9" s="19" t="str">
        <f t="shared" ca="1" si="0"/>
        <v/>
      </c>
      <c r="C9" s="42"/>
      <c r="D9" s="128"/>
      <c r="E9" s="131"/>
      <c r="F9" s="128"/>
      <c r="G9" s="68"/>
      <c r="H9" s="68"/>
      <c r="I9" s="68"/>
      <c r="J9" s="69"/>
      <c r="K9" s="68"/>
      <c r="L9" s="68"/>
      <c r="M9" s="69"/>
      <c r="N9" s="68"/>
      <c r="O9" s="68"/>
      <c r="P9" s="68"/>
      <c r="Q9" s="68"/>
      <c r="R9" s="68"/>
      <c r="S9" s="68"/>
      <c r="T9" s="68"/>
      <c r="U9" s="68"/>
      <c r="V9" s="68"/>
      <c r="W9" s="68"/>
      <c r="X9" s="68"/>
      <c r="Y9" s="68"/>
      <c r="Z9" s="68"/>
      <c r="AA9" s="68"/>
      <c r="AB9" s="68"/>
      <c r="AC9" s="68"/>
      <c r="AD9" s="68"/>
      <c r="AE9" s="68"/>
      <c r="AF9" s="68"/>
      <c r="AG9" s="68"/>
    </row>
    <row r="10" spans="1:33" x14ac:dyDescent="0.3">
      <c r="A10" s="72"/>
      <c r="B10" s="19" t="str">
        <f t="shared" ca="1" si="0"/>
        <v/>
      </c>
      <c r="C10" s="42"/>
      <c r="D10" s="125"/>
      <c r="E10" s="125"/>
      <c r="F10" s="125"/>
      <c r="G10" s="68"/>
      <c r="H10" s="68"/>
      <c r="I10" s="68"/>
      <c r="J10" s="69"/>
      <c r="K10" s="68"/>
      <c r="L10" s="68"/>
      <c r="M10" s="69"/>
      <c r="N10" s="68"/>
      <c r="O10" s="68"/>
      <c r="P10" s="68"/>
      <c r="Q10" s="68"/>
      <c r="R10" s="68"/>
      <c r="S10" s="68"/>
      <c r="T10" s="68"/>
      <c r="U10" s="68"/>
      <c r="V10" s="68"/>
      <c r="W10" s="68"/>
      <c r="X10" s="68"/>
      <c r="Y10" s="68"/>
      <c r="Z10" s="68"/>
      <c r="AA10" s="68"/>
      <c r="AB10" s="68"/>
      <c r="AC10" s="68"/>
      <c r="AD10" s="68"/>
      <c r="AE10" s="68"/>
      <c r="AF10" s="68"/>
      <c r="AG10" s="68"/>
    </row>
    <row r="11" spans="1:33" x14ac:dyDescent="0.3">
      <c r="A11" s="72"/>
      <c r="B11" s="19" t="str">
        <f t="shared" ca="1" si="0"/>
        <v/>
      </c>
      <c r="C11" s="42"/>
      <c r="D11" s="125"/>
      <c r="E11" s="125"/>
      <c r="F11" s="125"/>
      <c r="G11" s="68"/>
      <c r="H11" s="68"/>
      <c r="I11" s="68"/>
      <c r="J11" s="69"/>
      <c r="K11" s="68"/>
      <c r="L11" s="68"/>
      <c r="M11" s="69"/>
      <c r="N11" s="68"/>
      <c r="O11" s="68"/>
      <c r="P11" s="68"/>
      <c r="Q11" s="68"/>
      <c r="R11" s="68"/>
      <c r="S11" s="68"/>
      <c r="T11" s="68"/>
      <c r="U11" s="68"/>
      <c r="V11" s="68"/>
      <c r="W11" s="68"/>
      <c r="X11" s="68"/>
      <c r="Y11" s="68"/>
      <c r="Z11" s="68"/>
      <c r="AA11" s="68"/>
      <c r="AB11" s="68"/>
      <c r="AC11" s="68"/>
      <c r="AD11" s="68"/>
      <c r="AE11" s="68"/>
      <c r="AF11" s="68"/>
      <c r="AG11" s="68"/>
    </row>
    <row r="12" spans="1:33" x14ac:dyDescent="0.3">
      <c r="B12" s="19" t="str">
        <f t="shared" ca="1" si="0"/>
        <v/>
      </c>
      <c r="C12" s="42"/>
      <c r="D12" s="125"/>
      <c r="E12" s="125"/>
      <c r="F12" s="125"/>
      <c r="G12" s="68"/>
      <c r="H12" s="68"/>
      <c r="I12" s="68"/>
      <c r="J12" s="69"/>
      <c r="K12" s="68"/>
      <c r="L12" s="68"/>
      <c r="M12" s="69"/>
      <c r="N12" s="68"/>
      <c r="O12" s="68"/>
      <c r="P12" s="68"/>
      <c r="Q12" s="68"/>
      <c r="R12" s="68"/>
      <c r="S12" s="68"/>
      <c r="T12" s="68"/>
      <c r="U12" s="68"/>
      <c r="V12" s="68"/>
      <c r="W12" s="68"/>
      <c r="X12" s="68"/>
      <c r="Y12" s="68"/>
      <c r="Z12" s="68"/>
      <c r="AA12" s="68"/>
      <c r="AB12" s="68"/>
      <c r="AC12" s="68"/>
      <c r="AD12" s="68"/>
      <c r="AE12" s="68"/>
      <c r="AF12" s="68"/>
      <c r="AG12" s="68"/>
    </row>
    <row r="13" spans="1:33" x14ac:dyDescent="0.3">
      <c r="B13" s="19" t="str">
        <f t="shared" ca="1" si="0"/>
        <v/>
      </c>
      <c r="C13" s="42"/>
      <c r="D13" s="118"/>
      <c r="E13" s="118"/>
      <c r="F13" s="118"/>
      <c r="G13" s="68"/>
      <c r="H13" s="68"/>
      <c r="I13" s="68"/>
      <c r="J13" s="69"/>
      <c r="K13" s="68"/>
      <c r="L13" s="68"/>
      <c r="M13" s="69"/>
      <c r="N13" s="68"/>
      <c r="O13" s="68"/>
      <c r="P13" s="68"/>
      <c r="Q13" s="68"/>
      <c r="R13" s="68"/>
      <c r="S13" s="68"/>
      <c r="T13" s="68"/>
      <c r="U13" s="68"/>
      <c r="V13" s="68"/>
      <c r="W13" s="68"/>
      <c r="X13" s="68"/>
      <c r="Y13" s="68"/>
      <c r="Z13" s="68"/>
      <c r="AA13" s="68"/>
      <c r="AB13" s="68"/>
      <c r="AC13" s="68"/>
      <c r="AD13" s="68"/>
      <c r="AE13" s="68"/>
      <c r="AF13" s="68"/>
      <c r="AG13" s="68"/>
    </row>
    <row r="14" spans="1:33" x14ac:dyDescent="0.3">
      <c r="B14" s="19" t="str">
        <f t="shared" ca="1" si="0"/>
        <v/>
      </c>
      <c r="C14" s="42"/>
      <c r="D14" s="118"/>
      <c r="E14" s="118"/>
      <c r="F14" s="68"/>
      <c r="G14" s="68"/>
      <c r="H14" s="68"/>
      <c r="I14" s="68"/>
      <c r="J14" s="69"/>
      <c r="K14" s="68"/>
      <c r="L14" s="68"/>
      <c r="M14" s="69"/>
      <c r="N14" s="68"/>
      <c r="O14" s="68"/>
      <c r="P14" s="68"/>
      <c r="Q14" s="68"/>
      <c r="R14" s="68"/>
      <c r="S14" s="68"/>
      <c r="T14" s="68"/>
      <c r="U14" s="68"/>
      <c r="V14" s="68"/>
      <c r="W14" s="68"/>
      <c r="X14" s="68"/>
      <c r="Y14" s="68"/>
      <c r="Z14" s="68"/>
      <c r="AA14" s="68"/>
      <c r="AB14" s="68"/>
      <c r="AC14" s="68"/>
      <c r="AD14" s="68"/>
      <c r="AE14" s="68"/>
      <c r="AF14" s="68"/>
      <c r="AG14" s="68"/>
    </row>
    <row r="15" spans="1:33" x14ac:dyDescent="0.3">
      <c r="B15" s="19" t="str">
        <f t="shared" ca="1" si="0"/>
        <v/>
      </c>
      <c r="C15" s="42"/>
      <c r="D15" s="118"/>
      <c r="E15" s="118"/>
      <c r="F15" s="68"/>
      <c r="G15" s="68"/>
      <c r="H15" s="68"/>
      <c r="I15" s="68"/>
      <c r="J15" s="69"/>
      <c r="K15" s="68"/>
      <c r="L15" s="68"/>
      <c r="M15" s="69"/>
      <c r="N15" s="68"/>
      <c r="O15" s="68"/>
      <c r="P15" s="68"/>
      <c r="Q15" s="68"/>
      <c r="R15" s="68"/>
      <c r="S15" s="68"/>
      <c r="T15" s="68"/>
      <c r="U15" s="68"/>
      <c r="V15" s="68"/>
      <c r="W15" s="68"/>
      <c r="X15" s="68"/>
      <c r="Y15" s="68"/>
      <c r="Z15" s="68"/>
      <c r="AA15" s="68"/>
      <c r="AB15" s="68"/>
      <c r="AC15" s="68"/>
      <c r="AD15" s="68"/>
      <c r="AE15" s="68"/>
      <c r="AF15" s="68"/>
      <c r="AG15" s="68"/>
    </row>
    <row r="16" spans="1:33" x14ac:dyDescent="0.3">
      <c r="B16" s="19" t="str">
        <f t="shared" ca="1" si="0"/>
        <v/>
      </c>
      <c r="C16" s="42"/>
      <c r="D16" s="118"/>
      <c r="E16" s="118"/>
      <c r="F16" s="68"/>
      <c r="G16" s="68"/>
      <c r="H16" s="68"/>
      <c r="I16" s="68"/>
      <c r="J16" s="69"/>
      <c r="K16" s="68"/>
      <c r="L16" s="68"/>
      <c r="M16" s="69"/>
      <c r="N16" s="68"/>
      <c r="O16" s="68"/>
      <c r="P16" s="68"/>
      <c r="Q16" s="68"/>
      <c r="R16" s="68"/>
      <c r="S16" s="68"/>
      <c r="T16" s="68"/>
      <c r="U16" s="68"/>
      <c r="V16" s="68"/>
      <c r="W16" s="68"/>
      <c r="X16" s="68"/>
      <c r="Y16" s="68"/>
      <c r="Z16" s="68"/>
      <c r="AA16" s="68"/>
      <c r="AB16" s="68"/>
      <c r="AC16" s="68"/>
      <c r="AD16" s="68"/>
      <c r="AE16" s="68"/>
      <c r="AF16" s="68"/>
      <c r="AG16" s="68"/>
    </row>
    <row r="17" spans="2:33" x14ac:dyDescent="0.3">
      <c r="B17" s="19" t="str">
        <f t="shared" ca="1" si="0"/>
        <v/>
      </c>
      <c r="C17" s="42"/>
      <c r="D17" s="118"/>
      <c r="E17" s="118"/>
      <c r="F17" s="68"/>
      <c r="G17" s="68"/>
      <c r="H17" s="68"/>
      <c r="I17" s="68"/>
      <c r="J17" s="69"/>
      <c r="K17" s="68"/>
      <c r="L17" s="68"/>
      <c r="M17" s="69"/>
      <c r="N17" s="68"/>
      <c r="O17" s="68"/>
      <c r="P17" s="68"/>
      <c r="Q17" s="68"/>
      <c r="R17" s="68"/>
      <c r="S17" s="68"/>
      <c r="T17" s="68"/>
      <c r="U17" s="68"/>
      <c r="V17" s="68"/>
      <c r="W17" s="68"/>
      <c r="X17" s="68"/>
      <c r="Y17" s="68"/>
      <c r="Z17" s="68"/>
      <c r="AA17" s="68"/>
      <c r="AB17" s="68"/>
      <c r="AC17" s="68"/>
      <c r="AD17" s="68"/>
      <c r="AE17" s="68"/>
      <c r="AF17" s="68"/>
      <c r="AG17" s="68"/>
    </row>
    <row r="18" spans="2:33" x14ac:dyDescent="0.3">
      <c r="B18" s="19" t="str">
        <f t="shared" ca="1" si="0"/>
        <v/>
      </c>
      <c r="C18" s="42"/>
      <c r="D18" s="118"/>
      <c r="E18" s="118"/>
      <c r="F18" s="68"/>
      <c r="G18" s="68"/>
      <c r="H18" s="68"/>
      <c r="I18" s="68"/>
      <c r="J18" s="69"/>
      <c r="K18" s="68"/>
      <c r="L18" s="68"/>
      <c r="M18" s="69"/>
      <c r="N18" s="68"/>
      <c r="O18" s="68"/>
      <c r="P18" s="68"/>
      <c r="Q18" s="68"/>
      <c r="R18" s="68"/>
      <c r="S18" s="68"/>
      <c r="T18" s="68"/>
      <c r="U18" s="68"/>
      <c r="V18" s="68"/>
      <c r="W18" s="68"/>
      <c r="X18" s="68"/>
      <c r="Y18" s="68"/>
      <c r="Z18" s="68"/>
      <c r="AA18" s="68"/>
      <c r="AB18" s="68"/>
      <c r="AC18" s="68"/>
      <c r="AD18" s="68"/>
      <c r="AE18" s="68"/>
      <c r="AF18" s="68"/>
      <c r="AG18" s="68"/>
    </row>
    <row r="19" spans="2:33" x14ac:dyDescent="0.3">
      <c r="B19" s="19" t="str">
        <f t="shared" ca="1" si="0"/>
        <v/>
      </c>
      <c r="C19" s="42"/>
      <c r="D19" s="68"/>
      <c r="E19" s="68"/>
      <c r="F19" s="68"/>
      <c r="G19" s="68"/>
      <c r="H19" s="68"/>
      <c r="I19" s="68"/>
      <c r="J19" s="69"/>
      <c r="K19" s="68"/>
      <c r="L19" s="68"/>
      <c r="M19" s="69"/>
      <c r="N19" s="68"/>
      <c r="O19" s="68"/>
      <c r="P19" s="68"/>
      <c r="Q19" s="68"/>
      <c r="R19" s="68"/>
      <c r="S19" s="68"/>
      <c r="T19" s="68"/>
      <c r="U19" s="68"/>
      <c r="V19" s="68"/>
      <c r="W19" s="68"/>
      <c r="X19" s="68"/>
      <c r="Y19" s="68"/>
      <c r="Z19" s="68"/>
      <c r="AA19" s="68"/>
      <c r="AB19" s="68"/>
      <c r="AC19" s="68"/>
      <c r="AD19" s="68"/>
      <c r="AE19" s="68"/>
      <c r="AF19" s="68"/>
      <c r="AG19" s="68"/>
    </row>
    <row r="20" spans="2:33" x14ac:dyDescent="0.3">
      <c r="B20" s="19" t="str">
        <f t="shared" ca="1" si="0"/>
        <v/>
      </c>
      <c r="C20" s="42"/>
      <c r="D20" s="68"/>
      <c r="E20" s="68"/>
      <c r="F20" s="68"/>
      <c r="G20" s="68"/>
      <c r="H20" s="68"/>
      <c r="I20" s="68"/>
      <c r="J20" s="69"/>
      <c r="K20" s="68"/>
      <c r="L20" s="68"/>
      <c r="M20" s="69"/>
      <c r="N20" s="68"/>
      <c r="O20" s="68"/>
      <c r="P20" s="68"/>
      <c r="Q20" s="68"/>
      <c r="R20" s="68"/>
      <c r="S20" s="68"/>
      <c r="T20" s="68"/>
      <c r="U20" s="68"/>
      <c r="V20" s="68"/>
      <c r="W20" s="68"/>
      <c r="X20" s="68"/>
      <c r="Y20" s="68"/>
      <c r="Z20" s="68"/>
      <c r="AA20" s="68"/>
      <c r="AB20" s="68"/>
      <c r="AC20" s="68"/>
      <c r="AD20" s="68"/>
      <c r="AE20" s="68"/>
      <c r="AF20" s="68"/>
      <c r="AG20" s="68"/>
    </row>
    <row r="21" spans="2:33" x14ac:dyDescent="0.3">
      <c r="B21" s="19" t="str">
        <f t="shared" ca="1" si="0"/>
        <v/>
      </c>
      <c r="C21" s="42"/>
      <c r="D21" s="68"/>
      <c r="E21" s="68"/>
      <c r="F21" s="68"/>
      <c r="G21" s="68"/>
      <c r="H21" s="68"/>
      <c r="I21" s="68"/>
      <c r="J21" s="69"/>
      <c r="K21" s="68"/>
      <c r="L21" s="68"/>
      <c r="M21" s="69"/>
      <c r="N21" s="68"/>
      <c r="O21" s="68"/>
      <c r="P21" s="68"/>
      <c r="Q21" s="68"/>
      <c r="R21" s="68"/>
      <c r="S21" s="68"/>
      <c r="T21" s="68"/>
      <c r="U21" s="68"/>
      <c r="V21" s="68"/>
      <c r="W21" s="68"/>
      <c r="X21" s="68"/>
      <c r="Y21" s="68"/>
      <c r="Z21" s="68"/>
      <c r="AA21" s="68"/>
      <c r="AB21" s="68"/>
      <c r="AC21" s="68"/>
      <c r="AD21" s="68"/>
      <c r="AE21" s="68"/>
      <c r="AF21" s="68"/>
      <c r="AG21" s="68"/>
    </row>
    <row r="22" spans="2:33" x14ac:dyDescent="0.3">
      <c r="B22" s="19" t="str">
        <f t="shared" ca="1" si="0"/>
        <v/>
      </c>
      <c r="C22" s="42"/>
      <c r="D22" s="68"/>
      <c r="E22" s="68"/>
      <c r="F22" s="68"/>
      <c r="G22" s="68"/>
      <c r="H22" s="68"/>
      <c r="I22" s="68"/>
      <c r="J22" s="69"/>
      <c r="K22" s="68"/>
      <c r="L22" s="68"/>
      <c r="M22" s="69"/>
      <c r="N22" s="68"/>
      <c r="O22" s="68"/>
      <c r="P22" s="68"/>
      <c r="Q22" s="68"/>
      <c r="R22" s="68"/>
      <c r="S22" s="68"/>
      <c r="T22" s="68"/>
      <c r="U22" s="68"/>
      <c r="V22" s="68"/>
      <c r="W22" s="68"/>
      <c r="X22" s="68"/>
      <c r="Y22" s="68"/>
      <c r="Z22" s="68"/>
      <c r="AA22" s="68"/>
      <c r="AB22" s="68"/>
      <c r="AC22" s="68"/>
      <c r="AD22" s="68"/>
      <c r="AE22" s="68"/>
      <c r="AF22" s="68"/>
      <c r="AG22" s="68"/>
    </row>
    <row r="23" spans="2:33" x14ac:dyDescent="0.3">
      <c r="B23" s="19" t="str">
        <f t="shared" ca="1" si="0"/>
        <v/>
      </c>
      <c r="C23" s="42"/>
      <c r="D23" s="68"/>
      <c r="E23" s="68"/>
      <c r="F23" s="68"/>
      <c r="G23" s="68"/>
      <c r="H23" s="68"/>
      <c r="I23" s="68"/>
      <c r="J23" s="69"/>
      <c r="K23" s="68"/>
      <c r="L23" s="68"/>
      <c r="M23" s="69"/>
      <c r="N23" s="68"/>
      <c r="O23" s="68"/>
      <c r="P23" s="68"/>
      <c r="Q23" s="68"/>
      <c r="R23" s="68"/>
      <c r="S23" s="68"/>
      <c r="T23" s="68"/>
      <c r="U23" s="68"/>
      <c r="V23" s="68"/>
      <c r="W23" s="68"/>
      <c r="X23" s="68"/>
      <c r="Y23" s="68"/>
      <c r="Z23" s="68"/>
      <c r="AA23" s="68"/>
      <c r="AB23" s="68"/>
      <c r="AC23" s="68"/>
      <c r="AD23" s="68"/>
      <c r="AE23" s="68"/>
      <c r="AF23" s="68"/>
      <c r="AG23" s="68"/>
    </row>
    <row r="24" spans="2:33" x14ac:dyDescent="0.3">
      <c r="B24" s="19" t="str">
        <f t="shared" ca="1" si="0"/>
        <v/>
      </c>
      <c r="C24" s="42"/>
      <c r="D24" s="68"/>
      <c r="E24" s="68"/>
      <c r="F24" s="68"/>
      <c r="G24" s="68"/>
      <c r="H24" s="68"/>
      <c r="I24" s="68"/>
      <c r="J24" s="69"/>
      <c r="K24" s="68"/>
      <c r="L24" s="68"/>
      <c r="M24" s="69"/>
      <c r="N24" s="68"/>
      <c r="O24" s="68"/>
      <c r="P24" s="68"/>
      <c r="Q24" s="68"/>
      <c r="R24" s="68"/>
      <c r="S24" s="68"/>
      <c r="T24" s="68"/>
      <c r="U24" s="68"/>
      <c r="V24" s="68"/>
      <c r="W24" s="68"/>
      <c r="X24" s="68"/>
      <c r="Y24" s="68"/>
      <c r="Z24" s="68"/>
      <c r="AA24" s="68"/>
      <c r="AB24" s="68"/>
      <c r="AC24" s="68"/>
      <c r="AD24" s="68"/>
      <c r="AE24" s="68"/>
      <c r="AF24" s="68"/>
      <c r="AG24" s="68"/>
    </row>
    <row r="25" spans="2:33" x14ac:dyDescent="0.3">
      <c r="B25" s="19" t="str">
        <f t="shared" ca="1" si="0"/>
        <v/>
      </c>
      <c r="C25" s="39"/>
      <c r="D25" s="37"/>
      <c r="E25" s="37"/>
      <c r="F25" s="37"/>
      <c r="G25" s="37"/>
      <c r="H25" s="37"/>
    </row>
    <row r="26" spans="2:33" x14ac:dyDescent="0.3">
      <c r="B26" s="19" t="str">
        <f t="shared" ca="1" si="0"/>
        <v/>
      </c>
      <c r="C26" s="39"/>
      <c r="D26" s="37"/>
      <c r="E26" s="37"/>
      <c r="F26" s="37"/>
      <c r="G26" s="37"/>
      <c r="H26" s="37"/>
    </row>
    <row r="27" spans="2:33" x14ac:dyDescent="0.3">
      <c r="B27" s="19" t="str">
        <f t="shared" ca="1" si="0"/>
        <v/>
      </c>
      <c r="C27" s="39"/>
      <c r="D27" s="37"/>
      <c r="E27" s="37"/>
      <c r="F27" s="37"/>
      <c r="G27" s="37"/>
      <c r="H27" s="37"/>
    </row>
    <row r="28" spans="2:33" x14ac:dyDescent="0.3">
      <c r="B28" s="19" t="str">
        <f t="shared" ca="1" si="0"/>
        <v/>
      </c>
      <c r="C28" s="39"/>
      <c r="D28" s="37"/>
      <c r="E28" s="37"/>
      <c r="F28" s="37"/>
      <c r="G28" s="37"/>
      <c r="H28" s="37"/>
    </row>
    <row r="29" spans="2:33" x14ac:dyDescent="0.3">
      <c r="B29" s="19" t="str">
        <f t="shared" ca="1" si="0"/>
        <v/>
      </c>
      <c r="C29" s="39"/>
      <c r="D29" s="37"/>
      <c r="E29" s="37"/>
      <c r="F29" s="37"/>
      <c r="G29" s="37"/>
      <c r="H29" s="37"/>
    </row>
    <row r="30" spans="2:33" x14ac:dyDescent="0.3">
      <c r="B30" s="19" t="str">
        <f t="shared" ca="1" si="0"/>
        <v/>
      </c>
      <c r="C30" s="39"/>
      <c r="D30" s="37"/>
      <c r="E30" s="37"/>
      <c r="F30" s="37"/>
      <c r="G30" s="37"/>
      <c r="H30" s="37"/>
    </row>
    <row r="31" spans="2:33" x14ac:dyDescent="0.3">
      <c r="B31" s="19" t="str">
        <f t="shared" ca="1" si="0"/>
        <v/>
      </c>
      <c r="C31" s="68"/>
      <c r="D31" s="68"/>
      <c r="E31" s="68"/>
      <c r="F31" s="68"/>
      <c r="G31" s="37"/>
      <c r="H31" s="37"/>
    </row>
    <row r="32" spans="2:33" x14ac:dyDescent="0.3">
      <c r="B32" s="19" t="str">
        <f t="shared" ca="1" si="0"/>
        <v/>
      </c>
      <c r="C32" s="42"/>
      <c r="D32" s="68"/>
      <c r="E32" s="68"/>
      <c r="F32" s="68"/>
      <c r="G32" s="37"/>
      <c r="H32" s="37"/>
    </row>
    <row r="33" spans="2:8" x14ac:dyDescent="0.3">
      <c r="B33" s="19" t="str">
        <f t="shared" ca="1" si="0"/>
        <v/>
      </c>
      <c r="C33" s="42"/>
      <c r="D33" s="68"/>
      <c r="E33" s="68"/>
      <c r="F33" s="68"/>
      <c r="G33" s="37"/>
      <c r="H33" s="37"/>
    </row>
    <row r="34" spans="2:8" x14ac:dyDescent="0.3">
      <c r="B34" s="19" t="str">
        <f t="shared" ca="1" si="0"/>
        <v/>
      </c>
      <c r="C34" s="42"/>
      <c r="D34" s="68"/>
      <c r="E34" s="68"/>
      <c r="F34" s="68"/>
      <c r="G34" s="37"/>
      <c r="H34" s="37"/>
    </row>
    <row r="35" spans="2:8" x14ac:dyDescent="0.3">
      <c r="B35" s="19" t="str">
        <f t="shared" ca="1" si="0"/>
        <v/>
      </c>
      <c r="C35" s="42"/>
      <c r="D35" s="68"/>
      <c r="E35" s="68"/>
      <c r="F35" s="68"/>
      <c r="G35" s="37"/>
      <c r="H35" s="37"/>
    </row>
    <row r="36" spans="2:8" x14ac:dyDescent="0.3">
      <c r="B36" s="19" t="str">
        <f t="shared" ca="1" si="0"/>
        <v/>
      </c>
      <c r="C36" s="42"/>
      <c r="D36" s="68"/>
      <c r="E36" s="68"/>
      <c r="F36" s="68"/>
      <c r="G36" s="37"/>
      <c r="H36" s="37"/>
    </row>
    <row r="37" spans="2:8" x14ac:dyDescent="0.3">
      <c r="B37" s="19" t="str">
        <f t="shared" ca="1" si="0"/>
        <v/>
      </c>
      <c r="C37" s="42"/>
      <c r="D37" s="68"/>
      <c r="E37" s="68"/>
      <c r="F37" s="68"/>
      <c r="G37" s="37"/>
      <c r="H37" s="37"/>
    </row>
    <row r="38" spans="2:8" x14ac:dyDescent="0.3">
      <c r="B38" s="19" t="str">
        <f t="shared" ca="1" si="0"/>
        <v/>
      </c>
      <c r="C38" s="42"/>
      <c r="D38" s="68"/>
      <c r="E38" s="68"/>
      <c r="F38" s="68"/>
      <c r="G38" s="37"/>
      <c r="H38" s="37"/>
    </row>
    <row r="39" spans="2:8" x14ac:dyDescent="0.3">
      <c r="B39" s="19" t="str">
        <f t="shared" ca="1" si="0"/>
        <v/>
      </c>
      <c r="C39" s="42"/>
      <c r="D39" s="68"/>
      <c r="E39" s="68"/>
      <c r="F39" s="68"/>
      <c r="G39" s="37"/>
      <c r="H39" s="37"/>
    </row>
    <row r="40" spans="2:8" x14ac:dyDescent="0.3">
      <c r="B40" s="19" t="str">
        <f t="shared" ca="1" si="0"/>
        <v/>
      </c>
      <c r="C40" s="37"/>
      <c r="D40" s="37"/>
      <c r="E40" s="37"/>
      <c r="F40" s="37"/>
      <c r="G40" s="37"/>
      <c r="H40" s="37"/>
    </row>
    <row r="41" spans="2:8" x14ac:dyDescent="0.3">
      <c r="B41" s="19" t="str">
        <f t="shared" ca="1" si="0"/>
        <v/>
      </c>
      <c r="C41" s="37"/>
      <c r="D41" s="37"/>
      <c r="E41" s="37"/>
      <c r="F41" s="37"/>
      <c r="G41" s="37"/>
      <c r="H41" s="37"/>
    </row>
    <row r="42" spans="2:8" x14ac:dyDescent="0.3">
      <c r="B42" s="19" t="str">
        <f t="shared" ca="1" si="0"/>
        <v/>
      </c>
      <c r="C42" s="37"/>
      <c r="D42" s="37"/>
      <c r="E42" s="37"/>
      <c r="F42" s="37"/>
      <c r="G42" s="37"/>
      <c r="H42" s="37"/>
    </row>
    <row r="43" spans="2:8" x14ac:dyDescent="0.3">
      <c r="B43" s="19" t="str">
        <f t="shared" ca="1" si="0"/>
        <v/>
      </c>
      <c r="C43" s="37"/>
      <c r="D43" s="37"/>
      <c r="E43" s="37"/>
      <c r="F43" s="37"/>
      <c r="G43" s="37"/>
      <c r="H43" s="37"/>
    </row>
    <row r="44" spans="2:8" x14ac:dyDescent="0.3">
      <c r="B44" s="19" t="str">
        <f t="shared" ca="1" si="0"/>
        <v/>
      </c>
      <c r="C44" s="37"/>
      <c r="D44" s="37"/>
      <c r="E44" s="37"/>
      <c r="F44" s="37"/>
      <c r="G44" s="37"/>
      <c r="H44" s="37"/>
    </row>
    <row r="45" spans="2:8" x14ac:dyDescent="0.3">
      <c r="B45" s="19" t="str">
        <f t="shared" ca="1" si="0"/>
        <v/>
      </c>
      <c r="C45" s="37"/>
      <c r="D45" s="37"/>
      <c r="E45" s="37"/>
      <c r="F45" s="37"/>
      <c r="G45" s="37"/>
      <c r="H45" s="37"/>
    </row>
    <row r="46" spans="2:8" x14ac:dyDescent="0.3">
      <c r="B46" s="19" t="str">
        <f t="shared" ca="1" si="0"/>
        <v/>
      </c>
      <c r="C46" s="37"/>
      <c r="D46" s="37"/>
      <c r="E46" s="37"/>
      <c r="F46" s="37"/>
      <c r="G46" s="37"/>
      <c r="H46" s="37"/>
    </row>
    <row r="47" spans="2:8" x14ac:dyDescent="0.3">
      <c r="B47" s="19" t="str">
        <f t="shared" ca="1" si="0"/>
        <v/>
      </c>
      <c r="C47" s="37"/>
      <c r="D47" s="37"/>
      <c r="E47" s="37"/>
      <c r="F47" s="37"/>
      <c r="G47" s="37"/>
      <c r="H47" s="37"/>
    </row>
    <row r="48" spans="2:8" x14ac:dyDescent="0.3">
      <c r="B48" s="19" t="str">
        <f t="shared" ca="1" si="0"/>
        <v/>
      </c>
      <c r="C48" s="37"/>
      <c r="D48" s="37"/>
      <c r="E48" s="37"/>
      <c r="F48" s="37"/>
      <c r="G48" s="37"/>
      <c r="H48" s="37"/>
    </row>
    <row r="49" spans="2:8" x14ac:dyDescent="0.3">
      <c r="B49" s="19" t="str">
        <f t="shared" ca="1" si="0"/>
        <v/>
      </c>
      <c r="C49" s="37"/>
      <c r="D49" s="37"/>
      <c r="E49" s="37"/>
      <c r="F49" s="37"/>
      <c r="G49" s="37"/>
      <c r="H49" s="37"/>
    </row>
    <row r="50" spans="2:8" x14ac:dyDescent="0.3">
      <c r="B50" s="19" t="str">
        <f t="shared" ca="1" si="0"/>
        <v/>
      </c>
      <c r="C50" s="37"/>
      <c r="D50" s="37"/>
      <c r="E50" s="37"/>
      <c r="F50" s="37"/>
      <c r="G50" s="37"/>
      <c r="H50" s="37"/>
    </row>
    <row r="51" spans="2:8" x14ac:dyDescent="0.3">
      <c r="B51" s="19" t="str">
        <f t="shared" ca="1" si="0"/>
        <v/>
      </c>
      <c r="C51" s="37"/>
      <c r="D51" s="37"/>
      <c r="E51" s="37"/>
      <c r="F51" s="37"/>
      <c r="G51" s="37"/>
      <c r="H51" s="37"/>
    </row>
    <row r="52" spans="2:8" x14ac:dyDescent="0.3">
      <c r="B52" s="19" t="str">
        <f t="shared" ca="1" si="0"/>
        <v/>
      </c>
      <c r="C52" s="37"/>
      <c r="D52" s="37"/>
      <c r="E52" s="37"/>
      <c r="F52" s="37"/>
      <c r="G52" s="37"/>
      <c r="H52" s="37"/>
    </row>
    <row r="53" spans="2:8" x14ac:dyDescent="0.3">
      <c r="B53" s="19" t="str">
        <f t="shared" ca="1" si="0"/>
        <v/>
      </c>
      <c r="C53" s="37"/>
      <c r="D53" s="37"/>
      <c r="E53" s="37"/>
      <c r="F53" s="37"/>
      <c r="G53" s="37"/>
      <c r="H53" s="37"/>
    </row>
    <row r="54" spans="2:8" x14ac:dyDescent="0.3">
      <c r="B54" s="19" t="str">
        <f t="shared" ca="1" si="0"/>
        <v/>
      </c>
      <c r="C54" s="37"/>
      <c r="D54" s="37"/>
      <c r="E54" s="37"/>
      <c r="F54" s="37"/>
      <c r="G54" s="37"/>
      <c r="H54" s="37"/>
    </row>
    <row r="55" spans="2:8" x14ac:dyDescent="0.3">
      <c r="B55" s="19" t="str">
        <f t="shared" ca="1" si="0"/>
        <v/>
      </c>
      <c r="C55" s="37"/>
      <c r="D55" s="37"/>
      <c r="E55" s="37"/>
      <c r="F55" s="37"/>
      <c r="G55" s="37"/>
      <c r="H55" s="37"/>
    </row>
    <row r="56" spans="2:8" x14ac:dyDescent="0.3">
      <c r="B56" s="19" t="str">
        <f t="shared" ca="1" si="0"/>
        <v/>
      </c>
      <c r="C56" s="37"/>
      <c r="D56" s="37"/>
      <c r="E56" s="37"/>
      <c r="F56" s="37"/>
      <c r="G56" s="37"/>
      <c r="H56" s="37"/>
    </row>
    <row r="57" spans="2:8" x14ac:dyDescent="0.3">
      <c r="B57" s="19" t="str">
        <f t="shared" ca="1" si="0"/>
        <v/>
      </c>
      <c r="C57" s="37"/>
      <c r="D57" s="37"/>
      <c r="E57" s="37"/>
      <c r="F57" s="37"/>
      <c r="G57" s="37"/>
      <c r="H57" s="37"/>
    </row>
    <row r="58" spans="2:8" x14ac:dyDescent="0.3">
      <c r="B58" s="19" t="str">
        <f t="shared" ca="1" si="0"/>
        <v/>
      </c>
      <c r="C58" s="37"/>
      <c r="D58" s="37"/>
      <c r="E58" s="37"/>
      <c r="F58" s="37"/>
      <c r="G58" s="37"/>
      <c r="H58" s="37"/>
    </row>
    <row r="59" spans="2:8" x14ac:dyDescent="0.3">
      <c r="B59" s="19" t="str">
        <f t="shared" ca="1" si="0"/>
        <v/>
      </c>
      <c r="C59" s="37"/>
      <c r="D59" s="37"/>
      <c r="E59" s="37"/>
      <c r="F59" s="37"/>
      <c r="G59" s="37"/>
      <c r="H59" s="37"/>
    </row>
    <row r="60" spans="2:8" x14ac:dyDescent="0.3">
      <c r="B60" s="19" t="str">
        <f t="shared" ca="1" si="0"/>
        <v/>
      </c>
      <c r="C60" s="37"/>
      <c r="D60" s="37"/>
      <c r="E60" s="37"/>
      <c r="F60" s="37"/>
      <c r="G60" s="37"/>
      <c r="H60" s="37"/>
    </row>
    <row r="61" spans="2:8" x14ac:dyDescent="0.3">
      <c r="B61" s="19" t="str">
        <f t="shared" ca="1" si="0"/>
        <v/>
      </c>
      <c r="C61" s="37"/>
      <c r="D61" s="37"/>
      <c r="E61" s="37"/>
      <c r="F61" s="37"/>
      <c r="G61" s="37"/>
      <c r="H61" s="37"/>
    </row>
    <row r="62" spans="2:8" x14ac:dyDescent="0.3">
      <c r="B62" s="19" t="str">
        <f t="shared" ca="1" si="0"/>
        <v/>
      </c>
      <c r="C62" s="37"/>
      <c r="D62" s="37"/>
      <c r="E62" s="37"/>
      <c r="F62" s="37"/>
      <c r="G62" s="37"/>
      <c r="H62" s="37"/>
    </row>
    <row r="63" spans="2:8" x14ac:dyDescent="0.3">
      <c r="B63" s="19" t="str">
        <f t="shared" ca="1" si="0"/>
        <v/>
      </c>
      <c r="C63" s="37"/>
      <c r="D63" s="37"/>
      <c r="E63" s="37"/>
      <c r="F63" s="37"/>
      <c r="G63" s="37"/>
      <c r="H63" s="37"/>
    </row>
    <row r="64" spans="2:8" x14ac:dyDescent="0.3">
      <c r="B64" s="19" t="str">
        <f t="shared" ca="1" si="0"/>
        <v/>
      </c>
      <c r="C64" s="37"/>
      <c r="D64" s="37"/>
      <c r="E64" s="37"/>
      <c r="F64" s="37"/>
      <c r="G64" s="37"/>
      <c r="H64" s="37"/>
    </row>
    <row r="65" spans="1:8" x14ac:dyDescent="0.3">
      <c r="B65" s="19" t="str">
        <f t="shared" ca="1" si="0"/>
        <v/>
      </c>
      <c r="C65" s="37"/>
      <c r="D65" s="37"/>
      <c r="E65" s="37"/>
      <c r="F65" s="37"/>
      <c r="G65" s="37"/>
      <c r="H65" s="37"/>
    </row>
    <row r="66" spans="1:8" x14ac:dyDescent="0.3">
      <c r="B66" s="19" t="str">
        <f t="shared" ca="1" si="0"/>
        <v/>
      </c>
      <c r="C66" s="37"/>
      <c r="D66" s="37"/>
      <c r="E66" s="37"/>
      <c r="F66" s="37"/>
      <c r="G66" s="37"/>
      <c r="H66" s="37"/>
    </row>
    <row r="67" spans="1:8" x14ac:dyDescent="0.3">
      <c r="B67" s="19" t="str">
        <f ca="1">HYPERLINK(CONCATENATE("https://bugzilla.houston.hpecorp.net:1181/bugzilla/show_bug.cgi?id=",MID(INDIRECT($A$80&amp;ROW()),9,5)),MID(INDIRECT($A$80&amp;ROW()),9,5))</f>
        <v/>
      </c>
      <c r="C67" s="37"/>
      <c r="D67" s="37"/>
      <c r="E67" s="37"/>
      <c r="F67" s="37"/>
      <c r="G67" s="37"/>
      <c r="H67" s="37"/>
    </row>
    <row r="68" spans="1:8" x14ac:dyDescent="0.3">
      <c r="B68" s="19" t="str">
        <f ca="1">HYPERLINK(CONCATENATE("https://bugzilla.houston.hpecorp.net:1181/bugzilla/show_bug.cgi?id=",MID(INDIRECT($A$80&amp;ROW()),9,5)),MID(INDIRECT($A$80&amp;ROW()),9,5))</f>
        <v/>
      </c>
    </row>
    <row r="69" spans="1:8" x14ac:dyDescent="0.3">
      <c r="A69" s="31">
        <f>SUBTOTAL(3,A2:A67)</f>
        <v>0</v>
      </c>
      <c r="C69" s="37">
        <f>SUBTOTAL(3,C2:C67)</f>
        <v>4</v>
      </c>
    </row>
    <row r="80" spans="1:8" x14ac:dyDescent="0.3">
      <c r="A80" s="31" t="s">
        <v>837</v>
      </c>
      <c r="B80" t="s">
        <v>838</v>
      </c>
    </row>
  </sheetData>
  <autoFilter ref="A1:H68"/>
  <sortState ref="A2:H69">
    <sortCondition ref="B2:B69"/>
  </sortState>
  <conditionalFormatting sqref="C25:C30 C40:C67">
    <cfRule type="expression" dxfId="290" priority="157">
      <formula>IF(AB25="---",FALSE,TRUE)</formula>
    </cfRule>
  </conditionalFormatting>
  <conditionalFormatting sqref="C19:C24">
    <cfRule type="expression" dxfId="289" priority="145">
      <formula>IF(FIND("Denied",V19),1,0)</formula>
    </cfRule>
    <cfRule type="expression" dxfId="288" priority="146">
      <formula>IF(FIND("Director",V19,11),1,0)</formula>
    </cfRule>
    <cfRule type="expression" dxfId="287" priority="147">
      <formula>IF(FIND("Approve",V19),1,0)</formula>
    </cfRule>
    <cfRule type="expression" dxfId="286" priority="148">
      <formula>IF(FIND("Request",V19),1,0)</formula>
    </cfRule>
    <cfRule type="expression" dxfId="285" priority="149">
      <formula>IF(FIND("Requested",AE19),1,0)</formula>
    </cfRule>
    <cfRule type="expression" dxfId="284" priority="150">
      <formula>IF(V19="---",IF(Z19="---",1,0),0)</formula>
    </cfRule>
  </conditionalFormatting>
  <conditionalFormatting sqref="C32:C39">
    <cfRule type="expression" dxfId="283" priority="139">
      <formula>IF(FIND("Denied",V32),1,0)</formula>
    </cfRule>
    <cfRule type="expression" dxfId="282" priority="140">
      <formula>IF(FIND("Director",V32,11),1,0)</formula>
    </cfRule>
    <cfRule type="expression" dxfId="281" priority="141">
      <formula>IF(FIND("Approve",V32),1,0)</formula>
    </cfRule>
    <cfRule type="expression" dxfId="280" priority="142">
      <formula>IF(FIND("Request",V32),1,0)</formula>
    </cfRule>
    <cfRule type="expression" dxfId="279" priority="143">
      <formula>IF(FIND("Requested",AE32),1,0)</formula>
    </cfRule>
    <cfRule type="expression" dxfId="278" priority="144">
      <formula>IF(V32="---",IF(Z32="---",1,0),0)</formula>
    </cfRule>
  </conditionalFormatting>
  <conditionalFormatting sqref="C16:C18">
    <cfRule type="expression" dxfId="277" priority="121">
      <formula>IF(FIND("Denied",V16),1,0)</formula>
    </cfRule>
    <cfRule type="expression" dxfId="276" priority="122">
      <formula>IF(FIND("Director",V16,11),1,0)</formula>
    </cfRule>
    <cfRule type="expression" dxfId="275" priority="123">
      <formula>IF(FIND("Approve",V16),1,0)</formula>
    </cfRule>
    <cfRule type="expression" dxfId="274" priority="124">
      <formula>IF(FIND("Request",V16),1,0)</formula>
    </cfRule>
    <cfRule type="expression" dxfId="273" priority="125">
      <formula>IF(FIND("Requested",AE16),1,0)</formula>
    </cfRule>
    <cfRule type="expression" dxfId="272" priority="126">
      <formula>IF(V16="---",IF(Z16="---",1,0),0)</formula>
    </cfRule>
  </conditionalFormatting>
  <conditionalFormatting sqref="C14:C15">
    <cfRule type="expression" dxfId="271" priority="115">
      <formula>IF(FIND("Denied",V14),1,0)</formula>
    </cfRule>
    <cfRule type="expression" dxfId="270" priority="116">
      <formula>IF(FIND("Director",V14,11),1,0)</formula>
    </cfRule>
    <cfRule type="expression" dxfId="269" priority="117">
      <formula>IF(FIND("Approve",V14),1,0)</formula>
    </cfRule>
    <cfRule type="expression" dxfId="268" priority="118">
      <formula>IF(FIND("Request",V14),1,0)</formula>
    </cfRule>
    <cfRule type="expression" dxfId="267" priority="119">
      <formula>IF(FIND("Requested",AE14),1,0)</formula>
    </cfRule>
    <cfRule type="expression" dxfId="266" priority="120">
      <formula>IF(V14="---",IF(Z14="---",1,0),0)</formula>
    </cfRule>
  </conditionalFormatting>
  <conditionalFormatting sqref="C13">
    <cfRule type="expression" dxfId="265" priority="85">
      <formula>IF(FIND("Denied",V13),1,0)</formula>
    </cfRule>
    <cfRule type="expression" dxfId="264" priority="86">
      <formula>IF(FIND("Director",V13,11),1,0)</formula>
    </cfRule>
    <cfRule type="expression" dxfId="263" priority="87">
      <formula>IF(FIND("Approve",V13),1,0)</formula>
    </cfRule>
    <cfRule type="expression" dxfId="262" priority="88">
      <formula>IF(FIND("Request",V13),1,0)</formula>
    </cfRule>
    <cfRule type="expression" dxfId="261" priority="89">
      <formula>IF(FIND("Requested",AE13),1,0)</formula>
    </cfRule>
    <cfRule type="expression" dxfId="260" priority="90">
      <formula>IF(V13="---",IF(Z13="---",1,0),0)</formula>
    </cfRule>
  </conditionalFormatting>
  <conditionalFormatting sqref="C10:C12">
    <cfRule type="expression" dxfId="259" priority="37">
      <formula>IF(FIND("Denied",V10),1,0)</formula>
    </cfRule>
    <cfRule type="expression" dxfId="258" priority="38">
      <formula>IF(FIND("Director",V10,11),1,0)</formula>
    </cfRule>
    <cfRule type="expression" dxfId="257" priority="39">
      <formula>IF(FIND("Approve",V10),1,0)</formula>
    </cfRule>
    <cfRule type="expression" dxfId="256" priority="40">
      <formula>IF(FIND("Request",V10),1,0)</formula>
    </cfRule>
    <cfRule type="expression" dxfId="255" priority="41">
      <formula>IF(FIND("Requested",AE10),1,0)</formula>
    </cfRule>
    <cfRule type="expression" dxfId="254" priority="42">
      <formula>IF(V10="---",IF(Z10="---",1,0),0)</formula>
    </cfRule>
  </conditionalFormatting>
  <conditionalFormatting sqref="C9">
    <cfRule type="expression" dxfId="253" priority="25">
      <formula>IF(FIND("Denied",V9),1,0)</formula>
    </cfRule>
    <cfRule type="expression" dxfId="252" priority="26">
      <formula>IF(FIND("Director",V9,11),1,0)</formula>
    </cfRule>
    <cfRule type="expression" dxfId="251" priority="27">
      <formula>IF(FIND("Approve",V9),1,0)</formula>
    </cfRule>
    <cfRule type="expression" dxfId="250" priority="28">
      <formula>IF(FIND("Request",V9),1,0)</formula>
    </cfRule>
    <cfRule type="expression" dxfId="249" priority="29">
      <formula>IF(FIND("Requested",AE9),1,0)</formula>
    </cfRule>
    <cfRule type="expression" dxfId="248" priority="30">
      <formula>IF(V9="---",IF(Z9="---",1,0),0)</formula>
    </cfRule>
  </conditionalFormatting>
  <conditionalFormatting sqref="C8">
    <cfRule type="expression" dxfId="247" priority="19">
      <formula>IF(FIND("Denied",V8),1,0)</formula>
    </cfRule>
    <cfRule type="expression" dxfId="246" priority="20">
      <formula>IF(FIND("Director",V8,11),1,0)</formula>
    </cfRule>
    <cfRule type="expression" dxfId="245" priority="21">
      <formula>IF(FIND("Approve",V8),1,0)</formula>
    </cfRule>
    <cfRule type="expression" dxfId="244" priority="22">
      <formula>IF(FIND("Request",V8),1,0)</formula>
    </cfRule>
    <cfRule type="expression" dxfId="243" priority="23">
      <formula>IF(FIND("Requested",AE8),1,0)</formula>
    </cfRule>
    <cfRule type="expression" dxfId="242" priority="24">
      <formula>IF(V8="---",IF(Z8="---",1,0),0)</formula>
    </cfRule>
  </conditionalFormatting>
  <conditionalFormatting sqref="C6:C7">
    <cfRule type="expression" dxfId="241" priority="7">
      <formula>IF(FIND("Denied",V6),1,0)</formula>
    </cfRule>
    <cfRule type="expression" dxfId="240" priority="8">
      <formula>IF(FIND("Director",V6,11),1,0)</formula>
    </cfRule>
    <cfRule type="expression" dxfId="239" priority="9">
      <formula>IF(FIND("Approve",V6),1,0)</formula>
    </cfRule>
    <cfRule type="expression" dxfId="238" priority="10">
      <formula>IF(FIND("Request",V6),1,0)</formula>
    </cfRule>
    <cfRule type="expression" dxfId="237" priority="11">
      <formula>IF(FIND("Requested",AE6),1,0)</formula>
    </cfRule>
    <cfRule type="expression" dxfId="236" priority="12">
      <formula>IF(V6="---",IF(Z6="---",1,0),0)</formula>
    </cfRule>
  </conditionalFormatting>
  <conditionalFormatting sqref="C2:C5">
    <cfRule type="expression" dxfId="235" priority="1">
      <formula>IF(FIND("Denied",V2),1,0)</formula>
    </cfRule>
    <cfRule type="expression" dxfId="234" priority="2">
      <formula>IF(FIND("Director",V2,11),1,0)</formula>
    </cfRule>
    <cfRule type="expression" dxfId="233" priority="3">
      <formula>IF(FIND("Approve",V2),1,0)</formula>
    </cfRule>
    <cfRule type="expression" dxfId="232" priority="4">
      <formula>IF(FIND("Request",V2),1,0)</formula>
    </cfRule>
    <cfRule type="expression" dxfId="231" priority="5">
      <formula>IF(FIND("Requested",AE2),1,0)</formula>
    </cfRule>
    <cfRule type="expression" dxfId="230" priority="6">
      <formula>IF(V2="---",IF(Z2="---",1,0),0)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I204"/>
  <sheetViews>
    <sheetView topLeftCell="A8" zoomScale="80" zoomScaleNormal="80" zoomScalePageLayoutView="80" workbookViewId="0">
      <selection activeCell="D49" sqref="D49"/>
    </sheetView>
  </sheetViews>
  <sheetFormatPr defaultRowHeight="14.4" x14ac:dyDescent="0.3"/>
  <cols>
    <col min="1" max="1" width="19.109375" style="62" customWidth="1"/>
    <col min="2" max="2" width="4.6640625" style="62" customWidth="1"/>
    <col min="3" max="3" width="10.109375" style="62" customWidth="1"/>
    <col min="4" max="4" width="22.77734375" style="62" customWidth="1"/>
    <col min="5" max="5" width="143.109375" style="62" customWidth="1"/>
    <col min="6" max="6" width="8.88671875" style="62" customWidth="1"/>
    <col min="7" max="7" width="16.21875" style="62" customWidth="1"/>
    <col min="8" max="9" width="8.88671875" style="62" customWidth="1"/>
    <col min="10" max="10" width="15.6640625" style="62" customWidth="1"/>
    <col min="11" max="12" width="8.88671875" style="62" customWidth="1"/>
    <col min="13" max="13" width="15.6640625" style="62" customWidth="1"/>
    <col min="14" max="18" width="8.88671875" style="62" customWidth="1"/>
    <col min="19" max="19" width="14.77734375" style="62" customWidth="1"/>
    <col min="20" max="20" width="20.33203125" style="62" customWidth="1"/>
    <col min="21" max="21" width="10.109375" style="62" customWidth="1"/>
    <col min="22" max="22" width="23.5546875" style="62" customWidth="1"/>
    <col min="23" max="24" width="8.88671875" style="62" customWidth="1"/>
    <col min="25" max="25" width="13.6640625" style="62" customWidth="1"/>
    <col min="26" max="26" width="23.33203125" style="62" customWidth="1"/>
    <col min="27" max="27" width="22.21875" style="62" customWidth="1"/>
    <col min="28" max="30" width="8.88671875" style="62"/>
    <col min="31" max="31" width="15.88671875" style="62" customWidth="1"/>
    <col min="32" max="16384" width="8.88671875" style="62"/>
  </cols>
  <sheetData>
    <row r="1" spans="1:14" x14ac:dyDescent="0.3">
      <c r="A1" s="8" t="s">
        <v>111</v>
      </c>
      <c r="B1" s="9">
        <f ca="1">COUNTIF(INDIRECT(A110&amp;A102):INDIRECT(A110&amp;A101),INDIRECT("c"&amp;ROW())&amp;"*")</f>
        <v>6</v>
      </c>
      <c r="C1" s="8" t="s">
        <v>1065</v>
      </c>
      <c r="D1" s="8" t="s">
        <v>161</v>
      </c>
      <c r="E1" s="8"/>
    </row>
    <row r="2" spans="1:14" x14ac:dyDescent="0.3">
      <c r="A2" s="8"/>
      <c r="B2" s="8"/>
      <c r="C2" s="8"/>
      <c r="D2" s="8"/>
      <c r="E2" s="8"/>
    </row>
    <row r="3" spans="1:14" ht="42" customHeight="1" x14ac:dyDescent="0.3">
      <c r="A3" s="11" t="s">
        <v>59</v>
      </c>
      <c r="B3" s="8"/>
      <c r="C3" s="8"/>
      <c r="D3" s="25" t="s">
        <v>177</v>
      </c>
      <c r="E3" s="8"/>
    </row>
    <row r="4" spans="1:14" x14ac:dyDescent="0.3">
      <c r="A4" s="8" t="s">
        <v>104</v>
      </c>
      <c r="B4" s="8">
        <f ca="1">COUNTIF(INDIRECT(A103&amp;A102):INDIRECT(A103&amp;A101),INDIRECT("a"&amp;ROW()))</f>
        <v>0</v>
      </c>
      <c r="C4" s="8"/>
      <c r="D4" s="12" t="s">
        <v>107</v>
      </c>
      <c r="E4" s="13">
        <f ca="1">COUNTIFS(INDIRECT(A113&amp;A102):INDIRECT(A113&amp;A101),"---",INDIRECT(A109&amp;A102):INDIRECT(A109&amp;A101),"---")</f>
        <v>6</v>
      </c>
    </row>
    <row r="5" spans="1:14" x14ac:dyDescent="0.3">
      <c r="A5" s="8" t="s">
        <v>105</v>
      </c>
      <c r="B5" s="8">
        <f ca="1">COUNTIF(INDIRECT(A103&amp;A102):INDIRECT(A103&amp;A101),INDIRECT("a"&amp;ROW()))</f>
        <v>3</v>
      </c>
      <c r="C5" s="8"/>
      <c r="D5" s="14" t="s">
        <v>623</v>
      </c>
      <c r="E5" s="13">
        <f ca="1">COUNTIFS(INDIRECT(A113&amp;A102):INDIRECT(A113&amp;A101),INDIRECT("d"&amp;ROW()),INDIRECT(A109&amp;A102):INDIRECT(A109&amp;A101),"---")</f>
        <v>0</v>
      </c>
    </row>
    <row r="6" spans="1:14" x14ac:dyDescent="0.3">
      <c r="A6" s="8" t="s">
        <v>106</v>
      </c>
      <c r="B6" s="8">
        <f ca="1">COUNTIF(INDIRECT(A103&amp;A102):INDIRECT(A103&amp;A101),INDIRECT("a"&amp;ROW()))</f>
        <v>3</v>
      </c>
      <c r="C6" s="8"/>
      <c r="D6" s="41" t="s">
        <v>302</v>
      </c>
      <c r="E6" s="13">
        <f ca="1">COUNTIFS(INDIRECT(A106&amp;A102):INDIRECT(A106&amp;A101),INDIRECT("d"&amp;ROW()),INDIRECT(A109&amp;A102):INDIRECT(A109&amp;A101),"---")</f>
        <v>0</v>
      </c>
    </row>
    <row r="7" spans="1:14" x14ac:dyDescent="0.3">
      <c r="C7" s="8"/>
      <c r="D7" s="15" t="s">
        <v>9</v>
      </c>
      <c r="E7" s="13">
        <f ca="1">COUNTIFS(INDIRECT(A106&amp;A102):INDIRECT(A106&amp;A101),INDIRECT("d"&amp;ROW()),INDIRECT(A109&amp;A102):INDIRECT(A109&amp;A101),"---")</f>
        <v>0</v>
      </c>
    </row>
    <row r="8" spans="1:14" x14ac:dyDescent="0.3">
      <c r="A8" s="11" t="s">
        <v>109</v>
      </c>
      <c r="B8" s="16">
        <f ca="1">COUNTIF(INDIRECT(A107&amp;A102):INDIRECT(A107&amp;A101),"&lt;2")</f>
        <v>0</v>
      </c>
      <c r="C8" s="8"/>
      <c r="D8" s="17" t="s">
        <v>55</v>
      </c>
      <c r="E8" s="13">
        <f ca="1">COUNTIFS(INDIRECT(A106&amp;A102):INDIRECT(A106&amp;A101),INDIRECT("d"&amp;ROW()),INDIRECT(A109&amp;A102):INDIRECT(A109&amp;A101),"---")</f>
        <v>0</v>
      </c>
    </row>
    <row r="9" spans="1:14" x14ac:dyDescent="0.3">
      <c r="A9" s="8" t="s">
        <v>110</v>
      </c>
      <c r="B9" s="8">
        <f ca="1">COUNTIF(INDIRECT(A108&amp;A102):INDIRECT(A108&amp;A101),"&gt;3")</f>
        <v>56</v>
      </c>
      <c r="C9" s="8"/>
      <c r="D9" s="11" t="s">
        <v>108</v>
      </c>
      <c r="E9" s="18">
        <f ca="1">COUNTIF(INDIRECT(A109&amp;A102):INDIRECT(A109&amp;A101),C1&amp;"*")</f>
        <v>0</v>
      </c>
    </row>
    <row r="10" spans="1:14" x14ac:dyDescent="0.3">
      <c r="A10" s="11" t="s">
        <v>112</v>
      </c>
      <c r="B10" s="8"/>
      <c r="C10" s="8"/>
      <c r="D10" s="11" t="s">
        <v>73</v>
      </c>
      <c r="E10" s="8"/>
    </row>
    <row r="11" spans="1:14" x14ac:dyDescent="0.3">
      <c r="A11" s="8" t="s">
        <v>80</v>
      </c>
      <c r="B11" s="8">
        <f ca="1">COUNTIF(INDIRECT(A105&amp;A102):INDIRECT(A105&amp;A101),INDIRECT("a"&amp;ROW()))</f>
        <v>3</v>
      </c>
      <c r="C11" s="8"/>
      <c r="D11" s="8" t="s">
        <v>13</v>
      </c>
      <c r="E11" s="13">
        <f ca="1">COUNTIF(INDIRECT(A104&amp;A102):INDIRECT(A104&amp;A101),INDIRECT("d"&amp;ROW()))</f>
        <v>2</v>
      </c>
    </row>
    <row r="12" spans="1:14" x14ac:dyDescent="0.3">
      <c r="A12" s="8" t="s">
        <v>966</v>
      </c>
      <c r="B12" s="8">
        <f ca="1">COUNTIF(INDIRECT(A105&amp;A102):INDIRECT(A105&amp;A101),INDIRECT("a"&amp;ROW()))</f>
        <v>1</v>
      </c>
      <c r="C12" s="8"/>
      <c r="D12" s="8" t="s">
        <v>8</v>
      </c>
      <c r="E12" s="13">
        <f ca="1">COUNTIF(INDIRECT(A104&amp;A102):INDIRECT(A104&amp;A101),INDIRECT("d"&amp;ROW()))</f>
        <v>2</v>
      </c>
    </row>
    <row r="13" spans="1:14" x14ac:dyDescent="0.3">
      <c r="A13" s="8" t="s">
        <v>3</v>
      </c>
      <c r="B13" s="8">
        <f ca="1">COUNTIF(INDIRECT(A105&amp;A102):INDIRECT(A105&amp;A101),INDIRECT("a"&amp;ROW()))+COUNTIF(INDIRECT(A105&amp;A102):INDIRECT(A105&amp;A101),"Astra-Post*")+COUNTIF(INDIRECT(A105&amp;A102):INDIRECT(A105&amp;A101),"Astra-IR*")</f>
        <v>0</v>
      </c>
      <c r="C13" s="8"/>
      <c r="D13" s="8" t="s">
        <v>24</v>
      </c>
      <c r="E13" s="13">
        <f ca="1">COUNTIF(INDIRECT(A104&amp;A102):INDIRECT(A104&amp;A101),INDIRECT("d"&amp;ROW()))</f>
        <v>2</v>
      </c>
    </row>
    <row r="14" spans="1:14" x14ac:dyDescent="0.3">
      <c r="A14" s="8" t="s">
        <v>113</v>
      </c>
      <c r="B14" s="8">
        <f ca="1">COUNTIF(INDIRECT(A105&amp;A102):INDIRECT(A105&amp;A101),"6*")+COUNTIF(INDIRECT(A105&amp;A102):INDIRECT(A105&amp;A101),"Halo")+COUNTIF(INDIRECT(A105&amp;A102):INDIRECT(A105&amp;A101),"Store*")+COUNTIF(INDIRECT(A105&amp;A102):INDIRECT(A105&amp;A101),"3*")</f>
        <v>0</v>
      </c>
      <c r="C14" s="8"/>
      <c r="D14" s="8"/>
      <c r="E14" s="8"/>
    </row>
    <row r="15" spans="1:14" x14ac:dyDescent="0.3">
      <c r="A15" s="24" t="s">
        <v>48</v>
      </c>
      <c r="B15" s="8">
        <f ca="1">COUNTIF(INDIRECT(A105&amp;A102):INDIRECT(A105&amp;A101),INDIRECT("a"&amp;ROW())&amp;"*")</f>
        <v>2</v>
      </c>
      <c r="C15" s="8"/>
      <c r="D15" s="8"/>
      <c r="E15" s="8"/>
      <c r="N15" s="19" t="s">
        <v>368</v>
      </c>
    </row>
    <row r="16" spans="1:14" x14ac:dyDescent="0.3">
      <c r="A16" s="24" t="s">
        <v>569</v>
      </c>
      <c r="B16" s="8">
        <f ca="1">COUNTIF(INDIRECT(A105&amp;A102):INDIRECT(A105&amp;A101),INDIRECT("a"&amp;ROW()))</f>
        <v>0</v>
      </c>
      <c r="C16" s="8"/>
      <c r="D16" s="8"/>
      <c r="E16" s="8" t="str">
        <f ca="1">CONCATENATE(SUM(B11:B16),"|",SUM(E4:E9),"|",SUM(B4:B6),"|",SUM(E11:E13),"   checksums")</f>
        <v>6|6|6|6   checksums</v>
      </c>
    </row>
    <row r="17" spans="1:35" x14ac:dyDescent="0.3">
      <c r="A17" s="62" t="s">
        <v>0</v>
      </c>
      <c r="B17" s="62" t="s">
        <v>1</v>
      </c>
      <c r="C17" s="132" t="s">
        <v>145</v>
      </c>
      <c r="D17" s="132" t="s">
        <v>57</v>
      </c>
      <c r="E17" s="132" t="s">
        <v>58</v>
      </c>
      <c r="F17" s="132" t="s">
        <v>59</v>
      </c>
      <c r="G17" s="132" t="s">
        <v>60</v>
      </c>
      <c r="H17" s="132" t="s">
        <v>61</v>
      </c>
      <c r="I17" s="132" t="s">
        <v>62</v>
      </c>
      <c r="J17" s="132" t="s">
        <v>63</v>
      </c>
      <c r="K17" s="132" t="s">
        <v>64</v>
      </c>
      <c r="L17" s="132" t="s">
        <v>65</v>
      </c>
      <c r="M17" s="132" t="s">
        <v>66</v>
      </c>
      <c r="N17" s="132" t="s">
        <v>67</v>
      </c>
      <c r="O17" s="132" t="s">
        <v>68</v>
      </c>
      <c r="P17" s="132" t="s">
        <v>69</v>
      </c>
      <c r="Q17" s="132" t="s">
        <v>70</v>
      </c>
      <c r="R17" s="132" t="s">
        <v>71</v>
      </c>
      <c r="S17" s="132" t="s">
        <v>72</v>
      </c>
      <c r="T17" s="132" t="s">
        <v>73</v>
      </c>
      <c r="U17" s="132" t="s">
        <v>74</v>
      </c>
      <c r="V17" s="132" t="s">
        <v>75</v>
      </c>
      <c r="W17" s="132" t="s">
        <v>76</v>
      </c>
      <c r="X17" s="132" t="s">
        <v>1244</v>
      </c>
      <c r="Y17" s="132" t="s">
        <v>78</v>
      </c>
      <c r="Z17" s="132" t="s">
        <v>79</v>
      </c>
      <c r="AA17" s="132" t="s">
        <v>615</v>
      </c>
      <c r="AB17" s="132" t="s">
        <v>308</v>
      </c>
      <c r="AC17" s="132" t="s">
        <v>307</v>
      </c>
      <c r="AD17" s="132" t="s">
        <v>621</v>
      </c>
      <c r="AE17" s="132" t="s">
        <v>622</v>
      </c>
      <c r="AF17" s="132" t="s">
        <v>1084</v>
      </c>
      <c r="AG17" s="132" t="s">
        <v>580</v>
      </c>
      <c r="AH17" s="132" t="s">
        <v>1191</v>
      </c>
      <c r="AI17" s="132"/>
    </row>
    <row r="18" spans="1:35" x14ac:dyDescent="0.3">
      <c r="A18" s="62">
        <f ca="1">DAYS360(INDIRECT(A112&amp;ROW()),TODAY())</f>
        <v>494</v>
      </c>
      <c r="B18" s="62">
        <f ca="1">DAYS360(INDIRECT(A111&amp;ROW()),TODAY())</f>
        <v>510</v>
      </c>
      <c r="C18" s="42">
        <f ca="1">HYPERLINK(CONCATENATE($A$120&amp;INDIRECT("c"&amp;(ROW()+106))),INDIRECT("c"&amp;(ROW()+106)))</f>
        <v>75252</v>
      </c>
      <c r="D18" s="132" t="s">
        <v>337</v>
      </c>
      <c r="E18" s="132" t="s">
        <v>1064</v>
      </c>
      <c r="F18" s="132" t="s">
        <v>2</v>
      </c>
      <c r="G18" s="132" t="s">
        <v>1063</v>
      </c>
      <c r="H18" s="132" t="s">
        <v>81</v>
      </c>
      <c r="I18" s="132"/>
      <c r="J18" s="133">
        <v>42402.171365740738</v>
      </c>
      <c r="K18" s="132" t="s">
        <v>20</v>
      </c>
      <c r="L18" s="132" t="s">
        <v>80</v>
      </c>
      <c r="M18" s="133">
        <v>42385.33384259259</v>
      </c>
      <c r="N18" s="132" t="s">
        <v>22</v>
      </c>
      <c r="O18" s="132" t="s">
        <v>29</v>
      </c>
      <c r="P18" s="132" t="s">
        <v>347</v>
      </c>
      <c r="Q18" s="132" t="s">
        <v>17</v>
      </c>
      <c r="R18" s="132" t="s">
        <v>30</v>
      </c>
      <c r="S18" s="132" t="s">
        <v>8</v>
      </c>
      <c r="T18" s="132" t="s">
        <v>153</v>
      </c>
      <c r="U18" s="132"/>
      <c r="V18" s="132" t="s">
        <v>7</v>
      </c>
      <c r="W18" s="132" t="s">
        <v>10</v>
      </c>
      <c r="X18" s="132" t="s">
        <v>7</v>
      </c>
      <c r="Y18" s="132" t="s">
        <v>82</v>
      </c>
      <c r="Z18" s="132" t="s">
        <v>7</v>
      </c>
      <c r="AA18" s="132" t="s">
        <v>7</v>
      </c>
      <c r="AB18" s="132" t="s">
        <v>7</v>
      </c>
      <c r="AC18" s="132" t="s">
        <v>7</v>
      </c>
      <c r="AD18" s="132" t="s">
        <v>7</v>
      </c>
      <c r="AE18" s="132" t="s">
        <v>7</v>
      </c>
      <c r="AF18" s="132" t="s">
        <v>1085</v>
      </c>
      <c r="AG18" s="132"/>
      <c r="AH18" s="132"/>
      <c r="AI18" s="132"/>
    </row>
    <row r="19" spans="1:35" x14ac:dyDescent="0.3">
      <c r="A19" s="62">
        <f ca="1">DAYS360(INDIRECT(A112&amp;ROW()),TODAY())</f>
        <v>271</v>
      </c>
      <c r="B19" s="62">
        <f ca="1">DAYS360(INDIRECT(A111&amp;ROW()),TODAY())</f>
        <v>498</v>
      </c>
      <c r="C19" s="42">
        <f t="shared" ref="C19:C82" ca="1" si="0">HYPERLINK(CONCATENATE($A$120&amp;INDIRECT("c"&amp;(ROW()+106))),INDIRECT("c"&amp;(ROW()+106)))</f>
        <v>76257</v>
      </c>
      <c r="D19" s="132" t="s">
        <v>1016</v>
      </c>
      <c r="E19" s="132" t="s">
        <v>1399</v>
      </c>
      <c r="F19" s="132" t="s">
        <v>2</v>
      </c>
      <c r="G19" s="132" t="s">
        <v>1063</v>
      </c>
      <c r="H19" s="132" t="s">
        <v>81</v>
      </c>
      <c r="I19" s="132"/>
      <c r="J19" s="133">
        <v>42628.481909722221</v>
      </c>
      <c r="K19" s="132" t="s">
        <v>20</v>
      </c>
      <c r="L19" s="132" t="s">
        <v>83</v>
      </c>
      <c r="M19" s="133">
        <v>42397.531238425923</v>
      </c>
      <c r="N19" s="132" t="s">
        <v>16</v>
      </c>
      <c r="O19" s="132"/>
      <c r="P19" s="132"/>
      <c r="Q19" s="132" t="s">
        <v>12</v>
      </c>
      <c r="R19" s="132" t="s">
        <v>30</v>
      </c>
      <c r="S19" s="132" t="s">
        <v>13</v>
      </c>
      <c r="T19" s="132" t="s">
        <v>19</v>
      </c>
      <c r="U19" s="132"/>
      <c r="V19" s="132" t="s">
        <v>7</v>
      </c>
      <c r="W19" s="132" t="s">
        <v>10</v>
      </c>
      <c r="X19" s="132" t="s">
        <v>7</v>
      </c>
      <c r="Y19" s="132" t="s">
        <v>82</v>
      </c>
      <c r="Z19" s="132" t="s">
        <v>7</v>
      </c>
      <c r="AA19" s="132" t="s">
        <v>7</v>
      </c>
      <c r="AB19" s="132" t="s">
        <v>363</v>
      </c>
      <c r="AC19" s="132" t="s">
        <v>7</v>
      </c>
      <c r="AD19" s="132" t="s">
        <v>7</v>
      </c>
      <c r="AE19" s="132" t="s">
        <v>7</v>
      </c>
      <c r="AF19" s="132" t="s">
        <v>1085</v>
      </c>
      <c r="AG19" s="132" t="s">
        <v>1398</v>
      </c>
      <c r="AH19" s="132"/>
      <c r="AI19" s="132"/>
    </row>
    <row r="20" spans="1:35" x14ac:dyDescent="0.3">
      <c r="A20" s="62">
        <f ca="1">DAYS360(INDIRECT(A112&amp;ROW()),TODAY())</f>
        <v>265</v>
      </c>
      <c r="B20" s="62">
        <f ca="1">DAYS360(INDIRECT(A111&amp;ROW()),TODAY())</f>
        <v>486</v>
      </c>
      <c r="C20" s="42">
        <f t="shared" ca="1" si="0"/>
        <v>76875</v>
      </c>
      <c r="D20" s="132" t="s">
        <v>581</v>
      </c>
      <c r="E20" s="132" t="s">
        <v>1400</v>
      </c>
      <c r="F20" s="132" t="s">
        <v>11</v>
      </c>
      <c r="G20" s="132" t="s">
        <v>1063</v>
      </c>
      <c r="H20" s="132" t="s">
        <v>81</v>
      </c>
      <c r="I20" s="132"/>
      <c r="J20" s="133">
        <v>42634.181921296295</v>
      </c>
      <c r="K20" s="132" t="s">
        <v>20</v>
      </c>
      <c r="L20" s="132" t="s">
        <v>80</v>
      </c>
      <c r="M20" s="133">
        <v>42410.321157407408</v>
      </c>
      <c r="N20" s="132" t="s">
        <v>16</v>
      </c>
      <c r="O20" s="132"/>
      <c r="P20" s="132"/>
      <c r="Q20" s="132" t="s">
        <v>17</v>
      </c>
      <c r="R20" s="132" t="s">
        <v>30</v>
      </c>
      <c r="S20" s="132" t="s">
        <v>13</v>
      </c>
      <c r="T20" s="132" t="s">
        <v>292</v>
      </c>
      <c r="U20" s="132"/>
      <c r="V20" s="132" t="s">
        <v>7</v>
      </c>
      <c r="W20" s="132" t="s">
        <v>10</v>
      </c>
      <c r="X20" s="132" t="s">
        <v>1245</v>
      </c>
      <c r="Y20" s="132" t="s">
        <v>82</v>
      </c>
      <c r="Z20" s="132" t="s">
        <v>7</v>
      </c>
      <c r="AA20" s="132" t="s">
        <v>7</v>
      </c>
      <c r="AB20" s="132" t="s">
        <v>7</v>
      </c>
      <c r="AC20" s="132" t="s">
        <v>7</v>
      </c>
      <c r="AD20" s="132" t="s">
        <v>7</v>
      </c>
      <c r="AE20" s="132" t="s">
        <v>7</v>
      </c>
      <c r="AF20" s="132" t="s">
        <v>7</v>
      </c>
      <c r="AG20" s="132" t="s">
        <v>1183</v>
      </c>
      <c r="AH20" s="132"/>
      <c r="AI20" s="132"/>
    </row>
    <row r="21" spans="1:35" x14ac:dyDescent="0.3">
      <c r="A21" s="62">
        <f ca="1">DAYS360(INDIRECT(A112&amp;ROW()),TODAY())</f>
        <v>266</v>
      </c>
      <c r="B21" s="62">
        <f ca="1">DAYS360(INDIRECT(A111&amp;ROW()),TODAY())</f>
        <v>266</v>
      </c>
      <c r="C21" s="42">
        <f t="shared" ca="1" si="0"/>
        <v>89334</v>
      </c>
      <c r="D21" s="132" t="s">
        <v>332</v>
      </c>
      <c r="E21" s="132" t="s">
        <v>1401</v>
      </c>
      <c r="F21" s="132" t="s">
        <v>11</v>
      </c>
      <c r="G21" s="132" t="s">
        <v>1063</v>
      </c>
      <c r="H21" s="132" t="s">
        <v>81</v>
      </c>
      <c r="I21" s="132"/>
      <c r="J21" s="133">
        <v>42633.458333333336</v>
      </c>
      <c r="K21" s="132" t="s">
        <v>20</v>
      </c>
      <c r="L21" s="132" t="s">
        <v>80</v>
      </c>
      <c r="M21" s="133">
        <v>42633.35597222222</v>
      </c>
      <c r="N21" s="132" t="s">
        <v>29</v>
      </c>
      <c r="O21" s="132"/>
      <c r="P21" s="132"/>
      <c r="Q21" s="132" t="s">
        <v>17</v>
      </c>
      <c r="R21" s="132" t="s">
        <v>30</v>
      </c>
      <c r="S21" s="132" t="s">
        <v>24</v>
      </c>
      <c r="T21" s="132" t="s">
        <v>46</v>
      </c>
      <c r="U21" s="132"/>
      <c r="V21" s="132" t="s">
        <v>7</v>
      </c>
      <c r="W21" s="132" t="s">
        <v>10</v>
      </c>
      <c r="X21" s="132" t="s">
        <v>7</v>
      </c>
      <c r="Y21" s="132" t="s">
        <v>82</v>
      </c>
      <c r="Z21" s="132" t="s">
        <v>7</v>
      </c>
      <c r="AA21" s="132" t="s">
        <v>7</v>
      </c>
      <c r="AB21" s="132" t="s">
        <v>7</v>
      </c>
      <c r="AC21" s="132" t="s">
        <v>7</v>
      </c>
      <c r="AD21" s="132" t="s">
        <v>1169</v>
      </c>
      <c r="AE21" s="132" t="s">
        <v>7</v>
      </c>
      <c r="AF21" s="132" t="s">
        <v>7</v>
      </c>
      <c r="AG21" s="132">
        <v>11243</v>
      </c>
      <c r="AH21" s="132"/>
      <c r="AI21" s="132"/>
    </row>
    <row r="22" spans="1:35" x14ac:dyDescent="0.3">
      <c r="A22" s="62">
        <f ca="1">DAYS360(INDIRECT(A112&amp;ROW()),TODAY())</f>
        <v>235</v>
      </c>
      <c r="B22" s="62">
        <f ca="1">DAYS360(INDIRECT(A111&amp;ROW()),TODAY())</f>
        <v>264</v>
      </c>
      <c r="C22" s="42">
        <f t="shared" ca="1" si="0"/>
        <v>89455</v>
      </c>
      <c r="D22" s="132" t="s">
        <v>1414</v>
      </c>
      <c r="E22" s="132" t="s">
        <v>1402</v>
      </c>
      <c r="F22" s="132" t="s">
        <v>2</v>
      </c>
      <c r="G22" s="132" t="s">
        <v>1063</v>
      </c>
      <c r="H22" s="132" t="s">
        <v>81</v>
      </c>
      <c r="I22" s="132"/>
      <c r="J22" s="133">
        <v>42664.557546296295</v>
      </c>
      <c r="K22" s="132" t="s">
        <v>20</v>
      </c>
      <c r="L22" s="132" t="s">
        <v>1397</v>
      </c>
      <c r="M22" s="133">
        <v>42635.302361111113</v>
      </c>
      <c r="N22" s="132" t="s">
        <v>16</v>
      </c>
      <c r="O22" s="132"/>
      <c r="P22" s="132"/>
      <c r="Q22" s="132" t="s">
        <v>6</v>
      </c>
      <c r="R22" s="132" t="s">
        <v>30</v>
      </c>
      <c r="S22" s="132" t="s">
        <v>24</v>
      </c>
      <c r="T22" s="132" t="s">
        <v>46</v>
      </c>
      <c r="U22" s="132"/>
      <c r="V22" s="132" t="s">
        <v>7</v>
      </c>
      <c r="W22" s="132" t="s">
        <v>10</v>
      </c>
      <c r="X22" s="132" t="s">
        <v>7</v>
      </c>
      <c r="Y22" s="132" t="s">
        <v>82</v>
      </c>
      <c r="Z22" s="132" t="s">
        <v>7</v>
      </c>
      <c r="AA22" s="132" t="s">
        <v>7</v>
      </c>
      <c r="AB22" s="132" t="s">
        <v>7</v>
      </c>
      <c r="AC22" s="132" t="s">
        <v>7</v>
      </c>
      <c r="AD22" s="132" t="s">
        <v>7</v>
      </c>
      <c r="AE22" s="132" t="s">
        <v>7</v>
      </c>
      <c r="AF22" s="132" t="s">
        <v>7</v>
      </c>
      <c r="AG22" s="132">
        <v>12004</v>
      </c>
      <c r="AH22" s="132"/>
      <c r="AI22" s="132"/>
    </row>
    <row r="23" spans="1:35" x14ac:dyDescent="0.3">
      <c r="A23" s="62">
        <f ca="1">DAYS360(INDIRECT(A112&amp;ROW()),TODAY())</f>
        <v>230</v>
      </c>
      <c r="B23" s="62">
        <f ca="1">DAYS360(INDIRECT(A111&amp;ROW()),TODAY())</f>
        <v>263</v>
      </c>
      <c r="C23" s="42">
        <f t="shared" ca="1" si="0"/>
        <v>89568</v>
      </c>
      <c r="D23" s="132" t="s">
        <v>1068</v>
      </c>
      <c r="E23" s="132" t="s">
        <v>1403</v>
      </c>
      <c r="F23" s="132" t="s">
        <v>11</v>
      </c>
      <c r="G23" s="132" t="s">
        <v>1063</v>
      </c>
      <c r="H23" s="132" t="s">
        <v>642</v>
      </c>
      <c r="I23" s="132" t="s">
        <v>1405</v>
      </c>
      <c r="J23" s="133">
        <v>42669.179016203707</v>
      </c>
      <c r="K23" s="132" t="s">
        <v>4</v>
      </c>
      <c r="L23" s="132" t="s">
        <v>1397</v>
      </c>
      <c r="M23" s="133">
        <v>42636.404687499999</v>
      </c>
      <c r="N23" s="132" t="s">
        <v>16</v>
      </c>
      <c r="O23" s="132"/>
      <c r="P23" s="132" t="s">
        <v>366</v>
      </c>
      <c r="Q23" s="132" t="s">
        <v>12</v>
      </c>
      <c r="R23" s="132" t="s">
        <v>580</v>
      </c>
      <c r="S23" s="132" t="s">
        <v>8</v>
      </c>
      <c r="T23" s="132" t="s">
        <v>153</v>
      </c>
      <c r="U23" s="132"/>
      <c r="V23" s="132" t="s">
        <v>7</v>
      </c>
      <c r="W23" s="132" t="s">
        <v>10</v>
      </c>
      <c r="X23" s="132" t="s">
        <v>7</v>
      </c>
      <c r="Y23" s="132" t="s">
        <v>82</v>
      </c>
      <c r="Z23" s="132" t="s">
        <v>7</v>
      </c>
      <c r="AA23" s="132" t="s">
        <v>7</v>
      </c>
      <c r="AB23" s="132" t="s">
        <v>7</v>
      </c>
      <c r="AC23" s="132" t="s">
        <v>7</v>
      </c>
      <c r="AD23" s="132" t="s">
        <v>1169</v>
      </c>
      <c r="AE23" s="132" t="s">
        <v>7</v>
      </c>
      <c r="AF23" s="132" t="s">
        <v>7</v>
      </c>
      <c r="AG23" s="132">
        <v>11934</v>
      </c>
      <c r="AH23" s="132"/>
      <c r="AI23" s="132"/>
    </row>
    <row r="24" spans="1:35" x14ac:dyDescent="0.3">
      <c r="A24" s="62">
        <f ca="1">DAYS360(INDIRECT(A112&amp;ROW()),TODAY())</f>
        <v>42286</v>
      </c>
      <c r="B24" s="62">
        <f ca="1">DAYS360(INDIRECT(A111&amp;ROW()),TODAY())</f>
        <v>42286</v>
      </c>
      <c r="C24" s="42">
        <f t="shared" ca="1" si="0"/>
        <v>0</v>
      </c>
      <c r="D24" s="128"/>
      <c r="E24" s="128"/>
      <c r="F24" s="128"/>
      <c r="G24" s="128"/>
      <c r="H24" s="128"/>
      <c r="I24" s="128"/>
      <c r="J24" s="129"/>
      <c r="K24" s="128"/>
      <c r="L24" s="128"/>
      <c r="M24" s="129"/>
      <c r="N24" s="128"/>
      <c r="O24" s="128"/>
      <c r="P24" s="128"/>
      <c r="Q24" s="128"/>
      <c r="R24" s="128"/>
      <c r="S24" s="128"/>
      <c r="T24" s="128"/>
      <c r="U24" s="128"/>
      <c r="V24" s="128"/>
      <c r="W24" s="128"/>
      <c r="X24" s="128"/>
      <c r="Y24" s="128"/>
      <c r="Z24" s="128"/>
      <c r="AA24" s="128"/>
      <c r="AB24" s="128"/>
      <c r="AC24" s="128"/>
      <c r="AD24" s="128"/>
      <c r="AE24" s="128"/>
      <c r="AF24" s="128"/>
      <c r="AG24" s="128"/>
      <c r="AH24" s="128"/>
      <c r="AI24" s="118"/>
    </row>
    <row r="25" spans="1:35" x14ac:dyDescent="0.3">
      <c r="A25" s="62">
        <f ca="1">DAYS360(INDIRECT(A112&amp;ROW()),TODAY())</f>
        <v>42286</v>
      </c>
      <c r="B25" s="62">
        <f ca="1">DAYS360(INDIRECT(A111&amp;ROW()),TODAY())</f>
        <v>42286</v>
      </c>
      <c r="C25" s="42">
        <f t="shared" ca="1" si="0"/>
        <v>0</v>
      </c>
      <c r="D25" s="126"/>
      <c r="E25" s="126"/>
      <c r="F25" s="126"/>
      <c r="G25" s="126"/>
      <c r="H25" s="126"/>
      <c r="I25" s="126"/>
      <c r="J25" s="127"/>
      <c r="K25" s="126"/>
      <c r="L25" s="126"/>
      <c r="M25" s="127"/>
      <c r="N25" s="126"/>
      <c r="O25" s="126"/>
      <c r="P25" s="126"/>
      <c r="Q25" s="126"/>
      <c r="R25" s="126"/>
      <c r="S25" s="126"/>
      <c r="T25" s="126"/>
      <c r="U25" s="126"/>
      <c r="V25" s="126"/>
      <c r="W25" s="126"/>
      <c r="X25" s="126"/>
      <c r="Y25" s="126"/>
      <c r="Z25" s="126"/>
      <c r="AA25" s="126"/>
      <c r="AB25" s="126"/>
      <c r="AC25" s="126"/>
      <c r="AD25" s="126"/>
      <c r="AE25" s="126"/>
      <c r="AF25" s="126"/>
      <c r="AG25" s="126"/>
      <c r="AH25" s="126"/>
      <c r="AI25" s="118"/>
    </row>
    <row r="26" spans="1:35" x14ac:dyDescent="0.3">
      <c r="A26" s="62">
        <f ca="1">DAYS360(INDIRECT(A112&amp;ROW()),TODAY())</f>
        <v>42286</v>
      </c>
      <c r="B26" s="62">
        <f ca="1">DAYS360(INDIRECT(A111&amp;ROW()),TODAY())</f>
        <v>42286</v>
      </c>
      <c r="C26" s="42">
        <f t="shared" ca="1" si="0"/>
        <v>0</v>
      </c>
      <c r="D26" s="126"/>
      <c r="E26" s="126"/>
      <c r="F26" s="126"/>
      <c r="G26" s="126"/>
      <c r="H26" s="126"/>
      <c r="I26" s="126"/>
      <c r="J26" s="127"/>
      <c r="K26" s="126"/>
      <c r="L26" s="126"/>
      <c r="M26" s="127"/>
      <c r="N26" s="126"/>
      <c r="O26" s="126"/>
      <c r="P26" s="126"/>
      <c r="Q26" s="126"/>
      <c r="R26" s="126"/>
      <c r="S26" s="126"/>
      <c r="T26" s="126"/>
      <c r="U26" s="126"/>
      <c r="V26" s="126"/>
      <c r="W26" s="126"/>
      <c r="X26" s="126"/>
      <c r="Y26" s="126"/>
      <c r="Z26" s="126"/>
      <c r="AA26" s="126"/>
      <c r="AB26" s="126"/>
      <c r="AC26" s="126"/>
      <c r="AD26" s="126"/>
      <c r="AE26" s="126"/>
      <c r="AF26" s="126"/>
      <c r="AG26" s="126"/>
      <c r="AH26" s="126"/>
    </row>
    <row r="27" spans="1:35" x14ac:dyDescent="0.3">
      <c r="A27" s="62">
        <f ca="1">DAYS360(INDIRECT(A112&amp;ROW()),TODAY())</f>
        <v>42286</v>
      </c>
      <c r="B27" s="62">
        <f ca="1">DAYS360(INDIRECT(A111&amp;ROW()),TODAY())</f>
        <v>42286</v>
      </c>
      <c r="C27" s="42">
        <f t="shared" ca="1" si="0"/>
        <v>0</v>
      </c>
      <c r="D27" s="123"/>
      <c r="E27" s="123"/>
      <c r="F27" s="123"/>
      <c r="G27" s="123"/>
      <c r="H27" s="123"/>
      <c r="I27" s="123"/>
      <c r="J27" s="124"/>
      <c r="K27" s="123"/>
      <c r="L27" s="123"/>
      <c r="M27" s="124"/>
      <c r="N27" s="123"/>
      <c r="O27" s="123"/>
      <c r="P27" s="123"/>
      <c r="Q27" s="123"/>
      <c r="R27" s="123"/>
      <c r="S27" s="123"/>
      <c r="T27" s="123"/>
      <c r="U27" s="123"/>
      <c r="V27" s="123"/>
      <c r="W27" s="123"/>
      <c r="X27" s="123"/>
      <c r="Y27" s="123"/>
      <c r="Z27" s="123"/>
      <c r="AA27" s="123"/>
      <c r="AB27" s="123"/>
      <c r="AC27" s="123"/>
      <c r="AD27" s="123"/>
      <c r="AE27" s="123"/>
      <c r="AF27" s="123"/>
      <c r="AG27" s="123"/>
      <c r="AH27" s="123"/>
    </row>
    <row r="28" spans="1:35" x14ac:dyDescent="0.3">
      <c r="A28" s="62">
        <f ca="1">DAYS360(INDIRECT(A112&amp;ROW()),TODAY())</f>
        <v>42286</v>
      </c>
      <c r="B28" s="62">
        <f ca="1">DAYS360(INDIRECT(A111&amp;ROW()),TODAY())</f>
        <v>42286</v>
      </c>
      <c r="C28" s="42">
        <f t="shared" ca="1" si="0"/>
        <v>0</v>
      </c>
      <c r="D28" s="81"/>
      <c r="E28" s="81"/>
      <c r="F28" s="81"/>
      <c r="G28" s="81"/>
      <c r="H28" s="81"/>
      <c r="I28" s="81"/>
      <c r="J28" s="82"/>
      <c r="K28" s="81"/>
      <c r="L28" s="81"/>
      <c r="M28" s="82"/>
      <c r="N28" s="81"/>
      <c r="O28" s="81"/>
      <c r="P28" s="81"/>
      <c r="Q28" s="81"/>
      <c r="R28" s="81"/>
      <c r="S28" s="81"/>
      <c r="T28" s="81"/>
      <c r="U28" s="81"/>
      <c r="V28" s="81"/>
      <c r="W28" s="81"/>
      <c r="X28" s="81"/>
      <c r="Y28" s="81"/>
      <c r="Z28" s="81"/>
      <c r="AA28" s="81"/>
      <c r="AB28" s="81"/>
      <c r="AC28" s="81"/>
      <c r="AD28" s="81"/>
      <c r="AE28" s="81"/>
      <c r="AF28" s="81"/>
      <c r="AG28" s="81"/>
    </row>
    <row r="29" spans="1:35" x14ac:dyDescent="0.3">
      <c r="A29" s="62">
        <f ca="1">DAYS360(INDIRECT(A112&amp;ROW()),TODAY())</f>
        <v>42286</v>
      </c>
      <c r="B29" s="62">
        <f ca="1">DAYS360(INDIRECT(A111&amp;ROW()),TODAY())</f>
        <v>42286</v>
      </c>
      <c r="C29" s="42">
        <f t="shared" ca="1" si="0"/>
        <v>0</v>
      </c>
      <c r="D29" s="81"/>
      <c r="E29" s="81"/>
      <c r="F29" s="81"/>
      <c r="G29" s="81"/>
      <c r="H29" s="81"/>
      <c r="I29" s="81"/>
      <c r="J29" s="82"/>
      <c r="K29" s="81"/>
      <c r="L29" s="81"/>
      <c r="M29" s="82"/>
      <c r="N29" s="81"/>
      <c r="O29" s="81"/>
      <c r="P29" s="81"/>
      <c r="Q29" s="81"/>
      <c r="R29" s="81"/>
      <c r="S29" s="81"/>
      <c r="T29" s="81"/>
      <c r="U29" s="81"/>
      <c r="V29" s="81"/>
      <c r="W29" s="81"/>
      <c r="X29" s="81"/>
      <c r="Y29" s="81"/>
      <c r="Z29" s="81"/>
      <c r="AA29" s="81"/>
      <c r="AB29" s="81"/>
      <c r="AC29" s="81"/>
      <c r="AD29" s="81"/>
      <c r="AE29" s="81"/>
      <c r="AF29" s="81"/>
      <c r="AG29" s="81"/>
    </row>
    <row r="30" spans="1:35" x14ac:dyDescent="0.3">
      <c r="A30" s="62">
        <f ca="1">DAYS360(INDIRECT(A112&amp;ROW()),TODAY())</f>
        <v>42286</v>
      </c>
      <c r="B30" s="62">
        <f ca="1">DAYS360(INDIRECT(A111&amp;ROW()),TODAY())</f>
        <v>42286</v>
      </c>
      <c r="C30" s="42">
        <f t="shared" ca="1" si="0"/>
        <v>0</v>
      </c>
      <c r="D30" s="73"/>
      <c r="E30" s="73"/>
      <c r="F30" s="73"/>
      <c r="G30" s="73"/>
      <c r="H30" s="73"/>
      <c r="I30" s="73"/>
      <c r="J30" s="74"/>
      <c r="K30" s="73"/>
      <c r="L30" s="73"/>
      <c r="M30" s="74"/>
      <c r="N30" s="73"/>
      <c r="O30" s="73"/>
      <c r="P30" s="73"/>
      <c r="Q30" s="73"/>
      <c r="R30" s="73"/>
      <c r="S30" s="73"/>
      <c r="T30" s="73"/>
      <c r="U30" s="73"/>
      <c r="V30" s="73"/>
      <c r="W30" s="73"/>
      <c r="X30" s="73"/>
      <c r="Y30" s="73"/>
      <c r="Z30" s="73"/>
      <c r="AA30" s="73"/>
      <c r="AB30" s="73"/>
      <c r="AC30" s="73"/>
      <c r="AD30" s="73"/>
      <c r="AE30" s="73"/>
      <c r="AF30" s="73"/>
      <c r="AG30" s="73"/>
    </row>
    <row r="31" spans="1:35" x14ac:dyDescent="0.3">
      <c r="A31" s="62">
        <f ca="1">DAYS360(INDIRECT(A112&amp;ROW()),TODAY())</f>
        <v>42286</v>
      </c>
      <c r="B31" s="62">
        <f ca="1">DAYS360(INDIRECT(A111&amp;ROW()),TODAY())</f>
        <v>42286</v>
      </c>
      <c r="C31" s="42">
        <f t="shared" ca="1" si="0"/>
        <v>0</v>
      </c>
      <c r="D31" s="73"/>
      <c r="E31" s="73"/>
      <c r="F31" s="73"/>
      <c r="G31" s="73"/>
      <c r="H31" s="73"/>
      <c r="I31" s="73"/>
      <c r="J31" s="74"/>
      <c r="K31" s="73"/>
      <c r="L31" s="73"/>
      <c r="M31" s="74"/>
      <c r="N31" s="73"/>
      <c r="O31" s="73"/>
      <c r="P31" s="73"/>
      <c r="Q31" s="73"/>
      <c r="R31" s="73"/>
      <c r="S31" s="73"/>
      <c r="T31" s="73"/>
      <c r="U31" s="73"/>
      <c r="V31" s="73"/>
      <c r="W31" s="73"/>
      <c r="X31" s="73"/>
      <c r="Y31" s="73"/>
      <c r="Z31" s="73"/>
      <c r="AA31" s="73"/>
      <c r="AB31" s="73"/>
      <c r="AC31" s="73"/>
      <c r="AD31" s="73"/>
      <c r="AE31" s="73"/>
      <c r="AF31" s="73"/>
      <c r="AG31" s="73"/>
    </row>
    <row r="32" spans="1:35" x14ac:dyDescent="0.3">
      <c r="A32" s="62">
        <f ca="1">DAYS360(INDIRECT(A112&amp;ROW()),TODAY())</f>
        <v>42286</v>
      </c>
      <c r="B32" s="62">
        <f ca="1">DAYS360(INDIRECT(A111&amp;ROW()),TODAY())</f>
        <v>42286</v>
      </c>
      <c r="C32" s="42">
        <f t="shared" ca="1" si="0"/>
        <v>0</v>
      </c>
      <c r="D32" s="73"/>
      <c r="E32" s="73"/>
      <c r="F32" s="73"/>
      <c r="G32" s="73"/>
      <c r="H32" s="73"/>
      <c r="I32" s="73"/>
      <c r="J32" s="74"/>
      <c r="K32" s="73"/>
      <c r="L32" s="73"/>
      <c r="M32" s="74"/>
      <c r="N32" s="73"/>
      <c r="O32" s="73"/>
      <c r="P32" s="73"/>
      <c r="Q32" s="73"/>
      <c r="R32" s="73"/>
      <c r="S32" s="73"/>
      <c r="T32" s="73"/>
      <c r="U32" s="73"/>
      <c r="V32" s="73"/>
      <c r="W32" s="73"/>
      <c r="X32" s="73"/>
      <c r="Y32" s="73"/>
      <c r="Z32" s="73"/>
      <c r="AA32" s="73"/>
      <c r="AB32" s="73"/>
      <c r="AC32" s="73"/>
      <c r="AD32" s="73"/>
      <c r="AE32" s="73"/>
      <c r="AF32" s="73"/>
      <c r="AG32" s="73"/>
    </row>
    <row r="33" spans="1:33" x14ac:dyDescent="0.3">
      <c r="A33" s="62">
        <f ca="1">DAYS360(INDIRECT(A112&amp;ROW()),TODAY())</f>
        <v>42286</v>
      </c>
      <c r="B33" s="62">
        <f ca="1">DAYS360(INDIRECT(A111&amp;ROW()),TODAY())</f>
        <v>42286</v>
      </c>
      <c r="C33" s="42">
        <f t="shared" ca="1" si="0"/>
        <v>0</v>
      </c>
      <c r="D33" s="73"/>
      <c r="E33" s="73"/>
      <c r="F33" s="73"/>
      <c r="G33" s="73"/>
      <c r="H33" s="73"/>
      <c r="I33" s="73"/>
      <c r="J33" s="74"/>
      <c r="K33" s="73"/>
      <c r="L33" s="73"/>
      <c r="M33" s="74"/>
      <c r="N33" s="73"/>
      <c r="O33" s="73"/>
      <c r="P33" s="73"/>
      <c r="Q33" s="73"/>
      <c r="R33" s="73"/>
      <c r="S33" s="73"/>
      <c r="T33" s="73"/>
      <c r="U33" s="73"/>
      <c r="V33" s="73"/>
      <c r="W33" s="73"/>
      <c r="X33" s="73"/>
      <c r="Y33" s="73"/>
      <c r="Z33" s="73"/>
      <c r="AA33" s="73"/>
      <c r="AB33" s="73"/>
      <c r="AC33" s="73"/>
      <c r="AD33" s="73"/>
      <c r="AE33" s="73"/>
      <c r="AF33" s="73"/>
      <c r="AG33" s="73"/>
    </row>
    <row r="34" spans="1:33" x14ac:dyDescent="0.3">
      <c r="A34" s="62">
        <f ca="1">DAYS360(INDIRECT(A112&amp;ROW()),TODAY())</f>
        <v>42286</v>
      </c>
      <c r="B34" s="62">
        <f ca="1">DAYS360(INDIRECT(A111&amp;ROW()),TODAY())</f>
        <v>42286</v>
      </c>
      <c r="C34" s="42">
        <f t="shared" ca="1" si="0"/>
        <v>0</v>
      </c>
      <c r="D34" s="68"/>
      <c r="E34" s="68"/>
      <c r="F34" s="68"/>
      <c r="G34" s="68"/>
      <c r="H34" s="68"/>
      <c r="I34" s="68"/>
      <c r="J34" s="69"/>
      <c r="K34" s="68"/>
      <c r="L34" s="68"/>
      <c r="M34" s="69"/>
      <c r="N34" s="68"/>
      <c r="O34" s="68"/>
      <c r="P34" s="68"/>
      <c r="Q34" s="68"/>
      <c r="R34" s="68"/>
      <c r="S34" s="68"/>
      <c r="T34" s="68"/>
      <c r="U34" s="68"/>
      <c r="V34" s="68"/>
      <c r="W34" s="68"/>
      <c r="X34" s="68"/>
      <c r="Y34" s="68"/>
      <c r="Z34" s="68"/>
      <c r="AA34" s="68"/>
      <c r="AB34" s="68"/>
      <c r="AC34" s="68"/>
      <c r="AD34" s="68"/>
      <c r="AE34" s="68"/>
      <c r="AF34" s="68"/>
      <c r="AG34" s="68"/>
    </row>
    <row r="35" spans="1:33" x14ac:dyDescent="0.3">
      <c r="A35" s="62">
        <f ca="1">DAYS360(INDIRECT(A112&amp;ROW()),TODAY())</f>
        <v>42286</v>
      </c>
      <c r="B35" s="62">
        <f ca="1">DAYS360(INDIRECT(A111&amp;ROW()),TODAY())</f>
        <v>42286</v>
      </c>
      <c r="C35" s="42">
        <f t="shared" ca="1" si="0"/>
        <v>0</v>
      </c>
      <c r="D35" s="68"/>
      <c r="E35" s="68"/>
      <c r="F35" s="68"/>
      <c r="G35" s="68"/>
      <c r="H35" s="68"/>
      <c r="I35" s="68"/>
      <c r="J35" s="69"/>
      <c r="K35" s="68"/>
      <c r="L35" s="68"/>
      <c r="M35" s="69"/>
      <c r="N35" s="68"/>
      <c r="O35" s="68"/>
      <c r="P35" s="68"/>
      <c r="Q35" s="68"/>
      <c r="R35" s="68"/>
      <c r="S35" s="68"/>
      <c r="T35" s="68"/>
      <c r="U35" s="68"/>
      <c r="V35" s="68"/>
      <c r="W35" s="68"/>
      <c r="X35" s="68"/>
      <c r="Y35" s="68"/>
      <c r="Z35" s="68"/>
      <c r="AA35" s="68"/>
      <c r="AB35" s="68"/>
      <c r="AC35" s="68"/>
      <c r="AD35" s="68"/>
      <c r="AE35" s="68"/>
      <c r="AF35" s="68"/>
      <c r="AG35" s="68"/>
    </row>
    <row r="36" spans="1:33" x14ac:dyDescent="0.3">
      <c r="A36" s="62">
        <f ca="1">DAYS360(INDIRECT(A112&amp;ROW()),TODAY())</f>
        <v>42286</v>
      </c>
      <c r="B36" s="62">
        <f ca="1">DAYS360(INDIRECT(A111&amp;ROW()),TODAY())</f>
        <v>42286</v>
      </c>
      <c r="C36" s="42">
        <f t="shared" ca="1" si="0"/>
        <v>0</v>
      </c>
      <c r="D36" s="68"/>
      <c r="E36" s="68"/>
      <c r="F36" s="68"/>
      <c r="G36" s="68"/>
      <c r="H36" s="68"/>
      <c r="I36" s="68"/>
      <c r="J36" s="69"/>
      <c r="K36" s="68"/>
      <c r="L36" s="68"/>
      <c r="M36" s="69"/>
      <c r="N36" s="68"/>
      <c r="O36" s="68"/>
      <c r="P36" s="68"/>
      <c r="Q36" s="68"/>
      <c r="R36" s="68"/>
      <c r="S36" s="68"/>
      <c r="T36" s="68"/>
      <c r="U36" s="68"/>
      <c r="V36" s="68"/>
      <c r="W36" s="68"/>
      <c r="X36" s="68"/>
      <c r="Y36" s="68"/>
      <c r="Z36" s="68"/>
      <c r="AA36" s="68"/>
      <c r="AB36" s="68"/>
      <c r="AC36" s="68"/>
      <c r="AD36" s="68"/>
      <c r="AE36" s="68"/>
      <c r="AF36" s="68"/>
      <c r="AG36" s="68"/>
    </row>
    <row r="37" spans="1:33" x14ac:dyDescent="0.3">
      <c r="A37" s="62">
        <f ca="1">DAYS360(INDIRECT(A112&amp;ROW()),TODAY())</f>
        <v>42286</v>
      </c>
      <c r="B37" s="62">
        <f ca="1">DAYS360(INDIRECT(A111&amp;ROW()),TODAY())</f>
        <v>42286</v>
      </c>
      <c r="C37" s="42">
        <f t="shared" ca="1" si="0"/>
        <v>0</v>
      </c>
      <c r="D37" s="68"/>
      <c r="E37" s="68"/>
      <c r="F37" s="68"/>
      <c r="G37" s="68"/>
      <c r="H37" s="68"/>
      <c r="I37" s="68"/>
      <c r="J37" s="69"/>
      <c r="K37" s="68"/>
      <c r="L37" s="68"/>
      <c r="M37" s="69"/>
      <c r="N37" s="68"/>
      <c r="O37" s="68"/>
      <c r="P37" s="68"/>
      <c r="Q37" s="68"/>
      <c r="R37" s="68"/>
      <c r="S37" s="68"/>
      <c r="T37" s="68"/>
      <c r="U37" s="68"/>
      <c r="V37" s="68"/>
      <c r="W37" s="68"/>
      <c r="X37" s="68"/>
      <c r="Y37" s="68"/>
      <c r="Z37" s="68"/>
      <c r="AA37" s="68"/>
      <c r="AB37" s="68"/>
      <c r="AC37" s="68"/>
      <c r="AD37" s="68"/>
      <c r="AE37" s="68"/>
      <c r="AF37" s="68"/>
      <c r="AG37" s="68"/>
    </row>
    <row r="38" spans="1:33" x14ac:dyDescent="0.3">
      <c r="A38" s="62">
        <f ca="1">DAYS360(INDIRECT(A112&amp;ROW()),TODAY())</f>
        <v>42286</v>
      </c>
      <c r="B38" s="62">
        <f ca="1">DAYS360(INDIRECT(A111&amp;ROW()),TODAY())</f>
        <v>42286</v>
      </c>
      <c r="C38" s="42">
        <f t="shared" ca="1" si="0"/>
        <v>0</v>
      </c>
      <c r="D38" s="68"/>
      <c r="E38" s="68"/>
      <c r="F38" s="68"/>
      <c r="G38" s="68"/>
      <c r="H38" s="68"/>
      <c r="I38" s="68"/>
      <c r="J38" s="69"/>
      <c r="K38" s="68"/>
      <c r="L38" s="68"/>
      <c r="M38" s="69"/>
      <c r="N38" s="68"/>
      <c r="O38" s="68"/>
      <c r="P38" s="68"/>
      <c r="Q38" s="68"/>
      <c r="R38" s="68"/>
      <c r="S38" s="68"/>
      <c r="T38" s="68"/>
      <c r="U38" s="68"/>
      <c r="V38" s="68"/>
      <c r="W38" s="68"/>
      <c r="X38" s="68"/>
      <c r="Y38" s="68"/>
      <c r="Z38" s="68"/>
      <c r="AA38" s="68"/>
      <c r="AB38" s="68"/>
      <c r="AC38" s="68"/>
      <c r="AD38" s="68"/>
      <c r="AE38" s="68"/>
      <c r="AF38" s="68"/>
      <c r="AG38" s="68"/>
    </row>
    <row r="39" spans="1:33" x14ac:dyDescent="0.3">
      <c r="A39" s="62">
        <f ca="1">DAYS360(INDIRECT(A112&amp;ROW()),TODAY())</f>
        <v>42286</v>
      </c>
      <c r="B39" s="62">
        <f ca="1">DAYS360(INDIRECT(A111&amp;ROW()),TODAY())</f>
        <v>42286</v>
      </c>
      <c r="C39" s="42">
        <f t="shared" ca="1" si="0"/>
        <v>0</v>
      </c>
      <c r="D39" s="65"/>
      <c r="E39" s="65"/>
      <c r="F39" s="65"/>
      <c r="G39" s="65"/>
      <c r="H39" s="65"/>
      <c r="I39" s="65"/>
      <c r="J39" s="66"/>
      <c r="K39" s="65"/>
      <c r="L39" s="65"/>
      <c r="M39" s="66"/>
      <c r="N39" s="65"/>
      <c r="O39" s="65"/>
      <c r="P39" s="65"/>
      <c r="Q39" s="65"/>
      <c r="R39" s="65"/>
      <c r="S39" s="65"/>
      <c r="T39" s="65"/>
      <c r="U39" s="65"/>
      <c r="V39" s="65"/>
      <c r="W39" s="65"/>
      <c r="X39" s="65"/>
      <c r="Y39" s="65"/>
      <c r="Z39" s="65"/>
      <c r="AA39" s="65"/>
      <c r="AB39" s="65"/>
      <c r="AC39" s="65"/>
      <c r="AD39" s="65"/>
      <c r="AE39" s="65"/>
      <c r="AF39" s="65"/>
      <c r="AG39" s="65"/>
    </row>
    <row r="40" spans="1:33" x14ac:dyDescent="0.3">
      <c r="A40" s="62">
        <f ca="1">DAYS360(INDIRECT(A112&amp;ROW()),TODAY())</f>
        <v>42286</v>
      </c>
      <c r="B40" s="62">
        <f ca="1">DAYS360(INDIRECT(A111&amp;ROW()),TODAY())</f>
        <v>42286</v>
      </c>
      <c r="C40" s="42">
        <f t="shared" ca="1" si="0"/>
        <v>0</v>
      </c>
      <c r="J40" s="63"/>
      <c r="M40" s="63"/>
    </row>
    <row r="41" spans="1:33" x14ac:dyDescent="0.3">
      <c r="A41" s="62">
        <f ca="1">DAYS360(INDIRECT(A112&amp;ROW()),TODAY())</f>
        <v>42286</v>
      </c>
      <c r="B41" s="62">
        <f ca="1">DAYS360(INDIRECT(A111&amp;ROW()),TODAY())</f>
        <v>42286</v>
      </c>
      <c r="C41" s="42">
        <f t="shared" ca="1" si="0"/>
        <v>0</v>
      </c>
      <c r="J41" s="63"/>
      <c r="M41" s="63"/>
    </row>
    <row r="42" spans="1:33" x14ac:dyDescent="0.3">
      <c r="A42" s="62">
        <f ca="1">DAYS360(INDIRECT(A112&amp;ROW()),TODAY())</f>
        <v>42286</v>
      </c>
      <c r="B42" s="62">
        <f ca="1">DAYS360(INDIRECT(A111&amp;ROW()),TODAY())</f>
        <v>42286</v>
      </c>
      <c r="C42" s="42">
        <f t="shared" ca="1" si="0"/>
        <v>0</v>
      </c>
      <c r="J42" s="63"/>
      <c r="M42" s="63"/>
    </row>
    <row r="43" spans="1:33" x14ac:dyDescent="0.3">
      <c r="A43" s="62">
        <f ca="1">DAYS360(INDIRECT(A112&amp;ROW()),TODAY())</f>
        <v>42286</v>
      </c>
      <c r="B43" s="62">
        <f ca="1">DAYS360(INDIRECT(A111&amp;ROW()),TODAY())</f>
        <v>42286</v>
      </c>
      <c r="C43" s="42">
        <f t="shared" ca="1" si="0"/>
        <v>0</v>
      </c>
      <c r="J43" s="63"/>
      <c r="M43" s="63"/>
    </row>
    <row r="44" spans="1:33" x14ac:dyDescent="0.3">
      <c r="A44" s="62">
        <f ca="1">DAYS360(INDIRECT(A112&amp;ROW()),TODAY())</f>
        <v>42286</v>
      </c>
      <c r="B44" s="62">
        <f ca="1">DAYS360(INDIRECT(A111&amp;ROW()),TODAY())</f>
        <v>42286</v>
      </c>
      <c r="C44" s="42">
        <f t="shared" ca="1" si="0"/>
        <v>0</v>
      </c>
      <c r="J44" s="63"/>
      <c r="M44" s="63"/>
    </row>
    <row r="45" spans="1:33" x14ac:dyDescent="0.3">
      <c r="A45" s="62">
        <f ca="1">DAYS360(INDIRECT(A112&amp;ROW()),TODAY())</f>
        <v>42286</v>
      </c>
      <c r="B45" s="62">
        <f ca="1">DAYS360(INDIRECT(A111&amp;ROW()),TODAY())</f>
        <v>42286</v>
      </c>
      <c r="C45" s="42">
        <f t="shared" ca="1" si="0"/>
        <v>0</v>
      </c>
      <c r="J45" s="63"/>
      <c r="M45" s="63"/>
    </row>
    <row r="46" spans="1:33" x14ac:dyDescent="0.3">
      <c r="A46" s="62">
        <f ca="1">DAYS360(INDIRECT(A112&amp;ROW()),TODAY())</f>
        <v>42286</v>
      </c>
      <c r="B46" s="62">
        <f ca="1">DAYS360(INDIRECT(A111&amp;ROW()),TODAY())</f>
        <v>42286</v>
      </c>
      <c r="C46" s="42">
        <f t="shared" ca="1" si="0"/>
        <v>0</v>
      </c>
      <c r="J46" s="63"/>
      <c r="M46" s="63"/>
    </row>
    <row r="47" spans="1:33" x14ac:dyDescent="0.3">
      <c r="A47" s="62">
        <f ca="1">DAYS360(INDIRECT(A112&amp;ROW()),TODAY())</f>
        <v>42286</v>
      </c>
      <c r="B47" s="62">
        <f ca="1">DAYS360(INDIRECT(A111&amp;ROW()),TODAY())</f>
        <v>42286</v>
      </c>
      <c r="C47" s="42">
        <f t="shared" ca="1" si="0"/>
        <v>0</v>
      </c>
      <c r="J47" s="63"/>
      <c r="M47" s="63"/>
    </row>
    <row r="48" spans="1:33" x14ac:dyDescent="0.3">
      <c r="A48" s="62">
        <f ca="1">DAYS360(INDIRECT(A112&amp;ROW()),TODAY())</f>
        <v>42286</v>
      </c>
      <c r="B48" s="62">
        <f ca="1">DAYS360(INDIRECT(A111&amp;ROW()),TODAY())</f>
        <v>42286</v>
      </c>
      <c r="C48" s="42">
        <f t="shared" ca="1" si="0"/>
        <v>0</v>
      </c>
      <c r="J48" s="63"/>
      <c r="M48" s="63"/>
    </row>
    <row r="49" spans="1:13" x14ac:dyDescent="0.3">
      <c r="A49" s="62">
        <f ca="1">DAYS360(INDIRECT(A112&amp;ROW()),TODAY())</f>
        <v>42286</v>
      </c>
      <c r="B49" s="62">
        <f ca="1">DAYS360(INDIRECT(A111&amp;ROW()),TODAY())</f>
        <v>42286</v>
      </c>
      <c r="C49" s="42">
        <f t="shared" ca="1" si="0"/>
        <v>0</v>
      </c>
      <c r="J49" s="63"/>
      <c r="M49" s="63"/>
    </row>
    <row r="50" spans="1:13" x14ac:dyDescent="0.3">
      <c r="A50" s="62">
        <f ca="1">DAYS360(INDIRECT(A112&amp;ROW()),TODAY())</f>
        <v>42286</v>
      </c>
      <c r="B50" s="62">
        <f ca="1">DAYS360(INDIRECT(A111&amp;ROW()),TODAY())</f>
        <v>42286</v>
      </c>
      <c r="C50" s="42">
        <f t="shared" ca="1" si="0"/>
        <v>0</v>
      </c>
      <c r="J50" s="63"/>
      <c r="M50" s="63"/>
    </row>
    <row r="51" spans="1:13" x14ac:dyDescent="0.3">
      <c r="A51" s="62">
        <f ca="1">DAYS360(INDIRECT(A112&amp;ROW()),TODAY())</f>
        <v>42286</v>
      </c>
      <c r="B51" s="62">
        <f ca="1">DAYS360(INDIRECT(A111&amp;ROW()),TODAY())</f>
        <v>42286</v>
      </c>
      <c r="C51" s="42">
        <f t="shared" ca="1" si="0"/>
        <v>0</v>
      </c>
      <c r="J51" s="63"/>
      <c r="M51" s="63"/>
    </row>
    <row r="52" spans="1:13" x14ac:dyDescent="0.3">
      <c r="A52" s="62">
        <f ca="1">DAYS360(INDIRECT(A112&amp;ROW()),TODAY())</f>
        <v>42286</v>
      </c>
      <c r="B52" s="62">
        <f ca="1">DAYS360(INDIRECT(A111&amp;ROW()),TODAY())</f>
        <v>42286</v>
      </c>
      <c r="C52" s="42">
        <f t="shared" ca="1" si="0"/>
        <v>0</v>
      </c>
      <c r="J52" s="63"/>
      <c r="M52" s="63"/>
    </row>
    <row r="53" spans="1:13" x14ac:dyDescent="0.3">
      <c r="A53" s="62">
        <f ca="1">DAYS360(INDIRECT(A112&amp;ROW()),TODAY())</f>
        <v>42286</v>
      </c>
      <c r="B53" s="62">
        <f ca="1">DAYS360(INDIRECT(A111&amp;ROW()),TODAY())</f>
        <v>42286</v>
      </c>
      <c r="C53" s="42">
        <f t="shared" ca="1" si="0"/>
        <v>0</v>
      </c>
      <c r="J53" s="63"/>
      <c r="M53" s="63"/>
    </row>
    <row r="54" spans="1:13" x14ac:dyDescent="0.3">
      <c r="A54" s="62">
        <f ca="1">DAYS360(INDIRECT(A112&amp;ROW()),TODAY())</f>
        <v>42286</v>
      </c>
      <c r="B54" s="62">
        <f ca="1">DAYS360(INDIRECT(A111&amp;ROW()),TODAY())</f>
        <v>42286</v>
      </c>
      <c r="C54" s="42">
        <f t="shared" ca="1" si="0"/>
        <v>0</v>
      </c>
      <c r="J54" s="63"/>
      <c r="M54" s="63"/>
    </row>
    <row r="55" spans="1:13" x14ac:dyDescent="0.3">
      <c r="A55" s="62">
        <f ca="1">DAYS360(INDIRECT(A112&amp;ROW()),TODAY())</f>
        <v>42286</v>
      </c>
      <c r="B55" s="62">
        <f ca="1">DAYS360(INDIRECT(A111&amp;ROW()),TODAY())</f>
        <v>42286</v>
      </c>
      <c r="C55" s="42">
        <f t="shared" ca="1" si="0"/>
        <v>0</v>
      </c>
      <c r="J55" s="63"/>
      <c r="M55" s="63"/>
    </row>
    <row r="56" spans="1:13" x14ac:dyDescent="0.3">
      <c r="A56" s="62">
        <f ca="1">DAYS360(INDIRECT(A112&amp;ROW()),TODAY())</f>
        <v>42286</v>
      </c>
      <c r="B56" s="62">
        <f ca="1">DAYS360(INDIRECT(A111&amp;ROW()),TODAY())</f>
        <v>42286</v>
      </c>
      <c r="C56" s="42">
        <f t="shared" ca="1" si="0"/>
        <v>0</v>
      </c>
      <c r="J56" s="63"/>
      <c r="M56" s="63"/>
    </row>
    <row r="57" spans="1:13" x14ac:dyDescent="0.3">
      <c r="A57" s="62">
        <f ca="1">DAYS360(INDIRECT(A112&amp;ROW()),TODAY())</f>
        <v>42286</v>
      </c>
      <c r="B57" s="62">
        <f ca="1">DAYS360(INDIRECT(A111&amp;ROW()),TODAY())</f>
        <v>42286</v>
      </c>
      <c r="C57" s="42">
        <f t="shared" ca="1" si="0"/>
        <v>0</v>
      </c>
      <c r="J57" s="63"/>
      <c r="M57" s="63"/>
    </row>
    <row r="58" spans="1:13" x14ac:dyDescent="0.3">
      <c r="A58" s="62">
        <f ca="1">DAYS360(INDIRECT(A112&amp;ROW()),TODAY())</f>
        <v>42286</v>
      </c>
      <c r="B58" s="62">
        <f ca="1">DAYS360(INDIRECT(A111&amp;ROW()),TODAY())</f>
        <v>42286</v>
      </c>
      <c r="C58" s="42">
        <f t="shared" ca="1" si="0"/>
        <v>0</v>
      </c>
      <c r="J58" s="63"/>
      <c r="M58" s="63"/>
    </row>
    <row r="59" spans="1:13" x14ac:dyDescent="0.3">
      <c r="A59" s="62">
        <f ca="1">DAYS360(INDIRECT(A112&amp;ROW()),TODAY())</f>
        <v>42286</v>
      </c>
      <c r="B59" s="62">
        <f ca="1">DAYS360(INDIRECT(A111&amp;ROW()),TODAY())</f>
        <v>42286</v>
      </c>
      <c r="C59" s="42">
        <f t="shared" ca="1" si="0"/>
        <v>0</v>
      </c>
      <c r="J59" s="63"/>
      <c r="M59" s="63"/>
    </row>
    <row r="60" spans="1:13" x14ac:dyDescent="0.3">
      <c r="A60" s="62">
        <f ca="1">DAYS360(INDIRECT(A112&amp;ROW()),TODAY())</f>
        <v>42286</v>
      </c>
      <c r="B60" s="62">
        <f ca="1">DAYS360(INDIRECT(A111&amp;ROW()),TODAY())</f>
        <v>42286</v>
      </c>
      <c r="C60" s="42">
        <f t="shared" ca="1" si="0"/>
        <v>0</v>
      </c>
      <c r="J60" s="63"/>
      <c r="M60" s="63"/>
    </row>
    <row r="61" spans="1:13" x14ac:dyDescent="0.3">
      <c r="A61" s="62">
        <f ca="1">DAYS360(INDIRECT(A112&amp;ROW()),TODAY())</f>
        <v>42286</v>
      </c>
      <c r="B61" s="62">
        <f ca="1">DAYS360(INDIRECT(A111&amp;ROW()),TODAY())</f>
        <v>42286</v>
      </c>
      <c r="C61" s="42">
        <f t="shared" ca="1" si="0"/>
        <v>0</v>
      </c>
      <c r="J61" s="63"/>
      <c r="M61" s="63"/>
    </row>
    <row r="62" spans="1:13" x14ac:dyDescent="0.3">
      <c r="A62" s="62">
        <f ca="1">DAYS360(INDIRECT(A112&amp;ROW()),TODAY())</f>
        <v>42286</v>
      </c>
      <c r="B62" s="62">
        <f ca="1">DAYS360(INDIRECT(A111&amp;ROW()),TODAY())</f>
        <v>42286</v>
      </c>
      <c r="C62" s="42">
        <f t="shared" ca="1" si="0"/>
        <v>0</v>
      </c>
      <c r="J62" s="63"/>
      <c r="M62" s="63"/>
    </row>
    <row r="63" spans="1:13" x14ac:dyDescent="0.3">
      <c r="A63" s="62">
        <f ca="1">DAYS360(INDIRECT(A112&amp;ROW()),TODAY())</f>
        <v>42286</v>
      </c>
      <c r="B63" s="62">
        <f ca="1">DAYS360(INDIRECT(A111&amp;ROW()),TODAY())</f>
        <v>42286</v>
      </c>
      <c r="C63" s="42">
        <f t="shared" ca="1" si="0"/>
        <v>0</v>
      </c>
      <c r="J63" s="63"/>
      <c r="M63" s="63"/>
    </row>
    <row r="64" spans="1:13" x14ac:dyDescent="0.3">
      <c r="A64" s="62">
        <f ca="1">DAYS360(INDIRECT(A112&amp;ROW()),TODAY())</f>
        <v>42286</v>
      </c>
      <c r="B64" s="62">
        <f ca="1">DAYS360(INDIRECT(A111&amp;ROW()),TODAY())</f>
        <v>42286</v>
      </c>
      <c r="C64" s="42">
        <f t="shared" ca="1" si="0"/>
        <v>0</v>
      </c>
      <c r="J64" s="63"/>
      <c r="M64" s="63"/>
    </row>
    <row r="65" spans="1:13" x14ac:dyDescent="0.3">
      <c r="A65" s="62">
        <f ca="1">DAYS360(INDIRECT(A112&amp;ROW()),TODAY())</f>
        <v>42286</v>
      </c>
      <c r="B65" s="62">
        <f ca="1">DAYS360(INDIRECT(A111&amp;ROW()),TODAY())</f>
        <v>42286</v>
      </c>
      <c r="C65" s="42">
        <f t="shared" ca="1" si="0"/>
        <v>0</v>
      </c>
      <c r="J65" s="63"/>
      <c r="M65" s="63"/>
    </row>
    <row r="66" spans="1:13" x14ac:dyDescent="0.3">
      <c r="A66" s="62">
        <f ca="1">DAYS360(INDIRECT(A112&amp;ROW()),TODAY())</f>
        <v>42286</v>
      </c>
      <c r="B66" s="62">
        <f ca="1">DAYS360(INDIRECT(A111&amp;ROW()),TODAY())</f>
        <v>42286</v>
      </c>
      <c r="C66" s="42">
        <f t="shared" ca="1" si="0"/>
        <v>0</v>
      </c>
      <c r="J66" s="63"/>
      <c r="M66" s="63"/>
    </row>
    <row r="67" spans="1:13" x14ac:dyDescent="0.3">
      <c r="A67" s="62">
        <f ca="1">DAYS360(INDIRECT(A112&amp;ROW()),TODAY())</f>
        <v>42286</v>
      </c>
      <c r="B67" s="62">
        <f ca="1">DAYS360(INDIRECT(A111&amp;ROW()),TODAY())</f>
        <v>42286</v>
      </c>
      <c r="C67" s="42">
        <f t="shared" ca="1" si="0"/>
        <v>0</v>
      </c>
      <c r="J67" s="63"/>
      <c r="M67" s="63"/>
    </row>
    <row r="68" spans="1:13" x14ac:dyDescent="0.3">
      <c r="A68" s="62">
        <f ca="1">DAYS360(INDIRECT(A112&amp;ROW()),TODAY())</f>
        <v>42286</v>
      </c>
      <c r="B68" s="62">
        <f ca="1">DAYS360(INDIRECT(A111&amp;ROW()),TODAY())</f>
        <v>42286</v>
      </c>
      <c r="C68" s="42">
        <f t="shared" ca="1" si="0"/>
        <v>0</v>
      </c>
      <c r="J68" s="63"/>
      <c r="M68" s="63"/>
    </row>
    <row r="69" spans="1:13" x14ac:dyDescent="0.3">
      <c r="A69" s="62">
        <f ca="1">DAYS360(INDIRECT(A112&amp;ROW()),TODAY())</f>
        <v>42286</v>
      </c>
      <c r="B69" s="62">
        <f ca="1">DAYS360(INDIRECT(A111&amp;ROW()),TODAY())</f>
        <v>42286</v>
      </c>
      <c r="C69" s="42">
        <f t="shared" ca="1" si="0"/>
        <v>0</v>
      </c>
      <c r="J69" s="63"/>
      <c r="M69" s="63"/>
    </row>
    <row r="70" spans="1:13" x14ac:dyDescent="0.3">
      <c r="A70" s="62">
        <f ca="1">DAYS360(INDIRECT(A112&amp;ROW()),TODAY())</f>
        <v>42286</v>
      </c>
      <c r="B70" s="62">
        <f ca="1">DAYS360(INDIRECT(A111&amp;ROW()),TODAY())</f>
        <v>42286</v>
      </c>
      <c r="C70" s="42">
        <f t="shared" ca="1" si="0"/>
        <v>0</v>
      </c>
      <c r="J70" s="63"/>
      <c r="M70" s="63"/>
    </row>
    <row r="71" spans="1:13" x14ac:dyDescent="0.3">
      <c r="A71" s="62">
        <f ca="1">DAYS360(INDIRECT(A112&amp;ROW()),TODAY())</f>
        <v>42286</v>
      </c>
      <c r="B71" s="62">
        <f ca="1">DAYS360(INDIRECT(A111&amp;ROW()),TODAY())</f>
        <v>42286</v>
      </c>
      <c r="C71" s="42">
        <f t="shared" ca="1" si="0"/>
        <v>0</v>
      </c>
      <c r="J71" s="63"/>
      <c r="M71" s="63"/>
    </row>
    <row r="72" spans="1:13" x14ac:dyDescent="0.3">
      <c r="A72" s="62">
        <f ca="1">DAYS360(INDIRECT(A112&amp;ROW()),TODAY())</f>
        <v>42286</v>
      </c>
      <c r="B72" s="62">
        <f ca="1">DAYS360(INDIRECT(A111&amp;ROW()),TODAY())</f>
        <v>42286</v>
      </c>
      <c r="C72" s="42">
        <f t="shared" ca="1" si="0"/>
        <v>0</v>
      </c>
      <c r="J72" s="63"/>
      <c r="M72" s="63"/>
    </row>
    <row r="73" spans="1:13" x14ac:dyDescent="0.3">
      <c r="A73" s="62">
        <f ca="1">DAYS360(INDIRECT(A112&amp;ROW()),TODAY())</f>
        <v>42286</v>
      </c>
      <c r="B73" s="62">
        <f ca="1">DAYS360(INDIRECT(A111&amp;ROW()),TODAY())</f>
        <v>42286</v>
      </c>
      <c r="C73" s="42">
        <f t="shared" ca="1" si="0"/>
        <v>0</v>
      </c>
      <c r="J73" s="63"/>
      <c r="M73" s="63"/>
    </row>
    <row r="74" spans="1:13" x14ac:dyDescent="0.3">
      <c r="A74" s="62">
        <f ca="1">DAYS360(INDIRECT($A$112&amp;ROW()),TODAY())</f>
        <v>42286</v>
      </c>
      <c r="B74" s="62">
        <f ca="1">DAYS360(INDIRECT($A$111&amp;ROW()),TODAY())</f>
        <v>42286</v>
      </c>
      <c r="C74" s="42">
        <f t="shared" ca="1" si="0"/>
        <v>0</v>
      </c>
      <c r="J74" s="63"/>
      <c r="M74" s="63"/>
    </row>
    <row r="75" spans="1:13" x14ac:dyDescent="0.3">
      <c r="A75" s="62">
        <f t="shared" ref="A75:A98" ca="1" si="1">DAYS360(INDIRECT($A$112&amp;ROW()),TODAY())</f>
        <v>42286</v>
      </c>
      <c r="B75" s="62">
        <f t="shared" ref="B75:B98" ca="1" si="2">DAYS360(INDIRECT($A$111&amp;ROW()),TODAY())</f>
        <v>42286</v>
      </c>
      <c r="C75" s="42">
        <f t="shared" ca="1" si="0"/>
        <v>0</v>
      </c>
      <c r="J75" s="63"/>
      <c r="M75" s="63"/>
    </row>
    <row r="76" spans="1:13" x14ac:dyDescent="0.3">
      <c r="A76" s="62">
        <f t="shared" ca="1" si="1"/>
        <v>42286</v>
      </c>
      <c r="B76" s="62">
        <f t="shared" ca="1" si="2"/>
        <v>42286</v>
      </c>
      <c r="C76" s="42">
        <f t="shared" ca="1" si="0"/>
        <v>0</v>
      </c>
      <c r="J76" s="63"/>
      <c r="M76" s="63"/>
    </row>
    <row r="77" spans="1:13" x14ac:dyDescent="0.3">
      <c r="A77" s="62">
        <f t="shared" ca="1" si="1"/>
        <v>42286</v>
      </c>
      <c r="B77" s="62">
        <f t="shared" ca="1" si="2"/>
        <v>42286</v>
      </c>
      <c r="C77" s="42">
        <f t="shared" ca="1" si="0"/>
        <v>0</v>
      </c>
      <c r="J77" s="63"/>
      <c r="M77" s="63"/>
    </row>
    <row r="78" spans="1:13" x14ac:dyDescent="0.3">
      <c r="A78" s="62">
        <f t="shared" ca="1" si="1"/>
        <v>42286</v>
      </c>
      <c r="B78" s="62">
        <f t="shared" ca="1" si="2"/>
        <v>42286</v>
      </c>
      <c r="C78" s="42">
        <f t="shared" ca="1" si="0"/>
        <v>0</v>
      </c>
      <c r="J78" s="63"/>
      <c r="M78" s="63"/>
    </row>
    <row r="79" spans="1:13" x14ac:dyDescent="0.3">
      <c r="A79" s="62">
        <f t="shared" ca="1" si="1"/>
        <v>42286</v>
      </c>
      <c r="B79" s="62">
        <f t="shared" ca="1" si="2"/>
        <v>42286</v>
      </c>
      <c r="C79" s="42">
        <f t="shared" ca="1" si="0"/>
        <v>0</v>
      </c>
      <c r="J79" s="63"/>
      <c r="M79" s="63"/>
    </row>
    <row r="80" spans="1:13" x14ac:dyDescent="0.3">
      <c r="A80" s="62">
        <f t="shared" ca="1" si="1"/>
        <v>42286</v>
      </c>
      <c r="B80" s="62">
        <f t="shared" ca="1" si="2"/>
        <v>42286</v>
      </c>
      <c r="C80" s="42">
        <f t="shared" ca="1" si="0"/>
        <v>0</v>
      </c>
      <c r="J80" s="63"/>
      <c r="M80" s="63"/>
    </row>
    <row r="81" spans="1:13" x14ac:dyDescent="0.3">
      <c r="A81" s="62">
        <f t="shared" ca="1" si="1"/>
        <v>42286</v>
      </c>
      <c r="B81" s="62">
        <f t="shared" ca="1" si="2"/>
        <v>42286</v>
      </c>
      <c r="C81" s="42">
        <f t="shared" ca="1" si="0"/>
        <v>0</v>
      </c>
      <c r="J81" s="63"/>
      <c r="M81" s="63"/>
    </row>
    <row r="82" spans="1:13" x14ac:dyDescent="0.3">
      <c r="A82" s="62">
        <f t="shared" ca="1" si="1"/>
        <v>42286</v>
      </c>
      <c r="B82" s="62">
        <f t="shared" ca="1" si="2"/>
        <v>42286</v>
      </c>
      <c r="C82" s="42">
        <f t="shared" ca="1" si="0"/>
        <v>0</v>
      </c>
      <c r="J82" s="63"/>
      <c r="M82" s="63"/>
    </row>
    <row r="83" spans="1:13" x14ac:dyDescent="0.3">
      <c r="A83" s="62">
        <f t="shared" ca="1" si="1"/>
        <v>42286</v>
      </c>
      <c r="B83" s="62">
        <f t="shared" ca="1" si="2"/>
        <v>42286</v>
      </c>
      <c r="C83" s="42">
        <f t="shared" ref="C83:C98" ca="1" si="3">HYPERLINK(CONCATENATE($A$120&amp;INDIRECT("c"&amp;(ROW()+106))),INDIRECT("c"&amp;(ROW()+106)))</f>
        <v>0</v>
      </c>
      <c r="J83" s="63"/>
      <c r="M83" s="63"/>
    </row>
    <row r="84" spans="1:13" x14ac:dyDescent="0.3">
      <c r="A84" s="62">
        <f t="shared" ca="1" si="1"/>
        <v>42286</v>
      </c>
      <c r="B84" s="62">
        <f t="shared" ca="1" si="2"/>
        <v>42286</v>
      </c>
      <c r="C84" s="42">
        <f t="shared" ca="1" si="3"/>
        <v>0</v>
      </c>
      <c r="J84" s="63"/>
      <c r="M84" s="63"/>
    </row>
    <row r="85" spans="1:13" x14ac:dyDescent="0.3">
      <c r="A85" s="62">
        <f t="shared" ca="1" si="1"/>
        <v>42286</v>
      </c>
      <c r="B85" s="62">
        <f t="shared" ca="1" si="2"/>
        <v>42286</v>
      </c>
      <c r="C85" s="42">
        <f t="shared" ca="1" si="3"/>
        <v>0</v>
      </c>
      <c r="J85" s="63"/>
      <c r="M85" s="63"/>
    </row>
    <row r="86" spans="1:13" x14ac:dyDescent="0.3">
      <c r="A86" s="62">
        <f t="shared" ca="1" si="1"/>
        <v>42286</v>
      </c>
      <c r="B86" s="62">
        <f t="shared" ca="1" si="2"/>
        <v>42286</v>
      </c>
      <c r="C86" s="42">
        <f t="shared" ca="1" si="3"/>
        <v>0</v>
      </c>
      <c r="J86" s="63"/>
      <c r="M86" s="63"/>
    </row>
    <row r="87" spans="1:13" x14ac:dyDescent="0.3">
      <c r="A87" s="62">
        <f t="shared" ca="1" si="1"/>
        <v>42286</v>
      </c>
      <c r="B87" s="62">
        <f t="shared" ca="1" si="2"/>
        <v>42286</v>
      </c>
      <c r="C87" s="42">
        <f t="shared" ca="1" si="3"/>
        <v>0</v>
      </c>
      <c r="J87" s="63"/>
      <c r="M87" s="63"/>
    </row>
    <row r="88" spans="1:13" x14ac:dyDescent="0.3">
      <c r="A88" s="62">
        <f t="shared" ca="1" si="1"/>
        <v>42286</v>
      </c>
      <c r="B88" s="62">
        <f t="shared" ca="1" si="2"/>
        <v>42286</v>
      </c>
      <c r="C88" s="42">
        <f t="shared" ca="1" si="3"/>
        <v>0</v>
      </c>
      <c r="J88" s="63"/>
      <c r="M88" s="63"/>
    </row>
    <row r="89" spans="1:13" x14ac:dyDescent="0.3">
      <c r="A89" s="62">
        <f t="shared" ca="1" si="1"/>
        <v>42286</v>
      </c>
      <c r="B89" s="62">
        <f t="shared" ca="1" si="2"/>
        <v>42286</v>
      </c>
      <c r="C89" s="42">
        <f t="shared" ca="1" si="3"/>
        <v>0</v>
      </c>
      <c r="J89" s="63"/>
      <c r="M89" s="63"/>
    </row>
    <row r="90" spans="1:13" x14ac:dyDescent="0.3">
      <c r="A90" s="62">
        <f t="shared" ca="1" si="1"/>
        <v>42286</v>
      </c>
      <c r="B90" s="62">
        <f t="shared" ca="1" si="2"/>
        <v>42286</v>
      </c>
      <c r="C90" s="42">
        <f t="shared" ca="1" si="3"/>
        <v>0</v>
      </c>
      <c r="J90" s="63"/>
      <c r="M90" s="63"/>
    </row>
    <row r="91" spans="1:13" x14ac:dyDescent="0.3">
      <c r="A91" s="62">
        <f t="shared" ca="1" si="1"/>
        <v>42286</v>
      </c>
      <c r="B91" s="62">
        <f t="shared" ca="1" si="2"/>
        <v>42286</v>
      </c>
      <c r="C91" s="42">
        <f t="shared" ca="1" si="3"/>
        <v>0</v>
      </c>
      <c r="J91" s="63"/>
      <c r="M91" s="63"/>
    </row>
    <row r="92" spans="1:13" x14ac:dyDescent="0.3">
      <c r="A92" s="62">
        <f t="shared" ca="1" si="1"/>
        <v>42286</v>
      </c>
      <c r="B92" s="62">
        <f t="shared" ca="1" si="2"/>
        <v>42286</v>
      </c>
      <c r="C92" s="42">
        <f t="shared" ca="1" si="3"/>
        <v>0</v>
      </c>
      <c r="J92" s="63"/>
      <c r="M92" s="63"/>
    </row>
    <row r="93" spans="1:13" x14ac:dyDescent="0.3">
      <c r="A93" s="62">
        <f t="shared" ca="1" si="1"/>
        <v>42286</v>
      </c>
      <c r="B93" s="62">
        <f t="shared" ca="1" si="2"/>
        <v>42286</v>
      </c>
      <c r="C93" s="42">
        <f t="shared" ca="1" si="3"/>
        <v>0</v>
      </c>
      <c r="J93" s="63"/>
      <c r="M93" s="63"/>
    </row>
    <row r="94" spans="1:13" x14ac:dyDescent="0.3">
      <c r="A94" s="62">
        <f t="shared" ca="1" si="1"/>
        <v>42286</v>
      </c>
      <c r="B94" s="62">
        <f t="shared" ca="1" si="2"/>
        <v>42286</v>
      </c>
      <c r="C94" s="42">
        <f t="shared" ca="1" si="3"/>
        <v>0</v>
      </c>
      <c r="J94" s="63"/>
      <c r="M94" s="63"/>
    </row>
    <row r="95" spans="1:13" x14ac:dyDescent="0.3">
      <c r="A95" s="62">
        <f t="shared" ca="1" si="1"/>
        <v>42286</v>
      </c>
      <c r="B95" s="62">
        <f t="shared" ca="1" si="2"/>
        <v>42286</v>
      </c>
      <c r="C95" s="42">
        <f t="shared" ca="1" si="3"/>
        <v>0</v>
      </c>
      <c r="J95" s="63"/>
      <c r="M95" s="63"/>
    </row>
    <row r="96" spans="1:13" x14ac:dyDescent="0.3">
      <c r="A96" s="62">
        <f t="shared" ca="1" si="1"/>
        <v>42286</v>
      </c>
      <c r="B96" s="62">
        <f t="shared" ca="1" si="2"/>
        <v>42286</v>
      </c>
      <c r="C96" s="42">
        <f t="shared" ca="1" si="3"/>
        <v>0</v>
      </c>
      <c r="J96" s="63"/>
      <c r="M96" s="63"/>
    </row>
    <row r="97" spans="1:5" x14ac:dyDescent="0.3">
      <c r="A97" s="62">
        <f t="shared" ca="1" si="1"/>
        <v>42286</v>
      </c>
      <c r="B97" s="62">
        <f t="shared" ca="1" si="2"/>
        <v>42286</v>
      </c>
      <c r="C97" s="42">
        <f t="shared" ca="1" si="3"/>
        <v>0</v>
      </c>
    </row>
    <row r="98" spans="1:5" x14ac:dyDescent="0.3">
      <c r="A98" s="62">
        <f t="shared" ca="1" si="1"/>
        <v>42286</v>
      </c>
      <c r="B98" s="62">
        <f t="shared" ca="1" si="2"/>
        <v>42286</v>
      </c>
      <c r="C98" s="42">
        <f t="shared" ca="1" si="3"/>
        <v>0</v>
      </c>
    </row>
    <row r="100" spans="1:5" x14ac:dyDescent="0.3">
      <c r="A100" s="19" t="s">
        <v>977</v>
      </c>
    </row>
    <row r="101" spans="1:5" x14ac:dyDescent="0.3">
      <c r="A101" s="62">
        <f ca="1">COUNTA(C43:C98)+(A102-1)</f>
        <v>73</v>
      </c>
      <c r="B101" s="62" t="s">
        <v>123</v>
      </c>
    </row>
    <row r="102" spans="1:5" x14ac:dyDescent="0.3">
      <c r="A102" s="62">
        <v>18</v>
      </c>
      <c r="B102" s="62" t="s">
        <v>124</v>
      </c>
    </row>
    <row r="103" spans="1:5" x14ac:dyDescent="0.3">
      <c r="A103" s="62" t="s">
        <v>125</v>
      </c>
      <c r="B103" s="62" t="s">
        <v>59</v>
      </c>
    </row>
    <row r="104" spans="1:5" x14ac:dyDescent="0.3">
      <c r="A104" s="62" t="s">
        <v>126</v>
      </c>
      <c r="B104" s="62" t="s">
        <v>72</v>
      </c>
    </row>
    <row r="105" spans="1:5" x14ac:dyDescent="0.3">
      <c r="A105" s="62" t="s">
        <v>127</v>
      </c>
      <c r="B105" s="62" t="s">
        <v>65</v>
      </c>
    </row>
    <row r="106" spans="1:5" x14ac:dyDescent="0.3">
      <c r="A106" s="62" t="s">
        <v>128</v>
      </c>
      <c r="B106" s="62" t="s">
        <v>129</v>
      </c>
    </row>
    <row r="107" spans="1:5" x14ac:dyDescent="0.3">
      <c r="A107" s="62" t="s">
        <v>130</v>
      </c>
      <c r="B107" s="62" t="s">
        <v>131</v>
      </c>
    </row>
    <row r="108" spans="1:5" x14ac:dyDescent="0.3">
      <c r="A108" s="62" t="s">
        <v>132</v>
      </c>
      <c r="B108" s="62" t="s">
        <v>133</v>
      </c>
    </row>
    <row r="109" spans="1:5" x14ac:dyDescent="0.3">
      <c r="A109" s="62" t="s">
        <v>134</v>
      </c>
      <c r="B109" s="62" t="s">
        <v>135</v>
      </c>
    </row>
    <row r="110" spans="1:5" x14ac:dyDescent="0.3">
      <c r="A110" s="62" t="s">
        <v>136</v>
      </c>
      <c r="B110" s="62" t="s">
        <v>137</v>
      </c>
    </row>
    <row r="111" spans="1:5" x14ac:dyDescent="0.3">
      <c r="A111" s="62" t="s">
        <v>140</v>
      </c>
      <c r="B111" s="62" t="s">
        <v>141</v>
      </c>
    </row>
    <row r="112" spans="1:5" x14ac:dyDescent="0.3">
      <c r="A112" s="62" t="s">
        <v>142</v>
      </c>
      <c r="B112" s="62" t="s">
        <v>143</v>
      </c>
      <c r="E112" s="62">
        <f>SUBTOTAL(3,D43:D74)</f>
        <v>0</v>
      </c>
    </row>
    <row r="113" spans="1:5" x14ac:dyDescent="0.3">
      <c r="A113" s="62" t="s">
        <v>646</v>
      </c>
      <c r="B113" s="62" t="s">
        <v>647</v>
      </c>
      <c r="C113" s="62" t="s">
        <v>623</v>
      </c>
    </row>
    <row r="114" spans="1:5" x14ac:dyDescent="0.3">
      <c r="A114" s="62" t="s">
        <v>837</v>
      </c>
      <c r="B114" s="62" t="s">
        <v>58</v>
      </c>
    </row>
    <row r="117" spans="1:5" x14ac:dyDescent="0.3">
      <c r="A117" s="19" t="s">
        <v>1056</v>
      </c>
      <c r="D117" s="62">
        <f>SUBTOTAL(3,D43:D114)</f>
        <v>0</v>
      </c>
    </row>
    <row r="120" spans="1:5" x14ac:dyDescent="0.3">
      <c r="A120" s="19" t="s">
        <v>708</v>
      </c>
    </row>
    <row r="121" spans="1:5" x14ac:dyDescent="0.3">
      <c r="A121" s="35" t="s">
        <v>976</v>
      </c>
    </row>
    <row r="122" spans="1:5" x14ac:dyDescent="0.3">
      <c r="A122" s="19" t="s">
        <v>304</v>
      </c>
    </row>
    <row r="124" spans="1:5" x14ac:dyDescent="0.3">
      <c r="C124" s="132">
        <v>75252</v>
      </c>
      <c r="D124" s="19" t="str">
        <f ca="1">HYPERLINK(CONCATENATE("https://bugzilla.houston.hpecorp.net:1181/bugzilla/show_bug.cgi?id=",MID(INDIRECT($A$114&amp;(ROW()-106)),9,5)),MID(INDIRECT($A$114&amp;(ROW()-106)),9,5))</f>
        <v>61184</v>
      </c>
      <c r="E124" s="62">
        <f>ROW()-18</f>
        <v>106</v>
      </c>
    </row>
    <row r="125" spans="1:5" x14ac:dyDescent="0.3">
      <c r="C125" s="132">
        <v>76257</v>
      </c>
      <c r="D125" s="19" t="str">
        <f t="shared" ref="D125:D188" ca="1" si="4">HYPERLINK(CONCATENATE("https://bugzilla.houston.hpecorp.net:1181/bugzilla/show_bug.cgi?id=",MID(INDIRECT($A$114&amp;(ROW()-106)),9,5)),MID(INDIRECT($A$114&amp;(ROW()-106)),9,5))</f>
        <v>67205</v>
      </c>
    </row>
    <row r="126" spans="1:5" x14ac:dyDescent="0.3">
      <c r="C126" s="132">
        <v>76875</v>
      </c>
      <c r="D126" s="19" t="str">
        <f t="shared" ca="1" si="4"/>
        <v>76841</v>
      </c>
    </row>
    <row r="127" spans="1:5" x14ac:dyDescent="0.3">
      <c r="C127" s="132">
        <v>89334</v>
      </c>
      <c r="D127" s="19" t="str">
        <f t="shared" ca="1" si="4"/>
        <v>66235</v>
      </c>
    </row>
    <row r="128" spans="1:5" x14ac:dyDescent="0.3">
      <c r="C128" s="132">
        <v>89455</v>
      </c>
      <c r="D128" s="19" t="str">
        <f t="shared" ca="1" si="4"/>
        <v>89408</v>
      </c>
    </row>
    <row r="129" spans="3:4" x14ac:dyDescent="0.3">
      <c r="C129" s="132">
        <v>89568</v>
      </c>
      <c r="D129" s="19" t="str">
        <f t="shared" ca="1" si="4"/>
        <v>88795</v>
      </c>
    </row>
    <row r="130" spans="3:4" x14ac:dyDescent="0.3">
      <c r="C130" s="42">
        <f t="shared" ref="C130:C193" ca="1" si="5">HYPERLINK(CONCATENATE($A$120&amp;INDIRECT("c"&amp;(ROW()+106))),INDIRECT("c"&amp;(ROW()+106)))</f>
        <v>0</v>
      </c>
      <c r="D130" s="19" t="str">
        <f t="shared" ca="1" si="4"/>
        <v/>
      </c>
    </row>
    <row r="131" spans="3:4" x14ac:dyDescent="0.3">
      <c r="C131" s="42">
        <f t="shared" ca="1" si="5"/>
        <v>0</v>
      </c>
      <c r="D131" s="19" t="str">
        <f t="shared" ca="1" si="4"/>
        <v/>
      </c>
    </row>
    <row r="132" spans="3:4" x14ac:dyDescent="0.3">
      <c r="C132" s="42">
        <f t="shared" ca="1" si="5"/>
        <v>0</v>
      </c>
      <c r="D132" s="19" t="str">
        <f t="shared" ca="1" si="4"/>
        <v/>
      </c>
    </row>
    <row r="133" spans="3:4" x14ac:dyDescent="0.3">
      <c r="C133" s="42">
        <f t="shared" ca="1" si="5"/>
        <v>0</v>
      </c>
      <c r="D133" s="19" t="str">
        <f t="shared" ca="1" si="4"/>
        <v/>
      </c>
    </row>
    <row r="134" spans="3:4" x14ac:dyDescent="0.3">
      <c r="C134" s="42">
        <f t="shared" ca="1" si="5"/>
        <v>0</v>
      </c>
      <c r="D134" s="19" t="str">
        <f t="shared" ca="1" si="4"/>
        <v/>
      </c>
    </row>
    <row r="135" spans="3:4" x14ac:dyDescent="0.3">
      <c r="C135" s="42">
        <f t="shared" ca="1" si="5"/>
        <v>0</v>
      </c>
      <c r="D135" s="19" t="str">
        <f t="shared" ca="1" si="4"/>
        <v/>
      </c>
    </row>
    <row r="136" spans="3:4" x14ac:dyDescent="0.3">
      <c r="C136" s="42">
        <f t="shared" ca="1" si="5"/>
        <v>0</v>
      </c>
      <c r="D136" s="19" t="str">
        <f t="shared" ca="1" si="4"/>
        <v/>
      </c>
    </row>
    <row r="137" spans="3:4" x14ac:dyDescent="0.3">
      <c r="C137" s="42">
        <f t="shared" ca="1" si="5"/>
        <v>0</v>
      </c>
      <c r="D137" s="19" t="str">
        <f t="shared" ca="1" si="4"/>
        <v/>
      </c>
    </row>
    <row r="138" spans="3:4" x14ac:dyDescent="0.3">
      <c r="C138" s="42">
        <f t="shared" ca="1" si="5"/>
        <v>0</v>
      </c>
      <c r="D138" s="19" t="str">
        <f t="shared" ca="1" si="4"/>
        <v/>
      </c>
    </row>
    <row r="139" spans="3:4" x14ac:dyDescent="0.3">
      <c r="C139" s="42">
        <f t="shared" ca="1" si="5"/>
        <v>0</v>
      </c>
      <c r="D139" s="19" t="str">
        <f t="shared" ca="1" si="4"/>
        <v/>
      </c>
    </row>
    <row r="140" spans="3:4" x14ac:dyDescent="0.3">
      <c r="C140" s="42">
        <f t="shared" ca="1" si="5"/>
        <v>0</v>
      </c>
      <c r="D140" s="19" t="str">
        <f t="shared" ca="1" si="4"/>
        <v/>
      </c>
    </row>
    <row r="141" spans="3:4" x14ac:dyDescent="0.3">
      <c r="C141" s="42">
        <f t="shared" ca="1" si="5"/>
        <v>0</v>
      </c>
      <c r="D141" s="19" t="str">
        <f t="shared" ca="1" si="4"/>
        <v/>
      </c>
    </row>
    <row r="142" spans="3:4" x14ac:dyDescent="0.3">
      <c r="C142" s="42">
        <f t="shared" ca="1" si="5"/>
        <v>0</v>
      </c>
      <c r="D142" s="19" t="str">
        <f t="shared" ca="1" si="4"/>
        <v/>
      </c>
    </row>
    <row r="143" spans="3:4" x14ac:dyDescent="0.3">
      <c r="C143" s="42">
        <f t="shared" ca="1" si="5"/>
        <v>0</v>
      </c>
      <c r="D143" s="19" t="str">
        <f t="shared" ca="1" si="4"/>
        <v/>
      </c>
    </row>
    <row r="144" spans="3:4" x14ac:dyDescent="0.3">
      <c r="C144" s="42">
        <f t="shared" ca="1" si="5"/>
        <v>0</v>
      </c>
      <c r="D144" s="19" t="str">
        <f t="shared" ca="1" si="4"/>
        <v/>
      </c>
    </row>
    <row r="145" spans="3:4" x14ac:dyDescent="0.3">
      <c r="C145" s="42">
        <f t="shared" ca="1" si="5"/>
        <v>0</v>
      </c>
      <c r="D145" s="19" t="str">
        <f t="shared" ca="1" si="4"/>
        <v/>
      </c>
    </row>
    <row r="146" spans="3:4" x14ac:dyDescent="0.3">
      <c r="C146" s="42">
        <f t="shared" ca="1" si="5"/>
        <v>0</v>
      </c>
      <c r="D146" s="19" t="str">
        <f t="shared" ca="1" si="4"/>
        <v/>
      </c>
    </row>
    <row r="147" spans="3:4" x14ac:dyDescent="0.3">
      <c r="C147" s="42">
        <f t="shared" ca="1" si="5"/>
        <v>0</v>
      </c>
      <c r="D147" s="19" t="str">
        <f t="shared" ca="1" si="4"/>
        <v/>
      </c>
    </row>
    <row r="148" spans="3:4" x14ac:dyDescent="0.3">
      <c r="C148" s="42">
        <f t="shared" ca="1" si="5"/>
        <v>0</v>
      </c>
      <c r="D148" s="19" t="str">
        <f t="shared" ca="1" si="4"/>
        <v/>
      </c>
    </row>
    <row r="149" spans="3:4" x14ac:dyDescent="0.3">
      <c r="C149" s="42">
        <f t="shared" ca="1" si="5"/>
        <v>0</v>
      </c>
      <c r="D149" s="19" t="str">
        <f t="shared" ca="1" si="4"/>
        <v/>
      </c>
    </row>
    <row r="150" spans="3:4" x14ac:dyDescent="0.3">
      <c r="C150" s="42">
        <f t="shared" ca="1" si="5"/>
        <v>0</v>
      </c>
      <c r="D150" s="19" t="str">
        <f t="shared" ca="1" si="4"/>
        <v/>
      </c>
    </row>
    <row r="151" spans="3:4" x14ac:dyDescent="0.3">
      <c r="C151" s="42">
        <f t="shared" ca="1" si="5"/>
        <v>0</v>
      </c>
      <c r="D151" s="19" t="str">
        <f t="shared" ca="1" si="4"/>
        <v/>
      </c>
    </row>
    <row r="152" spans="3:4" x14ac:dyDescent="0.3">
      <c r="C152" s="42">
        <f t="shared" ca="1" si="5"/>
        <v>0</v>
      </c>
      <c r="D152" s="19" t="str">
        <f t="shared" ca="1" si="4"/>
        <v/>
      </c>
    </row>
    <row r="153" spans="3:4" x14ac:dyDescent="0.3">
      <c r="C153" s="42">
        <f t="shared" ca="1" si="5"/>
        <v>0</v>
      </c>
      <c r="D153" s="19" t="str">
        <f t="shared" ca="1" si="4"/>
        <v/>
      </c>
    </row>
    <row r="154" spans="3:4" x14ac:dyDescent="0.3">
      <c r="C154" s="42">
        <f t="shared" ca="1" si="5"/>
        <v>0</v>
      </c>
      <c r="D154" s="19" t="str">
        <f t="shared" ca="1" si="4"/>
        <v/>
      </c>
    </row>
    <row r="155" spans="3:4" x14ac:dyDescent="0.3">
      <c r="C155" s="42">
        <f t="shared" ca="1" si="5"/>
        <v>0</v>
      </c>
      <c r="D155" s="19" t="str">
        <f t="shared" ca="1" si="4"/>
        <v/>
      </c>
    </row>
    <row r="156" spans="3:4" x14ac:dyDescent="0.3">
      <c r="C156" s="42">
        <f t="shared" ca="1" si="5"/>
        <v>0</v>
      </c>
      <c r="D156" s="19" t="str">
        <f t="shared" ca="1" si="4"/>
        <v/>
      </c>
    </row>
    <row r="157" spans="3:4" x14ac:dyDescent="0.3">
      <c r="C157" s="42">
        <f t="shared" ca="1" si="5"/>
        <v>0</v>
      </c>
      <c r="D157" s="19" t="str">
        <f t="shared" ca="1" si="4"/>
        <v/>
      </c>
    </row>
    <row r="158" spans="3:4" x14ac:dyDescent="0.3">
      <c r="C158" s="42">
        <f t="shared" ca="1" si="5"/>
        <v>0</v>
      </c>
      <c r="D158" s="19" t="str">
        <f t="shared" ca="1" si="4"/>
        <v/>
      </c>
    </row>
    <row r="159" spans="3:4" x14ac:dyDescent="0.3">
      <c r="C159" s="42">
        <f t="shared" ca="1" si="5"/>
        <v>0</v>
      </c>
      <c r="D159" s="19" t="str">
        <f t="shared" ca="1" si="4"/>
        <v/>
      </c>
    </row>
    <row r="160" spans="3:4" x14ac:dyDescent="0.3">
      <c r="C160" s="42">
        <f t="shared" ca="1" si="5"/>
        <v>0</v>
      </c>
      <c r="D160" s="19" t="str">
        <f t="shared" ca="1" si="4"/>
        <v/>
      </c>
    </row>
    <row r="161" spans="3:4" x14ac:dyDescent="0.3">
      <c r="C161" s="42">
        <f t="shared" ca="1" si="5"/>
        <v>0</v>
      </c>
      <c r="D161" s="19" t="str">
        <f t="shared" ca="1" si="4"/>
        <v/>
      </c>
    </row>
    <row r="162" spans="3:4" x14ac:dyDescent="0.3">
      <c r="C162" s="42">
        <f t="shared" ca="1" si="5"/>
        <v>0</v>
      </c>
      <c r="D162" s="19" t="str">
        <f t="shared" ca="1" si="4"/>
        <v/>
      </c>
    </row>
    <row r="163" spans="3:4" x14ac:dyDescent="0.3">
      <c r="C163" s="42">
        <f t="shared" ca="1" si="5"/>
        <v>0</v>
      </c>
      <c r="D163" s="19" t="str">
        <f t="shared" ca="1" si="4"/>
        <v/>
      </c>
    </row>
    <row r="164" spans="3:4" x14ac:dyDescent="0.3">
      <c r="C164" s="42">
        <f t="shared" ca="1" si="5"/>
        <v>0</v>
      </c>
      <c r="D164" s="19" t="str">
        <f t="shared" ca="1" si="4"/>
        <v/>
      </c>
    </row>
    <row r="165" spans="3:4" x14ac:dyDescent="0.3">
      <c r="C165" s="42">
        <f t="shared" ca="1" si="5"/>
        <v>0</v>
      </c>
      <c r="D165" s="19" t="str">
        <f t="shared" ca="1" si="4"/>
        <v/>
      </c>
    </row>
    <row r="166" spans="3:4" x14ac:dyDescent="0.3">
      <c r="C166" s="42">
        <f t="shared" ca="1" si="5"/>
        <v>0</v>
      </c>
      <c r="D166" s="19" t="str">
        <f t="shared" ca="1" si="4"/>
        <v/>
      </c>
    </row>
    <row r="167" spans="3:4" x14ac:dyDescent="0.3">
      <c r="C167" s="42">
        <f t="shared" ca="1" si="5"/>
        <v>0</v>
      </c>
      <c r="D167" s="19" t="str">
        <f t="shared" ca="1" si="4"/>
        <v/>
      </c>
    </row>
    <row r="168" spans="3:4" x14ac:dyDescent="0.3">
      <c r="C168" s="42">
        <f t="shared" ca="1" si="5"/>
        <v>0</v>
      </c>
      <c r="D168" s="19" t="str">
        <f t="shared" ca="1" si="4"/>
        <v/>
      </c>
    </row>
    <row r="169" spans="3:4" x14ac:dyDescent="0.3">
      <c r="C169" s="42">
        <f t="shared" ca="1" si="5"/>
        <v>0</v>
      </c>
      <c r="D169" s="19" t="str">
        <f t="shared" ca="1" si="4"/>
        <v/>
      </c>
    </row>
    <row r="170" spans="3:4" x14ac:dyDescent="0.3">
      <c r="C170" s="42">
        <f t="shared" ca="1" si="5"/>
        <v>0</v>
      </c>
      <c r="D170" s="19" t="str">
        <f t="shared" ca="1" si="4"/>
        <v/>
      </c>
    </row>
    <row r="171" spans="3:4" x14ac:dyDescent="0.3">
      <c r="C171" s="42">
        <f t="shared" ca="1" si="5"/>
        <v>0</v>
      </c>
      <c r="D171" s="19" t="str">
        <f t="shared" ca="1" si="4"/>
        <v/>
      </c>
    </row>
    <row r="172" spans="3:4" x14ac:dyDescent="0.3">
      <c r="C172" s="42">
        <f t="shared" ca="1" si="5"/>
        <v>0</v>
      </c>
      <c r="D172" s="19" t="str">
        <f t="shared" ca="1" si="4"/>
        <v/>
      </c>
    </row>
    <row r="173" spans="3:4" x14ac:dyDescent="0.3">
      <c r="C173" s="42">
        <f t="shared" ca="1" si="5"/>
        <v>0</v>
      </c>
      <c r="D173" s="19" t="str">
        <f t="shared" ca="1" si="4"/>
        <v/>
      </c>
    </row>
    <row r="174" spans="3:4" x14ac:dyDescent="0.3">
      <c r="C174" s="42">
        <f t="shared" ca="1" si="5"/>
        <v>0</v>
      </c>
      <c r="D174" s="19" t="str">
        <f t="shared" ca="1" si="4"/>
        <v/>
      </c>
    </row>
    <row r="175" spans="3:4" x14ac:dyDescent="0.3">
      <c r="C175" s="42">
        <f t="shared" ca="1" si="5"/>
        <v>0</v>
      </c>
      <c r="D175" s="19" t="str">
        <f t="shared" ca="1" si="4"/>
        <v/>
      </c>
    </row>
    <row r="176" spans="3:4" x14ac:dyDescent="0.3">
      <c r="C176" s="42">
        <f t="shared" ca="1" si="5"/>
        <v>0</v>
      </c>
      <c r="D176" s="19" t="str">
        <f t="shared" ca="1" si="4"/>
        <v/>
      </c>
    </row>
    <row r="177" spans="3:4" x14ac:dyDescent="0.3">
      <c r="C177" s="42">
        <f t="shared" ca="1" si="5"/>
        <v>0</v>
      </c>
      <c r="D177" s="19" t="str">
        <f t="shared" ca="1" si="4"/>
        <v/>
      </c>
    </row>
    <row r="178" spans="3:4" x14ac:dyDescent="0.3">
      <c r="C178" s="42">
        <f t="shared" ca="1" si="5"/>
        <v>0</v>
      </c>
      <c r="D178" s="19" t="str">
        <f t="shared" ca="1" si="4"/>
        <v/>
      </c>
    </row>
    <row r="179" spans="3:4" x14ac:dyDescent="0.3">
      <c r="C179" s="42">
        <f t="shared" ca="1" si="5"/>
        <v>0</v>
      </c>
      <c r="D179" s="19" t="str">
        <f t="shared" ca="1" si="4"/>
        <v/>
      </c>
    </row>
    <row r="180" spans="3:4" x14ac:dyDescent="0.3">
      <c r="C180" s="42">
        <f t="shared" ca="1" si="5"/>
        <v>0</v>
      </c>
      <c r="D180" s="19" t="str">
        <f t="shared" ca="1" si="4"/>
        <v/>
      </c>
    </row>
    <row r="181" spans="3:4" x14ac:dyDescent="0.3">
      <c r="C181" s="42">
        <f t="shared" ca="1" si="5"/>
        <v>0</v>
      </c>
      <c r="D181" s="19" t="str">
        <f t="shared" ca="1" si="4"/>
        <v/>
      </c>
    </row>
    <row r="182" spans="3:4" x14ac:dyDescent="0.3">
      <c r="C182" s="42">
        <f t="shared" ca="1" si="5"/>
        <v>0</v>
      </c>
      <c r="D182" s="19" t="str">
        <f t="shared" ca="1" si="4"/>
        <v/>
      </c>
    </row>
    <row r="183" spans="3:4" x14ac:dyDescent="0.3">
      <c r="C183" s="42">
        <f t="shared" ca="1" si="5"/>
        <v>0</v>
      </c>
      <c r="D183" s="19" t="str">
        <f t="shared" ca="1" si="4"/>
        <v/>
      </c>
    </row>
    <row r="184" spans="3:4" x14ac:dyDescent="0.3">
      <c r="C184" s="42">
        <f t="shared" ca="1" si="5"/>
        <v>0</v>
      </c>
      <c r="D184" s="19" t="str">
        <f t="shared" ca="1" si="4"/>
        <v/>
      </c>
    </row>
    <row r="185" spans="3:4" x14ac:dyDescent="0.3">
      <c r="C185" s="42">
        <f t="shared" ca="1" si="5"/>
        <v>0</v>
      </c>
      <c r="D185" s="19" t="str">
        <f t="shared" ca="1" si="4"/>
        <v/>
      </c>
    </row>
    <row r="186" spans="3:4" x14ac:dyDescent="0.3">
      <c r="C186" s="42">
        <f t="shared" ca="1" si="5"/>
        <v>0</v>
      </c>
      <c r="D186" s="19" t="str">
        <f t="shared" ca="1" si="4"/>
        <v/>
      </c>
    </row>
    <row r="187" spans="3:4" x14ac:dyDescent="0.3">
      <c r="C187" s="42">
        <f t="shared" ca="1" si="5"/>
        <v>0</v>
      </c>
      <c r="D187" s="19" t="str">
        <f t="shared" ca="1" si="4"/>
        <v/>
      </c>
    </row>
    <row r="188" spans="3:4" x14ac:dyDescent="0.3">
      <c r="C188" s="42">
        <f t="shared" ca="1" si="5"/>
        <v>0</v>
      </c>
      <c r="D188" s="19" t="str">
        <f t="shared" ca="1" si="4"/>
        <v/>
      </c>
    </row>
    <row r="189" spans="3:4" x14ac:dyDescent="0.3">
      <c r="C189" s="42">
        <f t="shared" ca="1" si="5"/>
        <v>0</v>
      </c>
      <c r="D189" s="19" t="str">
        <f t="shared" ref="D189:D200" ca="1" si="6">HYPERLINK(CONCATENATE("https://bugzilla.houston.hpecorp.net:1181/bugzilla/show_bug.cgi?id=",MID(INDIRECT($A$114&amp;(ROW()-106)),9,5)),MID(INDIRECT($A$114&amp;(ROW()-106)),9,5))</f>
        <v/>
      </c>
    </row>
    <row r="190" spans="3:4" x14ac:dyDescent="0.3">
      <c r="C190" s="42">
        <f t="shared" ca="1" si="5"/>
        <v>0</v>
      </c>
      <c r="D190" s="19" t="str">
        <f t="shared" ca="1" si="6"/>
        <v/>
      </c>
    </row>
    <row r="191" spans="3:4" x14ac:dyDescent="0.3">
      <c r="C191" s="42">
        <f t="shared" ca="1" si="5"/>
        <v>0</v>
      </c>
      <c r="D191" s="19" t="str">
        <f t="shared" ca="1" si="6"/>
        <v/>
      </c>
    </row>
    <row r="192" spans="3:4" x14ac:dyDescent="0.3">
      <c r="C192" s="42">
        <f t="shared" ca="1" si="5"/>
        <v>0</v>
      </c>
      <c r="D192" s="19" t="str">
        <f t="shared" ca="1" si="6"/>
        <v/>
      </c>
    </row>
    <row r="193" spans="3:4" x14ac:dyDescent="0.3">
      <c r="C193" s="42">
        <f t="shared" ca="1" si="5"/>
        <v>0</v>
      </c>
      <c r="D193" s="19" t="str">
        <f t="shared" ca="1" si="6"/>
        <v/>
      </c>
    </row>
    <row r="194" spans="3:4" x14ac:dyDescent="0.3">
      <c r="C194" s="42">
        <f t="shared" ref="C194:C204" ca="1" si="7">HYPERLINK(CONCATENATE($A$120&amp;INDIRECT("c"&amp;(ROW()+106))),INDIRECT("c"&amp;(ROW()+106)))</f>
        <v>0</v>
      </c>
      <c r="D194" s="19" t="str">
        <f t="shared" ca="1" si="6"/>
        <v/>
      </c>
    </row>
    <row r="195" spans="3:4" x14ac:dyDescent="0.3">
      <c r="C195" s="42">
        <f t="shared" ca="1" si="7"/>
        <v>0</v>
      </c>
      <c r="D195" s="19" t="str">
        <f t="shared" ca="1" si="6"/>
        <v/>
      </c>
    </row>
    <row r="196" spans="3:4" x14ac:dyDescent="0.3">
      <c r="C196" s="42">
        <f t="shared" ca="1" si="7"/>
        <v>0</v>
      </c>
      <c r="D196" s="19" t="str">
        <f t="shared" ca="1" si="6"/>
        <v/>
      </c>
    </row>
    <row r="197" spans="3:4" x14ac:dyDescent="0.3">
      <c r="C197" s="42">
        <f t="shared" ca="1" si="7"/>
        <v>0</v>
      </c>
      <c r="D197" s="19" t="str">
        <f t="shared" ca="1" si="6"/>
        <v/>
      </c>
    </row>
    <row r="198" spans="3:4" x14ac:dyDescent="0.3">
      <c r="C198" s="42">
        <f t="shared" ca="1" si="7"/>
        <v>0</v>
      </c>
      <c r="D198" s="19" t="str">
        <f t="shared" ca="1" si="6"/>
        <v/>
      </c>
    </row>
    <row r="199" spans="3:4" x14ac:dyDescent="0.3">
      <c r="C199" s="42">
        <f t="shared" ca="1" si="7"/>
        <v>0</v>
      </c>
      <c r="D199" s="19" t="str">
        <f t="shared" ca="1" si="6"/>
        <v/>
      </c>
    </row>
    <row r="200" spans="3:4" x14ac:dyDescent="0.3">
      <c r="C200" s="42">
        <f t="shared" ca="1" si="7"/>
        <v>0</v>
      </c>
      <c r="D200" s="19" t="str">
        <f t="shared" ca="1" si="6"/>
        <v/>
      </c>
    </row>
    <row r="201" spans="3:4" x14ac:dyDescent="0.3">
      <c r="C201" s="42">
        <f t="shared" ca="1" si="7"/>
        <v>0</v>
      </c>
    </row>
    <row r="202" spans="3:4" x14ac:dyDescent="0.3">
      <c r="C202" s="42">
        <f t="shared" ca="1" si="7"/>
        <v>0</v>
      </c>
    </row>
    <row r="203" spans="3:4" x14ac:dyDescent="0.3">
      <c r="C203" s="42">
        <f t="shared" ca="1" si="7"/>
        <v>0</v>
      </c>
    </row>
    <row r="204" spans="3:4" x14ac:dyDescent="0.3">
      <c r="C204" s="42">
        <f t="shared" ca="1" si="7"/>
        <v>0</v>
      </c>
    </row>
  </sheetData>
  <autoFilter ref="A17:AG98"/>
  <conditionalFormatting sqref="C18:C98">
    <cfRule type="expression" dxfId="229" priority="739">
      <formula>IF(FIND("Denied",V18),1,0)</formula>
    </cfRule>
    <cfRule type="expression" dxfId="228" priority="740">
      <formula>IF(FIND("Director",V18,11),1,0)</formula>
    </cfRule>
    <cfRule type="expression" dxfId="227" priority="741">
      <formula>IF(FIND("Approve",V18),1,0)</formula>
    </cfRule>
    <cfRule type="expression" dxfId="226" priority="742">
      <formula>IF(FIND("Request",V18),1,0)</formula>
    </cfRule>
    <cfRule type="expression" dxfId="225" priority="743">
      <formula>IF(FIND("Requested",AE18),1,0)</formula>
    </cfRule>
    <cfRule type="expression" dxfId="224" priority="744">
      <formula>IF(V18="---",IF(Z18="---",1,0),0)</formula>
    </cfRule>
  </conditionalFormatting>
  <conditionalFormatting sqref="C124:C204">
    <cfRule type="expression" dxfId="223" priority="1">
      <formula>IF(FIND("Denied",V124),1,0)</formula>
    </cfRule>
    <cfRule type="expression" dxfId="222" priority="2">
      <formula>IF(FIND("Director",V124,11),1,0)</formula>
    </cfRule>
    <cfRule type="expression" dxfId="221" priority="3">
      <formula>IF(FIND("Approve",V124),1,0)</formula>
    </cfRule>
    <cfRule type="expression" dxfId="220" priority="4">
      <formula>IF(FIND("Request",V124),1,0)</formula>
    </cfRule>
    <cfRule type="expression" dxfId="219" priority="5">
      <formula>IF(FIND("Requested",AE124),1,0)</formula>
    </cfRule>
    <cfRule type="expression" dxfId="218" priority="6">
      <formula>IF(V124="---",IF(Z124="---",1,0),0)</formula>
    </cfRule>
  </conditionalFormatting>
  <hyperlinks>
    <hyperlink ref="A117" r:id="rId1"/>
    <hyperlink ref="A120" r:id="rId2"/>
    <hyperlink ref="A122" location="RedZoneAtlasMaint!C18" display="C18"/>
    <hyperlink ref="A100" location="RedZoneAtlasMaint!C124" display="c124"/>
    <hyperlink ref="N15" location="RedZone!C100" display="c100"/>
  </hyperlinks>
  <pageMargins left="0.25" right="0.25" top="0.75" bottom="0.75" header="0.3" footer="0.3"/>
  <pageSetup scale="25" fitToHeight="0"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8433" r:id="rId6" name="Button 1">
              <controlPr defaultSize="0" print="0" autoFill="0" autoPict="0" macro="[0]!RedZoneStatusSetup">
                <anchor moveWithCells="1" sizeWithCells="1">
                  <from>
                    <xdr:col>12</xdr:col>
                    <xdr:colOff>76200</xdr:colOff>
                    <xdr:row>13</xdr:row>
                    <xdr:rowOff>167640</xdr:rowOff>
                  </from>
                  <to>
                    <xdr:col>12</xdr:col>
                    <xdr:colOff>1043940</xdr:colOff>
                    <xdr:row>15</xdr:row>
                    <xdr:rowOff>0</xdr:rowOff>
                  </to>
                </anchor>
              </controlPr>
            </control>
          </mc:Choice>
        </mc:AlternateContent>
        <mc:AlternateContent xmlns:mc="http://schemas.openxmlformats.org/markup-compatibility/2006">
          <mc:Choice Requires="x14">
            <control shapeId="18434" r:id="rId7" name="Button 2">
              <controlPr defaultSize="0" print="0" autoFill="0" autoPict="0" macro="[0]!RedZoneStatusSetup">
                <anchor moveWithCells="1" sizeWithCells="1">
                  <from>
                    <xdr:col>6</xdr:col>
                    <xdr:colOff>0</xdr:colOff>
                    <xdr:row>14</xdr:row>
                    <xdr:rowOff>0</xdr:rowOff>
                  </from>
                  <to>
                    <xdr:col>7</xdr:col>
                    <xdr:colOff>167640</xdr:colOff>
                    <xdr:row>15</xdr:row>
                    <xdr:rowOff>15240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40"/>
  <sheetViews>
    <sheetView topLeftCell="B1" workbookViewId="0">
      <selection activeCell="C1" sqref="C1:C4"/>
    </sheetView>
  </sheetViews>
  <sheetFormatPr defaultRowHeight="14.4" x14ac:dyDescent="0.3"/>
  <cols>
    <col min="2" max="2" width="43.109375" bestFit="1" customWidth="1"/>
    <col min="3" max="3" width="128" customWidth="1"/>
  </cols>
  <sheetData>
    <row r="1" spans="2:3" x14ac:dyDescent="0.3">
      <c r="C1" s="91" t="s">
        <v>1180</v>
      </c>
    </row>
    <row r="2" spans="2:3" x14ac:dyDescent="0.3">
      <c r="B2" s="88" t="s">
        <v>1099</v>
      </c>
      <c r="C2" s="91" t="s">
        <v>1181</v>
      </c>
    </row>
    <row r="3" spans="2:3" ht="115.2" x14ac:dyDescent="0.3">
      <c r="B3" s="88" t="s">
        <v>1122</v>
      </c>
      <c r="C3" s="31" t="s">
        <v>1211</v>
      </c>
    </row>
    <row r="4" spans="2:3" ht="63" x14ac:dyDescent="0.3">
      <c r="B4" s="89" t="s">
        <v>1098</v>
      </c>
      <c r="C4" s="105" t="s">
        <v>1182</v>
      </c>
    </row>
    <row r="5" spans="2:3" x14ac:dyDescent="0.3">
      <c r="B5" s="89" t="s">
        <v>1150</v>
      </c>
      <c r="C5" s="98"/>
    </row>
    <row r="6" spans="2:3" ht="21" x14ac:dyDescent="0.3">
      <c r="B6" s="89"/>
      <c r="C6" s="99"/>
    </row>
    <row r="7" spans="2:3" x14ac:dyDescent="0.3">
      <c r="B7" s="89"/>
      <c r="C7" s="98"/>
    </row>
    <row r="8" spans="2:3" ht="21" x14ac:dyDescent="0.3">
      <c r="B8" s="89" t="s">
        <v>1151</v>
      </c>
      <c r="C8" s="99"/>
    </row>
    <row r="9" spans="2:3" x14ac:dyDescent="0.3">
      <c r="B9" s="90" t="s">
        <v>1152</v>
      </c>
    </row>
    <row r="10" spans="2:3" x14ac:dyDescent="0.3">
      <c r="B10" s="89"/>
    </row>
    <row r="11" spans="2:3" x14ac:dyDescent="0.3">
      <c r="B11" s="89" t="s">
        <v>1153</v>
      </c>
    </row>
    <row r="13" spans="2:3" x14ac:dyDescent="0.3">
      <c r="B13" s="76" t="s">
        <v>1123</v>
      </c>
    </row>
    <row r="14" spans="2:3" x14ac:dyDescent="0.3">
      <c r="B14" s="77" t="s">
        <v>1124</v>
      </c>
    </row>
    <row r="15" spans="2:3" x14ac:dyDescent="0.3">
      <c r="B15" s="78" t="s">
        <v>1125</v>
      </c>
    </row>
    <row r="16" spans="2:3" x14ac:dyDescent="0.3">
      <c r="B16" s="79" t="s">
        <v>1126</v>
      </c>
    </row>
    <row r="17" spans="1:3" x14ac:dyDescent="0.3">
      <c r="B17" s="80" t="s">
        <v>1127</v>
      </c>
    </row>
    <row r="18" spans="1:3" x14ac:dyDescent="0.3">
      <c r="B18" s="36" t="s">
        <v>1128</v>
      </c>
    </row>
    <row r="19" spans="1:3" x14ac:dyDescent="0.3">
      <c r="B19" t="s">
        <v>1129</v>
      </c>
    </row>
    <row r="20" spans="1:3" x14ac:dyDescent="0.3">
      <c r="A20" s="75" t="s">
        <v>145</v>
      </c>
      <c r="B20" s="75" t="s">
        <v>57</v>
      </c>
      <c r="C20" s="75" t="s">
        <v>58</v>
      </c>
    </row>
    <row r="21" spans="1:3" x14ac:dyDescent="0.3">
      <c r="A21" s="42">
        <v>75649</v>
      </c>
      <c r="B21" s="75" t="s">
        <v>1016</v>
      </c>
      <c r="C21" s="76" t="s">
        <v>1070</v>
      </c>
    </row>
    <row r="22" spans="1:3" x14ac:dyDescent="0.3">
      <c r="A22" s="42">
        <v>76599</v>
      </c>
      <c r="B22" s="75" t="s">
        <v>695</v>
      </c>
      <c r="C22" s="39" t="s">
        <v>719</v>
      </c>
    </row>
    <row r="23" spans="1:3" x14ac:dyDescent="0.3">
      <c r="A23" s="42">
        <v>78171</v>
      </c>
      <c r="B23" s="75" t="s">
        <v>995</v>
      </c>
      <c r="C23" s="39" t="s">
        <v>1001</v>
      </c>
    </row>
    <row r="24" spans="1:3" x14ac:dyDescent="0.3">
      <c r="A24" s="42">
        <v>78319</v>
      </c>
      <c r="B24" s="75" t="s">
        <v>826</v>
      </c>
      <c r="C24" s="79" t="s">
        <v>1100</v>
      </c>
    </row>
    <row r="25" spans="1:3" x14ac:dyDescent="0.3">
      <c r="A25" s="42">
        <v>81961</v>
      </c>
      <c r="B25" s="75" t="s">
        <v>336</v>
      </c>
      <c r="C25" s="78" t="s">
        <v>1082</v>
      </c>
    </row>
    <row r="26" spans="1:3" x14ac:dyDescent="0.3">
      <c r="A26" s="42">
        <v>82177</v>
      </c>
      <c r="B26" s="75" t="s">
        <v>336</v>
      </c>
      <c r="C26" s="78" t="s">
        <v>1090</v>
      </c>
    </row>
    <row r="27" spans="1:3" x14ac:dyDescent="0.3">
      <c r="A27" s="42">
        <v>82372</v>
      </c>
      <c r="B27" s="75" t="s">
        <v>695</v>
      </c>
      <c r="C27" s="75" t="s">
        <v>1097</v>
      </c>
    </row>
    <row r="28" spans="1:3" x14ac:dyDescent="0.3">
      <c r="A28" s="42">
        <v>82978</v>
      </c>
      <c r="B28" s="75" t="s">
        <v>564</v>
      </c>
      <c r="C28" s="75" t="s">
        <v>1104</v>
      </c>
    </row>
    <row r="29" spans="1:3" x14ac:dyDescent="0.3">
      <c r="A29" s="42">
        <v>83111</v>
      </c>
      <c r="B29" s="75" t="s">
        <v>581</v>
      </c>
      <c r="C29" s="78" t="s">
        <v>1105</v>
      </c>
    </row>
    <row r="30" spans="1:3" x14ac:dyDescent="0.3">
      <c r="A30" s="42">
        <v>83169</v>
      </c>
      <c r="B30" s="75" t="s">
        <v>331</v>
      </c>
      <c r="C30" s="75" t="s">
        <v>1108</v>
      </c>
    </row>
    <row r="31" spans="1:3" x14ac:dyDescent="0.3">
      <c r="A31" s="42">
        <v>83335</v>
      </c>
      <c r="B31" s="75" t="s">
        <v>1017</v>
      </c>
      <c r="C31" s="76" t="s">
        <v>1109</v>
      </c>
    </row>
    <row r="32" spans="1:3" x14ac:dyDescent="0.3">
      <c r="A32" s="42">
        <v>83440</v>
      </c>
      <c r="B32" s="75" t="s">
        <v>332</v>
      </c>
      <c r="C32" s="36" t="s">
        <v>1110</v>
      </c>
    </row>
    <row r="33" spans="1:3" x14ac:dyDescent="0.3">
      <c r="A33" s="42">
        <v>83535</v>
      </c>
      <c r="B33" s="75" t="s">
        <v>343</v>
      </c>
      <c r="C33" s="78" t="s">
        <v>1116</v>
      </c>
    </row>
    <row r="34" spans="1:3" x14ac:dyDescent="0.3">
      <c r="A34" s="42">
        <v>83635</v>
      </c>
      <c r="B34" s="75" t="s">
        <v>597</v>
      </c>
      <c r="C34" s="80" t="s">
        <v>1112</v>
      </c>
    </row>
    <row r="35" spans="1:3" x14ac:dyDescent="0.3">
      <c r="A35" s="42">
        <v>83644</v>
      </c>
      <c r="B35" s="75" t="s">
        <v>336</v>
      </c>
      <c r="C35" s="75" t="s">
        <v>1113</v>
      </c>
    </row>
    <row r="36" spans="1:3" x14ac:dyDescent="0.3">
      <c r="A36" s="42">
        <v>83701</v>
      </c>
      <c r="B36" s="75" t="s">
        <v>1016</v>
      </c>
      <c r="C36" s="80" t="s">
        <v>1114</v>
      </c>
    </row>
    <row r="37" spans="1:3" x14ac:dyDescent="0.3">
      <c r="A37" s="42">
        <v>83822</v>
      </c>
      <c r="B37" s="75" t="s">
        <v>342</v>
      </c>
      <c r="C37" s="76" t="s">
        <v>1117</v>
      </c>
    </row>
    <row r="38" spans="1:3" x14ac:dyDescent="0.3">
      <c r="A38" s="42">
        <v>83971</v>
      </c>
      <c r="B38" s="75" t="s">
        <v>1003</v>
      </c>
      <c r="C38" s="77" t="s">
        <v>1119</v>
      </c>
    </row>
    <row r="39" spans="1:3" x14ac:dyDescent="0.3">
      <c r="A39" s="42">
        <v>84065</v>
      </c>
      <c r="B39" s="75" t="s">
        <v>581</v>
      </c>
      <c r="C39" s="75" t="s">
        <v>1120</v>
      </c>
    </row>
    <row r="40" spans="1:3" x14ac:dyDescent="0.3">
      <c r="A40" s="42">
        <v>84068</v>
      </c>
      <c r="B40" s="75" t="s">
        <v>596</v>
      </c>
      <c r="C40" s="76" t="s">
        <v>1121</v>
      </c>
    </row>
  </sheetData>
  <conditionalFormatting sqref="A21:A40">
    <cfRule type="expression" dxfId="217" priority="1">
      <formula>IF(FIND("Denied",T21),1,0)</formula>
    </cfRule>
    <cfRule type="expression" dxfId="216" priority="2">
      <formula>IF(FIND("Director",T21,11),1,0)</formula>
    </cfRule>
    <cfRule type="expression" dxfId="215" priority="3">
      <formula>IF(FIND("Approve",T21),1,0)</formula>
    </cfRule>
    <cfRule type="expression" dxfId="214" priority="4">
      <formula>IF(FIND("Request",T21),1,0)</formula>
    </cfRule>
    <cfRule type="expression" dxfId="213" priority="5">
      <formula>IF(FIND("Requested",AC21),1,0)</formula>
    </cfRule>
    <cfRule type="expression" dxfId="212" priority="6">
      <formula>IF(T21="---",IF(X21="---",1,0),0)</formula>
    </cfRule>
  </conditionalFormatting>
  <hyperlinks>
    <hyperlink ref="C1" location="Sumry" display="Sumry"/>
    <hyperlink ref="C2" location="TwoWk" display="TwoWk"/>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A90"/>
  <sheetViews>
    <sheetView topLeftCell="A55" zoomScale="60" zoomScaleNormal="60" workbookViewId="0">
      <selection activeCell="J99" sqref="J99"/>
    </sheetView>
  </sheetViews>
  <sheetFormatPr defaultRowHeight="14.4" x14ac:dyDescent="0.3"/>
  <cols>
    <col min="1" max="1" width="8.88671875" style="117"/>
  </cols>
  <sheetData>
    <row r="1" spans="1:4" x14ac:dyDescent="0.3">
      <c r="B1" s="117" t="s">
        <v>145</v>
      </c>
      <c r="C1" s="117" t="s">
        <v>57</v>
      </c>
      <c r="D1" s="117" t="s">
        <v>58</v>
      </c>
    </row>
    <row r="2" spans="1:4" x14ac:dyDescent="0.3">
      <c r="A2" s="117" t="s">
        <v>1217</v>
      </c>
      <c r="B2" s="42">
        <v>76599</v>
      </c>
      <c r="C2" s="117" t="s">
        <v>695</v>
      </c>
      <c r="D2" s="117" t="s">
        <v>719</v>
      </c>
    </row>
    <row r="3" spans="1:4" x14ac:dyDescent="0.3">
      <c r="A3" s="117" t="s">
        <v>1217</v>
      </c>
      <c r="B3" s="42">
        <v>76846</v>
      </c>
      <c r="C3" s="117" t="s">
        <v>695</v>
      </c>
      <c r="D3" s="117" t="s">
        <v>1184</v>
      </c>
    </row>
    <row r="4" spans="1:4" x14ac:dyDescent="0.3">
      <c r="A4" s="117" t="s">
        <v>1217</v>
      </c>
      <c r="B4" s="42">
        <v>83335</v>
      </c>
      <c r="C4" s="117" t="s">
        <v>1050</v>
      </c>
      <c r="D4" s="117" t="s">
        <v>1109</v>
      </c>
    </row>
    <row r="5" spans="1:4" x14ac:dyDescent="0.3">
      <c r="A5" s="117" t="s">
        <v>1217</v>
      </c>
      <c r="B5" s="42">
        <v>85407</v>
      </c>
      <c r="C5" s="117" t="s">
        <v>972</v>
      </c>
      <c r="D5" s="117" t="s">
        <v>1187</v>
      </c>
    </row>
    <row r="6" spans="1:4" x14ac:dyDescent="0.3">
      <c r="A6" s="117" t="s">
        <v>1217</v>
      </c>
      <c r="B6" s="42">
        <v>85587</v>
      </c>
      <c r="C6" s="117" t="s">
        <v>564</v>
      </c>
      <c r="D6" s="117" t="s">
        <v>1190</v>
      </c>
    </row>
    <row r="7" spans="1:4" x14ac:dyDescent="0.3">
      <c r="A7" s="117" t="s">
        <v>1217</v>
      </c>
      <c r="B7" s="42">
        <v>85968</v>
      </c>
      <c r="C7" s="117" t="s">
        <v>995</v>
      </c>
      <c r="D7" s="117" t="s">
        <v>1203</v>
      </c>
    </row>
    <row r="8" spans="1:4" x14ac:dyDescent="0.3">
      <c r="A8" s="117" t="s">
        <v>1217</v>
      </c>
      <c r="B8" s="42">
        <v>86213</v>
      </c>
      <c r="C8" s="117" t="s">
        <v>1007</v>
      </c>
      <c r="D8" s="117" t="s">
        <v>1204</v>
      </c>
    </row>
    <row r="9" spans="1:4" x14ac:dyDescent="0.3">
      <c r="A9" s="117" t="s">
        <v>1217</v>
      </c>
      <c r="B9" s="42">
        <v>86215</v>
      </c>
      <c r="C9" s="117" t="s">
        <v>1077</v>
      </c>
      <c r="D9" s="117" t="s">
        <v>1205</v>
      </c>
    </row>
    <row r="10" spans="1:4" x14ac:dyDescent="0.3">
      <c r="A10" s="117" t="s">
        <v>1158</v>
      </c>
      <c r="B10" s="42">
        <v>86222</v>
      </c>
      <c r="C10" s="117" t="s">
        <v>336</v>
      </c>
      <c r="D10" s="117" t="s">
        <v>1209</v>
      </c>
    </row>
    <row r="11" spans="1:4" x14ac:dyDescent="0.3">
      <c r="A11" s="117" t="s">
        <v>1217</v>
      </c>
      <c r="B11" s="42">
        <v>86349</v>
      </c>
      <c r="C11" s="117" t="s">
        <v>1003</v>
      </c>
      <c r="D11" s="117" t="s">
        <v>1210</v>
      </c>
    </row>
    <row r="12" spans="1:4" x14ac:dyDescent="0.3">
      <c r="A12" s="117" t="s">
        <v>1217</v>
      </c>
      <c r="B12" s="42">
        <v>86414</v>
      </c>
      <c r="C12" s="117" t="s">
        <v>338</v>
      </c>
      <c r="D12" s="117" t="s">
        <v>1212</v>
      </c>
    </row>
    <row r="13" spans="1:4" x14ac:dyDescent="0.3">
      <c r="A13" s="117" t="s">
        <v>1217</v>
      </c>
      <c r="B13" s="42">
        <v>86532</v>
      </c>
      <c r="C13" s="117" t="s">
        <v>1077</v>
      </c>
      <c r="D13" s="117" t="s">
        <v>1213</v>
      </c>
    </row>
    <row r="14" spans="1:4" x14ac:dyDescent="0.3">
      <c r="A14" s="117" t="s">
        <v>1217</v>
      </c>
      <c r="B14" s="42">
        <v>86537</v>
      </c>
      <c r="C14" s="117" t="s">
        <v>338</v>
      </c>
      <c r="D14" s="117" t="s">
        <v>1214</v>
      </c>
    </row>
    <row r="15" spans="1:4" x14ac:dyDescent="0.3">
      <c r="A15" s="117" t="s">
        <v>1158</v>
      </c>
      <c r="B15" s="42">
        <v>86539</v>
      </c>
      <c r="C15" s="117" t="s">
        <v>338</v>
      </c>
      <c r="D15" s="117" t="s">
        <v>1215</v>
      </c>
    </row>
    <row r="16" spans="1:4" x14ac:dyDescent="0.3">
      <c r="A16" s="117" t="s">
        <v>1217</v>
      </c>
      <c r="B16" s="42">
        <v>86588</v>
      </c>
      <c r="C16" s="117" t="s">
        <v>338</v>
      </c>
      <c r="D16" s="117" t="s">
        <v>1216</v>
      </c>
    </row>
    <row r="19" spans="1:4" x14ac:dyDescent="0.3">
      <c r="B19" s="117" t="s">
        <v>145</v>
      </c>
      <c r="C19" s="117" t="s">
        <v>57</v>
      </c>
      <c r="D19" s="117" t="s">
        <v>58</v>
      </c>
    </row>
    <row r="20" spans="1:4" x14ac:dyDescent="0.3">
      <c r="A20" s="117" t="s">
        <v>1158</v>
      </c>
      <c r="B20" s="42">
        <v>76599</v>
      </c>
      <c r="C20" s="117" t="s">
        <v>695</v>
      </c>
      <c r="D20" s="117" t="s">
        <v>719</v>
      </c>
    </row>
    <row r="21" spans="1:4" x14ac:dyDescent="0.3">
      <c r="A21" s="117" t="s">
        <v>1158</v>
      </c>
      <c r="B21" s="42">
        <v>76846</v>
      </c>
      <c r="C21" s="117" t="s">
        <v>695</v>
      </c>
      <c r="D21" s="117" t="s">
        <v>1184</v>
      </c>
    </row>
    <row r="22" spans="1:4" x14ac:dyDescent="0.3">
      <c r="A22" s="117" t="s">
        <v>1158</v>
      </c>
      <c r="B22" s="42">
        <v>83335</v>
      </c>
      <c r="C22" s="117" t="s">
        <v>1050</v>
      </c>
      <c r="D22" s="117" t="s">
        <v>1109</v>
      </c>
    </row>
    <row r="23" spans="1:4" x14ac:dyDescent="0.3">
      <c r="A23" s="117" t="s">
        <v>1158</v>
      </c>
      <c r="B23" s="42">
        <v>85407</v>
      </c>
      <c r="C23" s="117" t="s">
        <v>972</v>
      </c>
      <c r="D23" s="117" t="s">
        <v>1187</v>
      </c>
    </row>
    <row r="24" spans="1:4" x14ac:dyDescent="0.3">
      <c r="A24" s="117" t="s">
        <v>1158</v>
      </c>
      <c r="B24" s="42">
        <v>85587</v>
      </c>
      <c r="C24" s="117" t="s">
        <v>564</v>
      </c>
      <c r="D24" s="117" t="s">
        <v>1190</v>
      </c>
    </row>
    <row r="25" spans="1:4" x14ac:dyDescent="0.3">
      <c r="A25" s="117" t="s">
        <v>1158</v>
      </c>
      <c r="B25" s="42">
        <v>85968</v>
      </c>
      <c r="C25" s="117" t="s">
        <v>995</v>
      </c>
      <c r="D25" s="117" t="s">
        <v>1203</v>
      </c>
    </row>
    <row r="26" spans="1:4" x14ac:dyDescent="0.3">
      <c r="A26" s="117" t="s">
        <v>1158</v>
      </c>
      <c r="B26" s="42">
        <v>86213</v>
      </c>
      <c r="C26" s="117" t="s">
        <v>1007</v>
      </c>
      <c r="D26" s="117" t="s">
        <v>1204</v>
      </c>
    </row>
    <row r="27" spans="1:4" x14ac:dyDescent="0.3">
      <c r="A27" s="117" t="s">
        <v>1158</v>
      </c>
      <c r="B27" s="42">
        <v>86215</v>
      </c>
      <c r="C27" s="117" t="s">
        <v>1077</v>
      </c>
      <c r="D27" s="117" t="s">
        <v>1205</v>
      </c>
    </row>
    <row r="28" spans="1:4" x14ac:dyDescent="0.3">
      <c r="A28" s="117" t="s">
        <v>1158</v>
      </c>
      <c r="B28" s="42">
        <v>86349</v>
      </c>
      <c r="C28" s="117" t="s">
        <v>1003</v>
      </c>
      <c r="D28" s="117" t="s">
        <v>1210</v>
      </c>
    </row>
    <row r="29" spans="1:4" x14ac:dyDescent="0.3">
      <c r="A29" s="117" t="s">
        <v>1158</v>
      </c>
      <c r="B29" s="42">
        <v>86414</v>
      </c>
      <c r="C29" s="117" t="s">
        <v>338</v>
      </c>
      <c r="D29" s="117" t="s">
        <v>1212</v>
      </c>
    </row>
    <row r="30" spans="1:4" x14ac:dyDescent="0.3">
      <c r="A30" s="117" t="s">
        <v>1158</v>
      </c>
      <c r="B30" s="42">
        <v>86532</v>
      </c>
      <c r="C30" s="117" t="s">
        <v>1077</v>
      </c>
      <c r="D30" s="117" t="s">
        <v>1213</v>
      </c>
    </row>
    <row r="31" spans="1:4" x14ac:dyDescent="0.3">
      <c r="A31" s="117" t="s">
        <v>1158</v>
      </c>
      <c r="B31" s="42">
        <v>86537</v>
      </c>
      <c r="C31" s="117" t="s">
        <v>338</v>
      </c>
      <c r="D31" s="117" t="s">
        <v>1214</v>
      </c>
    </row>
    <row r="32" spans="1:4" x14ac:dyDescent="0.3">
      <c r="A32" s="117" t="s">
        <v>1158</v>
      </c>
      <c r="B32" s="42">
        <v>86588</v>
      </c>
      <c r="C32" s="117" t="s">
        <v>338</v>
      </c>
      <c r="D32" s="117" t="s">
        <v>1216</v>
      </c>
    </row>
    <row r="34" spans="2:4" x14ac:dyDescent="0.3">
      <c r="B34" s="117" t="s">
        <v>145</v>
      </c>
      <c r="C34" s="117" t="s">
        <v>57</v>
      </c>
      <c r="D34" s="117" t="s">
        <v>58</v>
      </c>
    </row>
    <row r="35" spans="2:4" x14ac:dyDescent="0.3">
      <c r="B35" s="42">
        <v>76599</v>
      </c>
      <c r="C35" s="117" t="s">
        <v>695</v>
      </c>
      <c r="D35" s="117" t="s">
        <v>719</v>
      </c>
    </row>
    <row r="36" spans="2:4" x14ac:dyDescent="0.3">
      <c r="B36" s="42">
        <v>76846</v>
      </c>
      <c r="C36" s="117" t="s">
        <v>695</v>
      </c>
      <c r="D36" s="117" t="s">
        <v>1184</v>
      </c>
    </row>
    <row r="37" spans="2:4" x14ac:dyDescent="0.3">
      <c r="B37" s="42">
        <v>83335</v>
      </c>
      <c r="C37" s="117" t="s">
        <v>1050</v>
      </c>
      <c r="D37" s="117" t="s">
        <v>1109</v>
      </c>
    </row>
    <row r="38" spans="2:4" x14ac:dyDescent="0.3">
      <c r="B38" s="42">
        <v>85407</v>
      </c>
      <c r="C38" s="117" t="s">
        <v>972</v>
      </c>
      <c r="D38" s="117" t="s">
        <v>1187</v>
      </c>
    </row>
    <row r="39" spans="2:4" x14ac:dyDescent="0.3">
      <c r="B39" s="42">
        <v>85587</v>
      </c>
      <c r="C39" s="117" t="s">
        <v>564</v>
      </c>
      <c r="D39" s="117" t="s">
        <v>1190</v>
      </c>
    </row>
    <row r="40" spans="2:4" x14ac:dyDescent="0.3">
      <c r="B40" s="42">
        <v>85968</v>
      </c>
      <c r="C40" s="117" t="s">
        <v>995</v>
      </c>
      <c r="D40" s="117" t="s">
        <v>1203</v>
      </c>
    </row>
    <row r="41" spans="2:4" x14ac:dyDescent="0.3">
      <c r="B41" s="42">
        <v>86213</v>
      </c>
      <c r="C41" s="117" t="s">
        <v>1007</v>
      </c>
      <c r="D41" s="117" t="s">
        <v>1204</v>
      </c>
    </row>
    <row r="42" spans="2:4" x14ac:dyDescent="0.3">
      <c r="B42" s="42">
        <v>86215</v>
      </c>
      <c r="C42" s="117" t="s">
        <v>1077</v>
      </c>
      <c r="D42" s="117" t="s">
        <v>1205</v>
      </c>
    </row>
    <row r="43" spans="2:4" x14ac:dyDescent="0.3">
      <c r="B43" s="42">
        <v>86349</v>
      </c>
      <c r="C43" s="117" t="s">
        <v>1003</v>
      </c>
      <c r="D43" s="117" t="s">
        <v>1210</v>
      </c>
    </row>
    <row r="44" spans="2:4" x14ac:dyDescent="0.3">
      <c r="B44" s="42">
        <v>86414</v>
      </c>
      <c r="C44" s="117" t="s">
        <v>338</v>
      </c>
      <c r="D44" s="117" t="s">
        <v>1212</v>
      </c>
    </row>
    <row r="45" spans="2:4" x14ac:dyDescent="0.3">
      <c r="B45" s="42">
        <v>86537</v>
      </c>
      <c r="C45" s="117" t="s">
        <v>338</v>
      </c>
      <c r="D45" s="117" t="s">
        <v>1214</v>
      </c>
    </row>
    <row r="46" spans="2:4" x14ac:dyDescent="0.3">
      <c r="B46" s="42">
        <v>86588</v>
      </c>
      <c r="C46" s="117" t="s">
        <v>338</v>
      </c>
      <c r="D46" s="117" t="s">
        <v>1216</v>
      </c>
    </row>
    <row r="48" spans="2:4" x14ac:dyDescent="0.3">
      <c r="B48" s="118" t="s">
        <v>145</v>
      </c>
      <c r="C48" s="118" t="s">
        <v>57</v>
      </c>
      <c r="D48" s="118" t="s">
        <v>58</v>
      </c>
    </row>
    <row r="49" spans="1:27" x14ac:dyDescent="0.3">
      <c r="B49" s="42">
        <v>76599</v>
      </c>
      <c r="C49" s="118" t="s">
        <v>695</v>
      </c>
      <c r="D49" s="118" t="s">
        <v>719</v>
      </c>
    </row>
    <row r="50" spans="1:27" x14ac:dyDescent="0.3">
      <c r="B50" s="42">
        <v>76846</v>
      </c>
      <c r="C50" s="118" t="s">
        <v>581</v>
      </c>
      <c r="D50" s="118" t="s">
        <v>1184</v>
      </c>
    </row>
    <row r="51" spans="1:27" x14ac:dyDescent="0.3">
      <c r="A51" s="117" t="s">
        <v>1240</v>
      </c>
      <c r="B51" s="42">
        <v>86349</v>
      </c>
      <c r="C51" s="118" t="s">
        <v>1003</v>
      </c>
      <c r="D51" s="118" t="s">
        <v>1210</v>
      </c>
    </row>
    <row r="52" spans="1:27" x14ac:dyDescent="0.3">
      <c r="A52" s="117" t="s">
        <v>1240</v>
      </c>
      <c r="B52" s="42">
        <v>86414</v>
      </c>
      <c r="C52" s="118" t="s">
        <v>338</v>
      </c>
      <c r="D52" s="118" t="s">
        <v>1220</v>
      </c>
    </row>
    <row r="53" spans="1:27" x14ac:dyDescent="0.3">
      <c r="B53" s="42">
        <v>86537</v>
      </c>
      <c r="C53" s="118" t="s">
        <v>338</v>
      </c>
      <c r="D53" s="118" t="s">
        <v>1214</v>
      </c>
    </row>
    <row r="54" spans="1:27" x14ac:dyDescent="0.3">
      <c r="B54" s="42">
        <v>87065</v>
      </c>
      <c r="C54" s="118" t="s">
        <v>336</v>
      </c>
      <c r="D54" s="118" t="s">
        <v>1223</v>
      </c>
    </row>
    <row r="55" spans="1:27" x14ac:dyDescent="0.3">
      <c r="B55" s="42">
        <v>87277</v>
      </c>
      <c r="C55" s="118" t="s">
        <v>335</v>
      </c>
      <c r="D55" s="118" t="s">
        <v>1236</v>
      </c>
    </row>
    <row r="56" spans="1:27" x14ac:dyDescent="0.3">
      <c r="B56" s="42">
        <v>87279</v>
      </c>
      <c r="C56" s="118" t="s">
        <v>336</v>
      </c>
      <c r="D56" s="118" t="s">
        <v>1238</v>
      </c>
    </row>
    <row r="58" spans="1:27" x14ac:dyDescent="0.3">
      <c r="B58" s="118" t="s">
        <v>145</v>
      </c>
      <c r="C58" s="118" t="s">
        <v>57</v>
      </c>
      <c r="D58" s="118" t="s">
        <v>58</v>
      </c>
      <c r="Y58" s="118"/>
      <c r="Z58" s="118"/>
      <c r="AA58" s="118"/>
    </row>
    <row r="59" spans="1:27" x14ac:dyDescent="0.3">
      <c r="A59" s="117" t="s">
        <v>298</v>
      </c>
      <c r="B59" s="42">
        <v>75649</v>
      </c>
      <c r="C59" s="118" t="s">
        <v>1017</v>
      </c>
      <c r="D59" s="118" t="s">
        <v>1070</v>
      </c>
      <c r="Y59" s="42"/>
      <c r="Z59" s="118"/>
      <c r="AA59" s="118"/>
    </row>
    <row r="60" spans="1:27" x14ac:dyDescent="0.3">
      <c r="A60" s="121" t="s">
        <v>1243</v>
      </c>
      <c r="B60" s="42">
        <v>76599</v>
      </c>
      <c r="C60" s="118" t="s">
        <v>695</v>
      </c>
      <c r="D60" s="118" t="s">
        <v>719</v>
      </c>
      <c r="Y60" s="42"/>
      <c r="Z60" s="118"/>
      <c r="AA60" s="118"/>
    </row>
    <row r="61" spans="1:27" x14ac:dyDescent="0.3">
      <c r="A61" s="120" t="s">
        <v>298</v>
      </c>
      <c r="B61" s="42">
        <v>76846</v>
      </c>
      <c r="C61" s="118" t="s">
        <v>581</v>
      </c>
      <c r="D61" s="118" t="s">
        <v>1184</v>
      </c>
      <c r="Y61" s="42"/>
      <c r="Z61" s="118"/>
      <c r="AA61" s="118"/>
    </row>
    <row r="62" spans="1:27" x14ac:dyDescent="0.3">
      <c r="A62" s="120" t="s">
        <v>1240</v>
      </c>
      <c r="B62" s="42">
        <v>83335</v>
      </c>
      <c r="C62" s="118" t="s">
        <v>1050</v>
      </c>
      <c r="D62" s="118" t="s">
        <v>1109</v>
      </c>
      <c r="Y62" s="42"/>
      <c r="Z62" s="118"/>
      <c r="AA62" s="118"/>
    </row>
    <row r="63" spans="1:27" x14ac:dyDescent="0.3">
      <c r="A63" s="117" t="s">
        <v>1241</v>
      </c>
      <c r="B63" s="42">
        <v>85407</v>
      </c>
      <c r="C63" s="118" t="s">
        <v>972</v>
      </c>
      <c r="D63" s="118" t="s">
        <v>1187</v>
      </c>
      <c r="Y63" s="42"/>
      <c r="Z63" s="118"/>
      <c r="AA63" s="118"/>
    </row>
    <row r="64" spans="1:27" x14ac:dyDescent="0.3">
      <c r="A64" s="120" t="s">
        <v>1242</v>
      </c>
      <c r="B64" s="42">
        <v>86213</v>
      </c>
      <c r="C64" s="118" t="s">
        <v>1007</v>
      </c>
      <c r="D64" s="118" t="s">
        <v>1204</v>
      </c>
      <c r="Y64" s="42"/>
      <c r="Z64" s="118"/>
      <c r="AA64" s="118"/>
    </row>
    <row r="65" spans="1:27" x14ac:dyDescent="0.3">
      <c r="A65" s="120" t="s">
        <v>1240</v>
      </c>
      <c r="B65" s="42">
        <v>86349</v>
      </c>
      <c r="C65" s="118" t="s">
        <v>1003</v>
      </c>
      <c r="D65" s="118" t="s">
        <v>1210</v>
      </c>
      <c r="Y65" s="42"/>
      <c r="Z65" s="118"/>
      <c r="AA65" s="118"/>
    </row>
    <row r="66" spans="1:27" x14ac:dyDescent="0.3">
      <c r="A66" s="120" t="s">
        <v>1240</v>
      </c>
      <c r="B66" s="42">
        <v>86414</v>
      </c>
      <c r="C66" s="118" t="s">
        <v>338</v>
      </c>
      <c r="D66" s="118" t="s">
        <v>1220</v>
      </c>
      <c r="Y66" s="42"/>
      <c r="Z66" s="118"/>
      <c r="AA66" s="118"/>
    </row>
    <row r="67" spans="1:27" x14ac:dyDescent="0.3">
      <c r="A67" s="120" t="s">
        <v>1240</v>
      </c>
      <c r="B67" s="42">
        <v>86537</v>
      </c>
      <c r="C67" s="118" t="s">
        <v>338</v>
      </c>
      <c r="D67" s="118" t="s">
        <v>1214</v>
      </c>
      <c r="Y67" s="42"/>
      <c r="Z67" s="118"/>
      <c r="AA67" s="118"/>
    </row>
    <row r="68" spans="1:27" x14ac:dyDescent="0.3">
      <c r="A68" s="120" t="s">
        <v>239</v>
      </c>
      <c r="B68" s="42">
        <v>87065</v>
      </c>
      <c r="C68" s="118" t="s">
        <v>336</v>
      </c>
      <c r="D68" s="118" t="s">
        <v>1223</v>
      </c>
      <c r="Y68" s="42"/>
      <c r="Z68" s="118"/>
      <c r="AA68" s="118"/>
    </row>
    <row r="69" spans="1:27" x14ac:dyDescent="0.3">
      <c r="A69" s="117" t="s">
        <v>239</v>
      </c>
      <c r="B69" s="42">
        <v>87279</v>
      </c>
      <c r="C69" s="118" t="s">
        <v>336</v>
      </c>
      <c r="D69" s="118" t="s">
        <v>1238</v>
      </c>
      <c r="Y69" s="42"/>
      <c r="Z69" s="118"/>
      <c r="AA69" s="118"/>
    </row>
    <row r="71" spans="1:27" x14ac:dyDescent="0.3">
      <c r="B71" s="118" t="s">
        <v>145</v>
      </c>
      <c r="C71" s="118" t="s">
        <v>57</v>
      </c>
      <c r="D71" s="118" t="s">
        <v>58</v>
      </c>
    </row>
    <row r="72" spans="1:27" x14ac:dyDescent="0.3">
      <c r="A72" s="117" t="s">
        <v>1243</v>
      </c>
      <c r="B72" s="118">
        <v>76599</v>
      </c>
      <c r="C72" s="118" t="s">
        <v>695</v>
      </c>
      <c r="D72" s="118" t="s">
        <v>719</v>
      </c>
    </row>
    <row r="73" spans="1:27" x14ac:dyDescent="0.3">
      <c r="A73" s="117" t="s">
        <v>1241</v>
      </c>
      <c r="B73" s="118">
        <v>85407</v>
      </c>
      <c r="C73" s="118" t="s">
        <v>972</v>
      </c>
      <c r="D73" s="118" t="s">
        <v>1187</v>
      </c>
    </row>
    <row r="74" spans="1:27" x14ac:dyDescent="0.3">
      <c r="A74" s="117" t="s">
        <v>1242</v>
      </c>
      <c r="B74" s="118">
        <v>86213</v>
      </c>
      <c r="C74" s="118" t="s">
        <v>1007</v>
      </c>
      <c r="D74" s="118" t="s">
        <v>1204</v>
      </c>
    </row>
    <row r="75" spans="1:27" x14ac:dyDescent="0.3">
      <c r="A75" s="117" t="s">
        <v>1243</v>
      </c>
      <c r="B75" s="118">
        <v>87065</v>
      </c>
      <c r="C75" s="118" t="s">
        <v>336</v>
      </c>
      <c r="D75" s="118" t="s">
        <v>1223</v>
      </c>
    </row>
    <row r="76" spans="1:27" x14ac:dyDescent="0.3">
      <c r="A76" s="117" t="s">
        <v>1243</v>
      </c>
      <c r="B76" s="118">
        <v>87279</v>
      </c>
      <c r="C76" s="118" t="s">
        <v>336</v>
      </c>
      <c r="D76" s="118" t="s">
        <v>1238</v>
      </c>
    </row>
    <row r="83" spans="2:21" x14ac:dyDescent="0.3">
      <c r="B83" t="b">
        <f ca="1">IF(D83=INDIRECT(D87&amp;"!A1"),TRUE,FALSE)</f>
        <v>1</v>
      </c>
      <c r="D83" s="132" t="s">
        <v>719</v>
      </c>
    </row>
    <row r="85" spans="2:21" x14ac:dyDescent="0.3">
      <c r="D85" s="132" t="s">
        <v>719</v>
      </c>
    </row>
    <row r="87" spans="2:21" x14ac:dyDescent="0.3">
      <c r="D87" t="s">
        <v>1410</v>
      </c>
    </row>
    <row r="88" spans="2:21" x14ac:dyDescent="0.3">
      <c r="D88" s="19" t="s">
        <v>1431</v>
      </c>
      <c r="T88" s="19" t="s">
        <v>1434</v>
      </c>
    </row>
    <row r="89" spans="2:21" x14ac:dyDescent="0.3">
      <c r="E89" s="19" t="s">
        <v>1432</v>
      </c>
      <c r="U89" s="19" t="s">
        <v>1435</v>
      </c>
    </row>
    <row r="90" spans="2:21" x14ac:dyDescent="0.3">
      <c r="E90" s="19" t="s">
        <v>1433</v>
      </c>
      <c r="U90" s="19" t="s">
        <v>1436</v>
      </c>
    </row>
  </sheetData>
  <conditionalFormatting sqref="B2:B16">
    <cfRule type="expression" dxfId="211" priority="38">
      <formula>IF(FIND("Denied",U2),1,0)</formula>
    </cfRule>
    <cfRule type="expression" dxfId="210" priority="39">
      <formula>IF(FIND("Director",U2,11),1,0)</formula>
    </cfRule>
    <cfRule type="expression" dxfId="209" priority="40">
      <formula>IF(FIND("Approve",U2),1,0)</formula>
    </cfRule>
    <cfRule type="expression" dxfId="208" priority="41">
      <formula>IF(FIND("Request",U2),1,0)</formula>
    </cfRule>
    <cfRule type="expression" dxfId="207" priority="42">
      <formula>IF(FIND("Requested",AD2),1,0)</formula>
    </cfRule>
    <cfRule type="expression" dxfId="206" priority="43">
      <formula>IF(U2="---",IF(Y2="---",1,0),0)</formula>
    </cfRule>
  </conditionalFormatting>
  <conditionalFormatting sqref="B20:B32">
    <cfRule type="expression" dxfId="205" priority="32">
      <formula>IF(FIND("Denied",U20),1,0)</formula>
    </cfRule>
    <cfRule type="expression" dxfId="204" priority="33">
      <formula>IF(FIND("Director",U20,11),1,0)</formula>
    </cfRule>
    <cfRule type="expression" dxfId="203" priority="34">
      <formula>IF(FIND("Approve",U20),1,0)</formula>
    </cfRule>
    <cfRule type="expression" dxfId="202" priority="35">
      <formula>IF(FIND("Request",U20),1,0)</formula>
    </cfRule>
    <cfRule type="expression" dxfId="201" priority="36">
      <formula>IF(FIND("Requested",AD20),1,0)</formula>
    </cfRule>
    <cfRule type="expression" dxfId="200" priority="37">
      <formula>IF(U20="---",IF(Y20="---",1,0),0)</formula>
    </cfRule>
  </conditionalFormatting>
  <conditionalFormatting sqref="B35:B46">
    <cfRule type="expression" dxfId="199" priority="26">
      <formula>IF(FIND("Denied",U35),1,0)</formula>
    </cfRule>
    <cfRule type="expression" dxfId="198" priority="27">
      <formula>IF(FIND("Director",U35,11),1,0)</formula>
    </cfRule>
    <cfRule type="expression" dxfId="197" priority="28">
      <formula>IF(FIND("Approve",U35),1,0)</formula>
    </cfRule>
    <cfRule type="expression" dxfId="196" priority="29">
      <formula>IF(FIND("Request",U35),1,0)</formula>
    </cfRule>
    <cfRule type="expression" dxfId="195" priority="30">
      <formula>IF(FIND("Requested",AD35),1,0)</formula>
    </cfRule>
    <cfRule type="expression" dxfId="194" priority="31">
      <formula>IF(U35="---",IF(Y35="---",1,0),0)</formula>
    </cfRule>
  </conditionalFormatting>
  <conditionalFormatting sqref="B49:B56">
    <cfRule type="expression" dxfId="193" priority="20">
      <formula>IF(FIND("Denied",U49),1,0)</formula>
    </cfRule>
    <cfRule type="expression" dxfId="192" priority="21">
      <formula>IF(FIND("Director",U49,11),1,0)</formula>
    </cfRule>
    <cfRule type="expression" dxfId="191" priority="22">
      <formula>IF(FIND("Approve",U49),1,0)</formula>
    </cfRule>
    <cfRule type="expression" dxfId="190" priority="23">
      <formula>IF(FIND("Request",U49),1,0)</formula>
    </cfRule>
    <cfRule type="expression" dxfId="189" priority="24">
      <formula>IF(FIND("Requested",AD49),1,0)</formula>
    </cfRule>
    <cfRule type="expression" dxfId="188" priority="25">
      <formula>IF(U49="---",IF(Y49="---",1,0),0)</formula>
    </cfRule>
  </conditionalFormatting>
  <conditionalFormatting sqref="B59:B69">
    <cfRule type="expression" dxfId="187" priority="14">
      <formula>IF(FIND("Denied",U59),1,0)</formula>
    </cfRule>
    <cfRule type="expression" dxfId="186" priority="15">
      <formula>IF(FIND("Director",U59,11),1,0)</formula>
    </cfRule>
    <cfRule type="expression" dxfId="185" priority="16">
      <formula>IF(FIND("Approve",U59),1,0)</formula>
    </cfRule>
    <cfRule type="expression" dxfId="184" priority="17">
      <formula>IF(FIND("Request",U59),1,0)</formula>
    </cfRule>
    <cfRule type="expression" dxfId="183" priority="18">
      <formula>IF(FIND("Requested",AD59),1,0)</formula>
    </cfRule>
    <cfRule type="expression" dxfId="182" priority="19">
      <formula>IF(U59="---",IF(Y59="---",1,0),0)</formula>
    </cfRule>
  </conditionalFormatting>
  <conditionalFormatting sqref="Y59:Y69">
    <cfRule type="expression" dxfId="181" priority="8">
      <formula>IF(FIND("Denied",AR59),1,0)</formula>
    </cfRule>
    <cfRule type="expression" dxfId="180" priority="9">
      <formula>IF(FIND("Director",AR59,11),1,0)</formula>
    </cfRule>
    <cfRule type="expression" dxfId="179" priority="10">
      <formula>IF(FIND("Approve",AR59),1,0)</formula>
    </cfRule>
    <cfRule type="expression" dxfId="178" priority="11">
      <formula>IF(FIND("Request",AR59),1,0)</formula>
    </cfRule>
    <cfRule type="expression" dxfId="177" priority="12">
      <formula>IF(FIND("Requested",BA59),1,0)</formula>
    </cfRule>
    <cfRule type="expression" dxfId="176" priority="13">
      <formula>IF(AR59="---",IF(AV59="---",1,0),0)</formula>
    </cfRule>
  </conditionalFormatting>
  <conditionalFormatting sqref="B72:B76">
    <cfRule type="expression" dxfId="175" priority="2">
      <formula>IF(FIND("Denied",U72),1,0)</formula>
    </cfRule>
    <cfRule type="expression" dxfId="174" priority="3">
      <formula>IF(FIND("Director",U72,11),1,0)</formula>
    </cfRule>
    <cfRule type="expression" dxfId="173" priority="4">
      <formula>IF(FIND("Approve",U72),1,0)</formula>
    </cfRule>
    <cfRule type="expression" dxfId="172" priority="5">
      <formula>IF(FIND("Request",U72),1,0)</formula>
    </cfRule>
    <cfRule type="expression" dxfId="171" priority="6">
      <formula>IF(FIND("Requested",AD72),1,0)</formula>
    </cfRule>
    <cfRule type="expression" dxfId="170" priority="7">
      <formula>IF(U72="---",IF(Y72="---",1,0),0)</formula>
    </cfRule>
  </conditionalFormatting>
  <conditionalFormatting sqref="D83">
    <cfRule type="expression" dxfId="169" priority="1">
      <formula>IF(D83=INDIRECT(D87&amp;"!A1"),FALSE,TRUE)</formula>
    </cfRule>
  </conditionalFormatting>
  <hyperlinks>
    <hyperlink ref="D88" r:id="rId1" display="https://bugzilla.houston.hpecorp.net:1181/bugzilla/show_bug.cgi?id=88391"/>
    <hyperlink ref="E89" r:id="rId2" display="https://bugzilla.houston.hpecorp.net:1181/bugzilla/show_bug.cgi?id=88403"/>
    <hyperlink ref="E90" r:id="rId3" display="https://bugzilla.houston.hpecorp.net:1181/bugzilla/show_bug.cgi?id=88404"/>
    <hyperlink ref="T88" r:id="rId4" display="https://bugzilla.houston.hpecorp.net:1181/bugzilla/show_bug.cgi?id=67205"/>
    <hyperlink ref="U89" r:id="rId5" display="https://bugzilla.houston.hpecorp.net:1181/bugzilla/show_bug.cgi?id=75649"/>
    <hyperlink ref="U90" r:id="rId6" display="https://bugzilla.houston.hpecorp.net:1181/bugzilla/show_bug.cgi?id=7978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election activeCell="A2" sqref="A2"/>
    </sheetView>
  </sheetViews>
  <sheetFormatPr defaultRowHeight="14.4" x14ac:dyDescent="0.3"/>
  <sheetData>
    <row r="1" spans="1:1" x14ac:dyDescent="0.3">
      <c r="A1" s="132" t="s">
        <v>719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G288"/>
  <sheetViews>
    <sheetView zoomScale="88" zoomScaleNormal="88" workbookViewId="0">
      <pane ySplit="1" topLeftCell="A245" activePane="bottomLeft" state="frozen"/>
      <selection pane="bottomLeft" activeCell="C273" sqref="C273"/>
    </sheetView>
  </sheetViews>
  <sheetFormatPr defaultRowHeight="14.4" x14ac:dyDescent="0.3"/>
  <cols>
    <col min="1" max="1" width="8.5546875" bestFit="1" customWidth="1"/>
    <col min="2" max="2" width="20.44140625" customWidth="1"/>
    <col min="3" max="3" width="132.5546875" customWidth="1"/>
    <col min="4" max="4" width="7.44140625" bestFit="1" customWidth="1"/>
    <col min="5" max="5" width="14.88671875" bestFit="1" customWidth="1"/>
    <col min="6" max="6" width="31.21875" bestFit="1" customWidth="1"/>
    <col min="7" max="7" width="43.6640625" bestFit="1" customWidth="1"/>
    <col min="8" max="8" width="14.6640625" bestFit="1" customWidth="1"/>
    <col min="9" max="9" width="9.5546875" bestFit="1" customWidth="1"/>
    <col min="10" max="10" width="25.44140625" bestFit="1" customWidth="1"/>
    <col min="11" max="11" width="15.6640625" bestFit="1" customWidth="1"/>
    <col min="12" max="12" width="29.6640625" bestFit="1" customWidth="1"/>
    <col min="13" max="13" width="11" bestFit="1" customWidth="1"/>
    <col min="14" max="14" width="15.77734375" bestFit="1" customWidth="1"/>
    <col min="15" max="15" width="16.88671875" bestFit="1" customWidth="1"/>
    <col min="16" max="16" width="10.77734375" bestFit="1" customWidth="1"/>
    <col min="17" max="17" width="14.77734375" bestFit="1" customWidth="1"/>
    <col min="18" max="18" width="22.5546875" bestFit="1" customWidth="1"/>
    <col min="19" max="19" width="9.5546875" bestFit="1" customWidth="1"/>
    <col min="20" max="20" width="18.33203125" bestFit="1" customWidth="1"/>
    <col min="21" max="21" width="10.21875" bestFit="1" customWidth="1"/>
    <col min="22" max="22" width="21.44140625" bestFit="1" customWidth="1"/>
    <col min="23" max="23" width="12.6640625" bestFit="1" customWidth="1"/>
    <col min="24" max="24" width="15.88671875" bestFit="1" customWidth="1"/>
    <col min="25" max="25" width="11.33203125" bestFit="1" customWidth="1"/>
    <col min="26" max="26" width="11.44140625" bestFit="1" customWidth="1"/>
    <col min="27" max="27" width="30.5546875" bestFit="1" customWidth="1"/>
    <col min="28" max="28" width="23.21875" bestFit="1" customWidth="1"/>
    <col min="29" max="29" width="8.77734375" bestFit="1" customWidth="1"/>
    <col min="30" max="30" width="7.5546875" bestFit="1" customWidth="1"/>
    <col min="31" max="31" width="15" bestFit="1" customWidth="1"/>
    <col min="32" max="32" width="6" bestFit="1" customWidth="1"/>
  </cols>
  <sheetData>
    <row r="1" spans="1:33" x14ac:dyDescent="0.3">
      <c r="A1" s="118" t="s">
        <v>145</v>
      </c>
      <c r="B1" s="118" t="s">
        <v>57</v>
      </c>
      <c r="C1" s="118" t="s">
        <v>58</v>
      </c>
      <c r="D1" s="118" t="s">
        <v>59</v>
      </c>
      <c r="E1" s="118" t="s">
        <v>60</v>
      </c>
      <c r="F1" s="118" t="s">
        <v>61</v>
      </c>
      <c r="G1" s="118" t="s">
        <v>62</v>
      </c>
      <c r="H1" s="118" t="s">
        <v>63</v>
      </c>
      <c r="I1" s="118" t="s">
        <v>64</v>
      </c>
      <c r="J1" s="118" t="s">
        <v>65</v>
      </c>
      <c r="K1" s="118" t="s">
        <v>66</v>
      </c>
      <c r="L1" s="118" t="s">
        <v>67</v>
      </c>
      <c r="M1" s="118" t="s">
        <v>68</v>
      </c>
      <c r="N1" s="118" t="s">
        <v>69</v>
      </c>
      <c r="O1" s="118" t="s">
        <v>70</v>
      </c>
      <c r="P1" s="118" t="s">
        <v>71</v>
      </c>
      <c r="Q1" s="118" t="s">
        <v>72</v>
      </c>
      <c r="R1" s="118" t="s">
        <v>73</v>
      </c>
      <c r="S1" s="118" t="s">
        <v>74</v>
      </c>
      <c r="T1" s="118" t="s">
        <v>75</v>
      </c>
      <c r="U1" s="118" t="s">
        <v>76</v>
      </c>
      <c r="V1" s="118" t="s">
        <v>1244</v>
      </c>
      <c r="W1" s="118" t="s">
        <v>78</v>
      </c>
      <c r="X1" s="118" t="s">
        <v>157</v>
      </c>
      <c r="Y1" s="118" t="s">
        <v>307</v>
      </c>
      <c r="Z1" s="118" t="s">
        <v>308</v>
      </c>
      <c r="AA1" s="118" t="s">
        <v>615</v>
      </c>
      <c r="AB1" s="118" t="s">
        <v>79</v>
      </c>
      <c r="AC1" s="118" t="s">
        <v>621</v>
      </c>
      <c r="AD1" s="118" t="s">
        <v>622</v>
      </c>
      <c r="AE1" s="118" t="s">
        <v>1084</v>
      </c>
      <c r="AF1" s="118" t="s">
        <v>580</v>
      </c>
      <c r="AG1" s="118"/>
    </row>
    <row r="2" spans="1:33" x14ac:dyDescent="0.3">
      <c r="A2" s="118">
        <v>43867</v>
      </c>
      <c r="B2" s="118" t="s">
        <v>338</v>
      </c>
      <c r="C2" s="118" t="s">
        <v>1348</v>
      </c>
      <c r="D2" s="118" t="s">
        <v>11</v>
      </c>
      <c r="E2" s="118" t="s">
        <v>173</v>
      </c>
      <c r="F2" s="118" t="s">
        <v>338</v>
      </c>
      <c r="G2" s="118"/>
      <c r="H2" s="119">
        <v>42600.665000000001</v>
      </c>
      <c r="I2" s="118" t="s">
        <v>1139</v>
      </c>
      <c r="J2" s="118" t="s">
        <v>3</v>
      </c>
      <c r="K2" s="119">
        <v>41802.479467592595</v>
      </c>
      <c r="L2" s="118" t="s">
        <v>40</v>
      </c>
      <c r="M2" s="118"/>
      <c r="N2" s="118"/>
      <c r="O2" s="118" t="s">
        <v>6</v>
      </c>
      <c r="P2" s="118" t="s">
        <v>7</v>
      </c>
      <c r="Q2" s="118" t="s">
        <v>8</v>
      </c>
      <c r="R2" s="118" t="s">
        <v>122</v>
      </c>
      <c r="S2" s="118"/>
      <c r="T2" s="118" t="s">
        <v>7</v>
      </c>
      <c r="U2" s="118" t="s">
        <v>10</v>
      </c>
      <c r="V2" s="118" t="s">
        <v>7</v>
      </c>
      <c r="W2" s="118" t="s">
        <v>114</v>
      </c>
      <c r="X2" s="118" t="s">
        <v>1138</v>
      </c>
      <c r="Y2" s="118" t="s">
        <v>7</v>
      </c>
      <c r="Z2" s="118" t="s">
        <v>7</v>
      </c>
      <c r="AA2" s="118" t="s">
        <v>7</v>
      </c>
      <c r="AB2" s="118" t="s">
        <v>7</v>
      </c>
      <c r="AC2" s="118" t="s">
        <v>7</v>
      </c>
      <c r="AD2" s="118" t="s">
        <v>7</v>
      </c>
      <c r="AE2" s="118" t="s">
        <v>7</v>
      </c>
      <c r="AF2" s="118"/>
      <c r="AG2" s="118"/>
    </row>
    <row r="3" spans="1:33" x14ac:dyDescent="0.3">
      <c r="A3" s="118">
        <v>69651</v>
      </c>
      <c r="B3" s="118" t="s">
        <v>332</v>
      </c>
      <c r="C3" s="118" t="s">
        <v>1349</v>
      </c>
      <c r="D3" s="118" t="s">
        <v>11</v>
      </c>
      <c r="E3" s="118" t="s">
        <v>173</v>
      </c>
      <c r="F3" s="118" t="s">
        <v>1350</v>
      </c>
      <c r="G3" s="118"/>
      <c r="H3" s="119">
        <v>42600.671099537038</v>
      </c>
      <c r="I3" s="118" t="s">
        <v>1139</v>
      </c>
      <c r="J3" s="118" t="s">
        <v>48</v>
      </c>
      <c r="K3" s="119">
        <v>42270.89340277778</v>
      </c>
      <c r="L3" s="118" t="s">
        <v>315</v>
      </c>
      <c r="M3" s="118"/>
      <c r="N3" s="118"/>
      <c r="O3" s="118" t="s">
        <v>6</v>
      </c>
      <c r="P3" s="118" t="s">
        <v>30</v>
      </c>
      <c r="Q3" s="118" t="s">
        <v>24</v>
      </c>
      <c r="R3" s="118" t="s">
        <v>46</v>
      </c>
      <c r="S3" s="118"/>
      <c r="T3" s="118" t="s">
        <v>7</v>
      </c>
      <c r="U3" s="118" t="s">
        <v>10</v>
      </c>
      <c r="V3" s="118" t="s">
        <v>7</v>
      </c>
      <c r="W3" s="118" t="s">
        <v>114</v>
      </c>
      <c r="X3" s="118" t="s">
        <v>1155</v>
      </c>
      <c r="Y3" s="118" t="s">
        <v>7</v>
      </c>
      <c r="Z3" s="118" t="s">
        <v>7</v>
      </c>
      <c r="AA3" s="118" t="s">
        <v>7</v>
      </c>
      <c r="AB3" s="118" t="s">
        <v>7</v>
      </c>
      <c r="AC3" s="118" t="s">
        <v>7</v>
      </c>
      <c r="AD3" s="118" t="s">
        <v>7</v>
      </c>
      <c r="AE3" s="118" t="s">
        <v>7</v>
      </c>
      <c r="AF3" s="118"/>
      <c r="AG3" s="118"/>
    </row>
    <row r="4" spans="1:33" x14ac:dyDescent="0.3">
      <c r="A4" s="118">
        <v>69728</v>
      </c>
      <c r="B4" s="118" t="s">
        <v>332</v>
      </c>
      <c r="C4" s="118" t="s">
        <v>568</v>
      </c>
      <c r="D4" s="118" t="s">
        <v>11</v>
      </c>
      <c r="E4" s="118" t="s">
        <v>48</v>
      </c>
      <c r="F4" s="118" t="s">
        <v>81</v>
      </c>
      <c r="G4" s="118"/>
      <c r="H4" s="119">
        <v>42600.671099537038</v>
      </c>
      <c r="I4" s="118" t="s">
        <v>1139</v>
      </c>
      <c r="J4" s="118" t="s">
        <v>48</v>
      </c>
      <c r="K4" s="119">
        <v>42271.431354166663</v>
      </c>
      <c r="L4" s="118" t="s">
        <v>315</v>
      </c>
      <c r="M4" s="118"/>
      <c r="N4" s="118"/>
      <c r="O4" s="118" t="s">
        <v>6</v>
      </c>
      <c r="P4" s="118" t="s">
        <v>30</v>
      </c>
      <c r="Q4" s="118" t="s">
        <v>24</v>
      </c>
      <c r="R4" s="118" t="s">
        <v>46</v>
      </c>
      <c r="S4" s="118"/>
      <c r="T4" s="118" t="s">
        <v>7</v>
      </c>
      <c r="U4" s="118" t="s">
        <v>10</v>
      </c>
      <c r="V4" s="118" t="s">
        <v>7</v>
      </c>
      <c r="W4" s="118" t="s">
        <v>114</v>
      </c>
      <c r="X4" s="118" t="s">
        <v>1155</v>
      </c>
      <c r="Y4" s="118" t="s">
        <v>7</v>
      </c>
      <c r="Z4" s="118" t="s">
        <v>7</v>
      </c>
      <c r="AA4" s="118" t="s">
        <v>7</v>
      </c>
      <c r="AB4" s="118" t="s">
        <v>7</v>
      </c>
      <c r="AC4" s="118" t="s">
        <v>7</v>
      </c>
      <c r="AD4" s="118" t="s">
        <v>7</v>
      </c>
      <c r="AE4" s="118" t="s">
        <v>7</v>
      </c>
      <c r="AF4" s="118"/>
      <c r="AG4" s="118"/>
    </row>
    <row r="5" spans="1:33" x14ac:dyDescent="0.3">
      <c r="A5" s="118">
        <v>69729</v>
      </c>
      <c r="B5" s="118" t="s">
        <v>332</v>
      </c>
      <c r="C5" s="118" t="s">
        <v>676</v>
      </c>
      <c r="D5" s="118" t="s">
        <v>11</v>
      </c>
      <c r="E5" s="118" t="s">
        <v>569</v>
      </c>
      <c r="F5" s="118" t="s">
        <v>81</v>
      </c>
      <c r="G5" s="118"/>
      <c r="H5" s="119">
        <v>42600.671076388891</v>
      </c>
      <c r="I5" s="118" t="s">
        <v>1139</v>
      </c>
      <c r="J5" s="118" t="s">
        <v>48</v>
      </c>
      <c r="K5" s="119">
        <v>42271.431446759256</v>
      </c>
      <c r="L5" s="118" t="s">
        <v>315</v>
      </c>
      <c r="M5" s="118"/>
      <c r="N5" s="118"/>
      <c r="O5" s="118" t="s">
        <v>6</v>
      </c>
      <c r="P5" s="118" t="s">
        <v>30</v>
      </c>
      <c r="Q5" s="118" t="s">
        <v>24</v>
      </c>
      <c r="R5" s="118" t="s">
        <v>46</v>
      </c>
      <c r="S5" s="118"/>
      <c r="T5" s="118" t="s">
        <v>7</v>
      </c>
      <c r="U5" s="118" t="s">
        <v>10</v>
      </c>
      <c r="V5" s="118" t="s">
        <v>7</v>
      </c>
      <c r="W5" s="118" t="s">
        <v>114</v>
      </c>
      <c r="X5" s="118" t="s">
        <v>1155</v>
      </c>
      <c r="Y5" s="118" t="s">
        <v>7</v>
      </c>
      <c r="Z5" s="118" t="s">
        <v>7</v>
      </c>
      <c r="AA5" s="118" t="s">
        <v>7</v>
      </c>
      <c r="AB5" s="118" t="s">
        <v>7</v>
      </c>
      <c r="AC5" s="118" t="s">
        <v>7</v>
      </c>
      <c r="AD5" s="118" t="s">
        <v>7</v>
      </c>
      <c r="AE5" s="118" t="s">
        <v>7</v>
      </c>
      <c r="AF5" s="118"/>
      <c r="AG5" s="118"/>
    </row>
    <row r="6" spans="1:33" x14ac:dyDescent="0.3">
      <c r="A6" s="118">
        <v>73892</v>
      </c>
      <c r="B6" s="118" t="s">
        <v>332</v>
      </c>
      <c r="C6" s="118" t="s">
        <v>614</v>
      </c>
      <c r="D6" s="118" t="s">
        <v>11</v>
      </c>
      <c r="E6" s="118" t="s">
        <v>48</v>
      </c>
      <c r="F6" s="118" t="s">
        <v>81</v>
      </c>
      <c r="G6" s="118"/>
      <c r="H6" s="119">
        <v>42605.468171296299</v>
      </c>
      <c r="I6" s="118" t="s">
        <v>1139</v>
      </c>
      <c r="J6" s="118" t="s">
        <v>48</v>
      </c>
      <c r="K6" s="119">
        <v>42347.022731481484</v>
      </c>
      <c r="L6" s="118" t="s">
        <v>600</v>
      </c>
      <c r="M6" s="118"/>
      <c r="N6" s="118"/>
      <c r="O6" s="118" t="s">
        <v>6</v>
      </c>
      <c r="P6" s="118" t="s">
        <v>30</v>
      </c>
      <c r="Q6" s="118" t="s">
        <v>24</v>
      </c>
      <c r="R6" s="118" t="s">
        <v>46</v>
      </c>
      <c r="S6" s="118"/>
      <c r="T6" s="118" t="s">
        <v>7</v>
      </c>
      <c r="U6" s="118" t="s">
        <v>10</v>
      </c>
      <c r="V6" s="118" t="s">
        <v>7</v>
      </c>
      <c r="W6" s="118" t="s">
        <v>114</v>
      </c>
      <c r="X6" s="118" t="s">
        <v>1138</v>
      </c>
      <c r="Y6" s="118" t="s">
        <v>7</v>
      </c>
      <c r="Z6" s="118" t="s">
        <v>7</v>
      </c>
      <c r="AA6" s="118" t="s">
        <v>7</v>
      </c>
      <c r="AB6" s="118" t="s">
        <v>7</v>
      </c>
      <c r="AC6" s="118" t="s">
        <v>7</v>
      </c>
      <c r="AD6" s="118" t="s">
        <v>7</v>
      </c>
      <c r="AE6" s="118" t="s">
        <v>7</v>
      </c>
      <c r="AF6" s="118"/>
      <c r="AG6" s="118"/>
    </row>
    <row r="7" spans="1:33" x14ac:dyDescent="0.3">
      <c r="A7" s="118">
        <v>74252</v>
      </c>
      <c r="B7" s="118" t="s">
        <v>1007</v>
      </c>
      <c r="C7" s="118" t="s">
        <v>1261</v>
      </c>
      <c r="D7" s="118" t="s">
        <v>2</v>
      </c>
      <c r="E7" s="118" t="s">
        <v>173</v>
      </c>
      <c r="F7" s="118" t="s">
        <v>1140</v>
      </c>
      <c r="G7" s="118"/>
      <c r="H7" s="119">
        <v>42598.08152777778</v>
      </c>
      <c r="I7" s="118" t="s">
        <v>1135</v>
      </c>
      <c r="J7" s="118" t="s">
        <v>80</v>
      </c>
      <c r="K7" s="119">
        <v>42354.320023148146</v>
      </c>
      <c r="L7" s="118" t="s">
        <v>242</v>
      </c>
      <c r="M7" s="118"/>
      <c r="N7" s="118"/>
      <c r="O7" s="118" t="s">
        <v>6</v>
      </c>
      <c r="P7" s="118" t="s">
        <v>30</v>
      </c>
      <c r="Q7" s="118" t="s">
        <v>13</v>
      </c>
      <c r="R7" s="118" t="s">
        <v>14</v>
      </c>
      <c r="S7" s="118"/>
      <c r="T7" s="118" t="s">
        <v>7</v>
      </c>
      <c r="U7" s="118" t="s">
        <v>10</v>
      </c>
      <c r="V7" s="118" t="s">
        <v>7</v>
      </c>
      <c r="W7" s="118" t="s">
        <v>82</v>
      </c>
      <c r="X7" s="118" t="s">
        <v>1134</v>
      </c>
      <c r="Y7" s="118" t="s">
        <v>7</v>
      </c>
      <c r="Z7" s="118" t="s">
        <v>7</v>
      </c>
      <c r="AA7" s="118" t="s">
        <v>7</v>
      </c>
      <c r="AB7" s="118" t="s">
        <v>7</v>
      </c>
      <c r="AC7" s="118" t="s">
        <v>7</v>
      </c>
      <c r="AD7" s="118" t="s">
        <v>7</v>
      </c>
      <c r="AE7" s="118" t="s">
        <v>7</v>
      </c>
      <c r="AF7" s="118"/>
      <c r="AG7" s="118"/>
    </row>
    <row r="8" spans="1:33" x14ac:dyDescent="0.3">
      <c r="A8" s="118">
        <v>74611</v>
      </c>
      <c r="B8" s="118" t="s">
        <v>695</v>
      </c>
      <c r="C8" s="118" t="s">
        <v>1262</v>
      </c>
      <c r="D8" s="118" t="s">
        <v>11</v>
      </c>
      <c r="E8" s="118" t="s">
        <v>173</v>
      </c>
      <c r="F8" s="118" t="s">
        <v>1263</v>
      </c>
      <c r="G8" s="118"/>
      <c r="H8" s="119">
        <v>42593.359050925923</v>
      </c>
      <c r="I8" s="118" t="s">
        <v>1135</v>
      </c>
      <c r="J8" s="118" t="s">
        <v>167</v>
      </c>
      <c r="K8" s="119">
        <v>42362.028067129628</v>
      </c>
      <c r="L8" s="118" t="s">
        <v>16</v>
      </c>
      <c r="M8" s="118"/>
      <c r="N8" s="118"/>
      <c r="O8" s="118" t="s">
        <v>17</v>
      </c>
      <c r="P8" s="118" t="s">
        <v>30</v>
      </c>
      <c r="Q8" s="118" t="s">
        <v>13</v>
      </c>
      <c r="R8" s="118" t="s">
        <v>19</v>
      </c>
      <c r="S8" s="118"/>
      <c r="T8" s="118" t="s">
        <v>7</v>
      </c>
      <c r="U8" s="118" t="s">
        <v>89</v>
      </c>
      <c r="V8" s="118" t="s">
        <v>7</v>
      </c>
      <c r="W8" s="118" t="s">
        <v>82</v>
      </c>
      <c r="X8" s="118" t="s">
        <v>1134</v>
      </c>
      <c r="Y8" s="118" t="s">
        <v>7</v>
      </c>
      <c r="Z8" s="118" t="s">
        <v>7</v>
      </c>
      <c r="AA8" s="118" t="s">
        <v>7</v>
      </c>
      <c r="AB8" s="118" t="s">
        <v>7</v>
      </c>
      <c r="AC8" s="118" t="s">
        <v>7</v>
      </c>
      <c r="AD8" s="118" t="s">
        <v>7</v>
      </c>
      <c r="AE8" s="118" t="s">
        <v>7</v>
      </c>
      <c r="AF8" s="118">
        <v>9871</v>
      </c>
      <c r="AG8" s="118"/>
    </row>
    <row r="9" spans="1:33" x14ac:dyDescent="0.3">
      <c r="A9" s="118">
        <v>74670</v>
      </c>
      <c r="B9" s="118" t="s">
        <v>695</v>
      </c>
      <c r="C9" s="118" t="s">
        <v>1264</v>
      </c>
      <c r="D9" s="118" t="s">
        <v>11</v>
      </c>
      <c r="E9" s="118" t="s">
        <v>1265</v>
      </c>
      <c r="F9" s="118" t="s">
        <v>695</v>
      </c>
      <c r="G9" s="118" t="s">
        <v>1260</v>
      </c>
      <c r="H9" s="119">
        <v>42599.17800925926</v>
      </c>
      <c r="I9" s="118" t="s">
        <v>1135</v>
      </c>
      <c r="J9" s="118" t="s">
        <v>167</v>
      </c>
      <c r="K9" s="119">
        <v>42367.254293981481</v>
      </c>
      <c r="L9" s="118" t="s">
        <v>16</v>
      </c>
      <c r="M9" s="118"/>
      <c r="N9" s="118"/>
      <c r="O9" s="118" t="s">
        <v>17</v>
      </c>
      <c r="P9" s="118" t="s">
        <v>30</v>
      </c>
      <c r="Q9" s="118" t="s">
        <v>13</v>
      </c>
      <c r="R9" s="118" t="s">
        <v>19</v>
      </c>
      <c r="S9" s="118"/>
      <c r="T9" s="118" t="s">
        <v>7</v>
      </c>
      <c r="U9" s="118" t="s">
        <v>89</v>
      </c>
      <c r="V9" s="118" t="s">
        <v>1253</v>
      </c>
      <c r="W9" s="118" t="s">
        <v>82</v>
      </c>
      <c r="X9" s="118" t="s">
        <v>1134</v>
      </c>
      <c r="Y9" s="118" t="s">
        <v>7</v>
      </c>
      <c r="Z9" s="118" t="s">
        <v>7</v>
      </c>
      <c r="AA9" s="118" t="s">
        <v>1266</v>
      </c>
      <c r="AB9" s="118" t="s">
        <v>7</v>
      </c>
      <c r="AC9" s="118" t="s">
        <v>217</v>
      </c>
      <c r="AD9" s="118" t="s">
        <v>7</v>
      </c>
      <c r="AE9" s="118" t="s">
        <v>7</v>
      </c>
      <c r="AF9" s="118">
        <v>9871</v>
      </c>
      <c r="AG9" s="118"/>
    </row>
    <row r="10" spans="1:33" x14ac:dyDescent="0.3">
      <c r="A10" s="118">
        <v>75751</v>
      </c>
      <c r="B10" s="118" t="s">
        <v>338</v>
      </c>
      <c r="C10" s="118" t="s">
        <v>703</v>
      </c>
      <c r="D10" s="118" t="s">
        <v>11</v>
      </c>
      <c r="E10" s="118" t="s">
        <v>569</v>
      </c>
      <c r="F10" s="118" t="s">
        <v>81</v>
      </c>
      <c r="G10" s="118"/>
      <c r="H10" s="119">
        <v>42601.42769675926</v>
      </c>
      <c r="I10" s="118" t="s">
        <v>1139</v>
      </c>
      <c r="J10" s="118" t="s">
        <v>3</v>
      </c>
      <c r="K10" s="119">
        <v>42391.485150462962</v>
      </c>
      <c r="L10" s="118" t="s">
        <v>40</v>
      </c>
      <c r="M10" s="118"/>
      <c r="N10" s="118"/>
      <c r="O10" s="118" t="s">
        <v>6</v>
      </c>
      <c r="P10" s="118" t="s">
        <v>7</v>
      </c>
      <c r="Q10" s="118" t="s">
        <v>8</v>
      </c>
      <c r="R10" s="118" t="s">
        <v>122</v>
      </c>
      <c r="S10" s="118"/>
      <c r="T10" s="118" t="s">
        <v>7</v>
      </c>
      <c r="U10" s="118" t="s">
        <v>10</v>
      </c>
      <c r="V10" s="118" t="s">
        <v>7</v>
      </c>
      <c r="W10" s="118" t="s">
        <v>114</v>
      </c>
      <c r="X10" s="118" t="s">
        <v>1136</v>
      </c>
      <c r="Y10" s="118" t="s">
        <v>7</v>
      </c>
      <c r="Z10" s="118" t="s">
        <v>7</v>
      </c>
      <c r="AA10" s="118" t="s">
        <v>7</v>
      </c>
      <c r="AB10" s="118" t="s">
        <v>7</v>
      </c>
      <c r="AC10" s="118" t="s">
        <v>1169</v>
      </c>
      <c r="AD10" s="118" t="s">
        <v>7</v>
      </c>
      <c r="AE10" s="118" t="s">
        <v>7</v>
      </c>
      <c r="AF10" s="118"/>
      <c r="AG10" s="118"/>
    </row>
    <row r="11" spans="1:33" x14ac:dyDescent="0.3">
      <c r="A11" s="118">
        <v>76407</v>
      </c>
      <c r="B11" s="118" t="s">
        <v>695</v>
      </c>
      <c r="C11" s="118" t="s">
        <v>1267</v>
      </c>
      <c r="D11" s="118" t="s">
        <v>11</v>
      </c>
      <c r="E11" s="118" t="s">
        <v>173</v>
      </c>
      <c r="F11" s="118" t="s">
        <v>1045</v>
      </c>
      <c r="G11" s="118"/>
      <c r="H11" s="119">
        <v>42599.314201388886</v>
      </c>
      <c r="I11" s="118" t="s">
        <v>1135</v>
      </c>
      <c r="J11" s="118" t="s">
        <v>569</v>
      </c>
      <c r="K11" s="119">
        <v>42402.149814814817</v>
      </c>
      <c r="L11" s="118" t="s">
        <v>628</v>
      </c>
      <c r="M11" s="118"/>
      <c r="N11" s="118" t="s">
        <v>616</v>
      </c>
      <c r="O11" s="118" t="s">
        <v>17</v>
      </c>
      <c r="P11" s="118" t="s">
        <v>30</v>
      </c>
      <c r="Q11" s="118" t="s">
        <v>13</v>
      </c>
      <c r="R11" s="118" t="s">
        <v>292</v>
      </c>
      <c r="S11" s="118"/>
      <c r="T11" s="118" t="s">
        <v>7</v>
      </c>
      <c r="U11" s="118" t="s">
        <v>10</v>
      </c>
      <c r="V11" s="118" t="s">
        <v>7</v>
      </c>
      <c r="W11" s="118" t="s">
        <v>82</v>
      </c>
      <c r="X11" s="118" t="s">
        <v>1134</v>
      </c>
      <c r="Y11" s="118" t="s">
        <v>7</v>
      </c>
      <c r="Z11" s="118" t="s">
        <v>7</v>
      </c>
      <c r="AA11" s="118" t="s">
        <v>7</v>
      </c>
      <c r="AB11" s="118" t="s">
        <v>7</v>
      </c>
      <c r="AC11" s="118" t="s">
        <v>7</v>
      </c>
      <c r="AD11" s="118" t="s">
        <v>7</v>
      </c>
      <c r="AE11" s="118" t="s">
        <v>7</v>
      </c>
      <c r="AF11" s="118"/>
      <c r="AG11" s="118"/>
    </row>
    <row r="12" spans="1:33" x14ac:dyDescent="0.3">
      <c r="A12" s="118">
        <v>76599</v>
      </c>
      <c r="B12" s="118" t="s">
        <v>695</v>
      </c>
      <c r="C12" s="118" t="s">
        <v>719</v>
      </c>
      <c r="D12" s="118" t="s">
        <v>11</v>
      </c>
      <c r="E12" s="118" t="s">
        <v>569</v>
      </c>
      <c r="F12" s="118" t="s">
        <v>81</v>
      </c>
      <c r="G12" s="118"/>
      <c r="H12" s="119">
        <v>42599.312118055554</v>
      </c>
      <c r="I12" s="118" t="s">
        <v>1135</v>
      </c>
      <c r="J12" s="118" t="s">
        <v>569</v>
      </c>
      <c r="K12" s="119">
        <v>42405.023993055554</v>
      </c>
      <c r="L12" s="118" t="s">
        <v>628</v>
      </c>
      <c r="M12" s="118"/>
      <c r="N12" s="118" t="s">
        <v>616</v>
      </c>
      <c r="O12" s="118" t="s">
        <v>17</v>
      </c>
      <c r="P12" s="118" t="s">
        <v>30</v>
      </c>
      <c r="Q12" s="118" t="s">
        <v>13</v>
      </c>
      <c r="R12" s="118" t="s">
        <v>19</v>
      </c>
      <c r="S12" s="118"/>
      <c r="T12" s="118" t="s">
        <v>7</v>
      </c>
      <c r="U12" s="118" t="s">
        <v>10</v>
      </c>
      <c r="V12" s="118" t="s">
        <v>7</v>
      </c>
      <c r="W12" s="118" t="s">
        <v>82</v>
      </c>
      <c r="X12" s="118" t="s">
        <v>1134</v>
      </c>
      <c r="Y12" s="118" t="s">
        <v>7</v>
      </c>
      <c r="Z12" s="118" t="s">
        <v>363</v>
      </c>
      <c r="AA12" s="118" t="s">
        <v>7</v>
      </c>
      <c r="AB12" s="118" t="s">
        <v>1268</v>
      </c>
      <c r="AC12" s="118" t="s">
        <v>217</v>
      </c>
      <c r="AD12" s="118" t="s">
        <v>7</v>
      </c>
      <c r="AE12" s="118" t="s">
        <v>7</v>
      </c>
      <c r="AF12" s="118"/>
      <c r="AG12" s="118"/>
    </row>
    <row r="13" spans="1:33" x14ac:dyDescent="0.3">
      <c r="A13" s="118">
        <v>77908</v>
      </c>
      <c r="B13" s="118" t="s">
        <v>332</v>
      </c>
      <c r="C13" s="118" t="s">
        <v>1269</v>
      </c>
      <c r="D13" s="118" t="s">
        <v>2</v>
      </c>
      <c r="E13" s="118" t="s">
        <v>999</v>
      </c>
      <c r="F13" s="118" t="s">
        <v>332</v>
      </c>
      <c r="G13" s="118" t="s">
        <v>1270</v>
      </c>
      <c r="H13" s="119">
        <v>42598.082766203705</v>
      </c>
      <c r="I13" s="118" t="s">
        <v>1135</v>
      </c>
      <c r="J13" s="118" t="s">
        <v>48</v>
      </c>
      <c r="K13" s="119">
        <v>42429.662233796298</v>
      </c>
      <c r="L13" s="118" t="s">
        <v>84</v>
      </c>
      <c r="M13" s="118"/>
      <c r="N13" s="118"/>
      <c r="O13" s="118" t="s">
        <v>6</v>
      </c>
      <c r="P13" s="118" t="s">
        <v>30</v>
      </c>
      <c r="Q13" s="118" t="s">
        <v>13</v>
      </c>
      <c r="R13" s="118" t="s">
        <v>19</v>
      </c>
      <c r="S13" s="118"/>
      <c r="T13" s="118" t="s">
        <v>7</v>
      </c>
      <c r="U13" s="118" t="s">
        <v>89</v>
      </c>
      <c r="V13" s="118" t="s">
        <v>7</v>
      </c>
      <c r="W13" s="118" t="s">
        <v>82</v>
      </c>
      <c r="X13" s="118" t="s">
        <v>1136</v>
      </c>
      <c r="Y13" s="118" t="s">
        <v>7</v>
      </c>
      <c r="Z13" s="118" t="s">
        <v>7</v>
      </c>
      <c r="AA13" s="118" t="s">
        <v>7</v>
      </c>
      <c r="AB13" s="118" t="s">
        <v>7</v>
      </c>
      <c r="AC13" s="118" t="s">
        <v>7</v>
      </c>
      <c r="AD13" s="118" t="s">
        <v>7</v>
      </c>
      <c r="AE13" s="118" t="s">
        <v>7</v>
      </c>
      <c r="AF13" s="118"/>
      <c r="AG13" s="118"/>
    </row>
    <row r="14" spans="1:33" x14ac:dyDescent="0.3">
      <c r="A14" s="118">
        <v>78012</v>
      </c>
      <c r="B14" s="118" t="s">
        <v>826</v>
      </c>
      <c r="C14" s="118" t="s">
        <v>1271</v>
      </c>
      <c r="D14" s="118" t="s">
        <v>2</v>
      </c>
      <c r="E14" s="118" t="s">
        <v>173</v>
      </c>
      <c r="F14" s="118" t="s">
        <v>826</v>
      </c>
      <c r="G14" s="118"/>
      <c r="H14" s="119">
        <v>42598.031087962961</v>
      </c>
      <c r="I14" s="118" t="s">
        <v>1135</v>
      </c>
      <c r="J14" s="118" t="s">
        <v>48</v>
      </c>
      <c r="K14" s="119">
        <v>42430.544537037036</v>
      </c>
      <c r="L14" s="118" t="s">
        <v>16</v>
      </c>
      <c r="M14" s="118"/>
      <c r="N14" s="118" t="s">
        <v>366</v>
      </c>
      <c r="O14" s="118" t="s">
        <v>6</v>
      </c>
      <c r="P14" s="118" t="s">
        <v>30</v>
      </c>
      <c r="Q14" s="118" t="s">
        <v>13</v>
      </c>
      <c r="R14" s="118" t="s">
        <v>19</v>
      </c>
      <c r="S14" s="118"/>
      <c r="T14" s="118" t="s">
        <v>7</v>
      </c>
      <c r="U14" s="118" t="s">
        <v>10</v>
      </c>
      <c r="V14" s="118" t="s">
        <v>7</v>
      </c>
      <c r="W14" s="118" t="s">
        <v>82</v>
      </c>
      <c r="X14" s="118" t="s">
        <v>1155</v>
      </c>
      <c r="Y14" s="118" t="s">
        <v>7</v>
      </c>
      <c r="Z14" s="118" t="s">
        <v>7</v>
      </c>
      <c r="AA14" s="118" t="s">
        <v>7</v>
      </c>
      <c r="AB14" s="118" t="s">
        <v>7</v>
      </c>
      <c r="AC14" s="118" t="s">
        <v>7</v>
      </c>
      <c r="AD14" s="118" t="s">
        <v>7</v>
      </c>
      <c r="AE14" s="118" t="s">
        <v>7</v>
      </c>
      <c r="AF14" s="118">
        <v>10408</v>
      </c>
      <c r="AG14" s="118"/>
    </row>
    <row r="15" spans="1:33" x14ac:dyDescent="0.3">
      <c r="A15" s="118">
        <v>78245</v>
      </c>
      <c r="B15" s="118" t="s">
        <v>1007</v>
      </c>
      <c r="C15" s="118" t="s">
        <v>1272</v>
      </c>
      <c r="D15" s="118" t="s">
        <v>2</v>
      </c>
      <c r="E15" s="118" t="s">
        <v>999</v>
      </c>
      <c r="F15" s="118" t="s">
        <v>81</v>
      </c>
      <c r="G15" s="118"/>
      <c r="H15" s="119">
        <v>42598.081388888888</v>
      </c>
      <c r="I15" s="118" t="s">
        <v>1135</v>
      </c>
      <c r="J15" s="118" t="s">
        <v>80</v>
      </c>
      <c r="K15" s="119">
        <v>42433.349699074075</v>
      </c>
      <c r="L15" s="118" t="s">
        <v>242</v>
      </c>
      <c r="M15" s="118"/>
      <c r="N15" s="118"/>
      <c r="O15" s="118" t="s">
        <v>6</v>
      </c>
      <c r="P15" s="118" t="s">
        <v>30</v>
      </c>
      <c r="Q15" s="118" t="s">
        <v>13</v>
      </c>
      <c r="R15" s="118" t="s">
        <v>14</v>
      </c>
      <c r="S15" s="118"/>
      <c r="T15" s="118" t="s">
        <v>7</v>
      </c>
      <c r="U15" s="118" t="s">
        <v>10</v>
      </c>
      <c r="V15" s="118" t="s">
        <v>7</v>
      </c>
      <c r="W15" s="118" t="s">
        <v>82</v>
      </c>
      <c r="X15" s="118" t="s">
        <v>1134</v>
      </c>
      <c r="Y15" s="118" t="s">
        <v>7</v>
      </c>
      <c r="Z15" s="118" t="s">
        <v>7</v>
      </c>
      <c r="AA15" s="118" t="s">
        <v>7</v>
      </c>
      <c r="AB15" s="118" t="s">
        <v>7</v>
      </c>
      <c r="AC15" s="118" t="s">
        <v>7</v>
      </c>
      <c r="AD15" s="118" t="s">
        <v>7</v>
      </c>
      <c r="AE15" s="118" t="s">
        <v>7</v>
      </c>
      <c r="AF15" s="118"/>
      <c r="AG15" s="118"/>
    </row>
    <row r="16" spans="1:33" x14ac:dyDescent="0.3">
      <c r="A16" s="118">
        <v>78320</v>
      </c>
      <c r="B16" s="118" t="s">
        <v>826</v>
      </c>
      <c r="C16" s="118" t="s">
        <v>1273</v>
      </c>
      <c r="D16" s="118" t="s">
        <v>2</v>
      </c>
      <c r="E16" s="118" t="s">
        <v>999</v>
      </c>
      <c r="F16" s="118" t="s">
        <v>316</v>
      </c>
      <c r="G16" s="118" t="s">
        <v>1274</v>
      </c>
      <c r="H16" s="119">
        <v>42598.030752314815</v>
      </c>
      <c r="I16" s="118" t="s">
        <v>1135</v>
      </c>
      <c r="J16" s="118" t="s">
        <v>48</v>
      </c>
      <c r="K16" s="119">
        <v>42436.361886574072</v>
      </c>
      <c r="L16" s="118" t="s">
        <v>16</v>
      </c>
      <c r="M16" s="118"/>
      <c r="N16" s="118" t="s">
        <v>366</v>
      </c>
      <c r="O16" s="118" t="s">
        <v>6</v>
      </c>
      <c r="P16" s="118" t="s">
        <v>30</v>
      </c>
      <c r="Q16" s="118" t="s">
        <v>13</v>
      </c>
      <c r="R16" s="118" t="s">
        <v>19</v>
      </c>
      <c r="S16" s="118"/>
      <c r="T16" s="118" t="s">
        <v>7</v>
      </c>
      <c r="U16" s="118" t="s">
        <v>10</v>
      </c>
      <c r="V16" s="118" t="s">
        <v>7</v>
      </c>
      <c r="W16" s="118" t="s">
        <v>82</v>
      </c>
      <c r="X16" s="118" t="s">
        <v>1155</v>
      </c>
      <c r="Y16" s="118" t="s">
        <v>7</v>
      </c>
      <c r="Z16" s="118" t="s">
        <v>7</v>
      </c>
      <c r="AA16" s="118" t="s">
        <v>7</v>
      </c>
      <c r="AB16" s="118" t="s">
        <v>7</v>
      </c>
      <c r="AC16" s="118" t="s">
        <v>7</v>
      </c>
      <c r="AD16" s="118" t="s">
        <v>7</v>
      </c>
      <c r="AE16" s="118" t="s">
        <v>7</v>
      </c>
      <c r="AF16" s="118">
        <v>10408</v>
      </c>
      <c r="AG16" s="118"/>
    </row>
    <row r="17" spans="1:33" x14ac:dyDescent="0.3">
      <c r="A17" s="118">
        <v>81360</v>
      </c>
      <c r="B17" s="118" t="s">
        <v>374</v>
      </c>
      <c r="C17" s="118" t="s">
        <v>1351</v>
      </c>
      <c r="D17" s="118" t="s">
        <v>11</v>
      </c>
      <c r="E17" s="118" t="s">
        <v>173</v>
      </c>
      <c r="F17" s="118" t="s">
        <v>1352</v>
      </c>
      <c r="G17" s="118"/>
      <c r="H17" s="119">
        <v>42600.657881944448</v>
      </c>
      <c r="I17" s="118" t="s">
        <v>1139</v>
      </c>
      <c r="J17" s="118" t="s">
        <v>569</v>
      </c>
      <c r="K17" s="119">
        <v>42481.951782407406</v>
      </c>
      <c r="L17" s="118" t="s">
        <v>50</v>
      </c>
      <c r="M17" s="118"/>
      <c r="N17" s="118"/>
      <c r="O17" s="118" t="s">
        <v>6</v>
      </c>
      <c r="P17" s="118" t="s">
        <v>30</v>
      </c>
      <c r="Q17" s="118" t="s">
        <v>8</v>
      </c>
      <c r="R17" s="118" t="s">
        <v>183</v>
      </c>
      <c r="S17" s="118"/>
      <c r="T17" s="118" t="s">
        <v>7</v>
      </c>
      <c r="U17" s="118" t="s">
        <v>10</v>
      </c>
      <c r="V17" s="118" t="s">
        <v>7</v>
      </c>
      <c r="W17" s="118" t="s">
        <v>114</v>
      </c>
      <c r="X17" s="118" t="s">
        <v>1136</v>
      </c>
      <c r="Y17" s="118" t="s">
        <v>7</v>
      </c>
      <c r="Z17" s="118" t="s">
        <v>7</v>
      </c>
      <c r="AA17" s="118" t="s">
        <v>7</v>
      </c>
      <c r="AB17" s="118" t="s">
        <v>7</v>
      </c>
      <c r="AC17" s="118" t="s">
        <v>7</v>
      </c>
      <c r="AD17" s="118" t="s">
        <v>7</v>
      </c>
      <c r="AE17" s="118" t="s">
        <v>7</v>
      </c>
      <c r="AF17" s="118"/>
      <c r="AG17" s="118"/>
    </row>
    <row r="18" spans="1:33" x14ac:dyDescent="0.3">
      <c r="A18" s="118">
        <v>81747</v>
      </c>
      <c r="B18" s="118" t="s">
        <v>374</v>
      </c>
      <c r="C18" s="118" t="s">
        <v>1276</v>
      </c>
      <c r="D18" s="118" t="s">
        <v>11</v>
      </c>
      <c r="E18" s="118" t="s">
        <v>1227</v>
      </c>
      <c r="F18" s="118" t="s">
        <v>564</v>
      </c>
      <c r="G18" s="118"/>
      <c r="H18" s="119">
        <v>42599.694247685184</v>
      </c>
      <c r="I18" s="118" t="s">
        <v>1139</v>
      </c>
      <c r="J18" s="118" t="s">
        <v>1221</v>
      </c>
      <c r="K18" s="119">
        <v>42487.278414351851</v>
      </c>
      <c r="L18" s="118" t="s">
        <v>242</v>
      </c>
      <c r="M18" s="118"/>
      <c r="N18" s="118"/>
      <c r="O18" s="118" t="s">
        <v>6</v>
      </c>
      <c r="P18" s="118" t="s">
        <v>30</v>
      </c>
      <c r="Q18" s="118" t="s">
        <v>13</v>
      </c>
      <c r="R18" s="118" t="s">
        <v>19</v>
      </c>
      <c r="S18" s="118"/>
      <c r="T18" s="118" t="s">
        <v>7</v>
      </c>
      <c r="U18" s="118" t="s">
        <v>10</v>
      </c>
      <c r="V18" s="118" t="s">
        <v>7</v>
      </c>
      <c r="W18" s="118" t="s">
        <v>114</v>
      </c>
      <c r="X18" s="118" t="s">
        <v>1138</v>
      </c>
      <c r="Y18" s="118" t="s">
        <v>7</v>
      </c>
      <c r="Z18" s="118" t="s">
        <v>7</v>
      </c>
      <c r="AA18" s="118" t="s">
        <v>7</v>
      </c>
      <c r="AB18" s="118" t="s">
        <v>7</v>
      </c>
      <c r="AC18" s="118" t="s">
        <v>7</v>
      </c>
      <c r="AD18" s="118" t="s">
        <v>7</v>
      </c>
      <c r="AE18" s="118" t="s">
        <v>7</v>
      </c>
      <c r="AF18" s="118"/>
      <c r="AG18" s="118"/>
    </row>
    <row r="19" spans="1:33" x14ac:dyDescent="0.3">
      <c r="A19" s="118">
        <v>81748</v>
      </c>
      <c r="B19" s="118" t="s">
        <v>374</v>
      </c>
      <c r="C19" s="118" t="s">
        <v>1277</v>
      </c>
      <c r="D19" s="118" t="s">
        <v>11</v>
      </c>
      <c r="E19" s="118" t="s">
        <v>1227</v>
      </c>
      <c r="F19" s="118" t="s">
        <v>564</v>
      </c>
      <c r="G19" s="118"/>
      <c r="H19" s="119">
        <v>42599.660150462965</v>
      </c>
      <c r="I19" s="118" t="s">
        <v>1139</v>
      </c>
      <c r="J19" s="118" t="s">
        <v>3</v>
      </c>
      <c r="K19" s="119">
        <v>42487.286724537036</v>
      </c>
      <c r="L19" s="118" t="s">
        <v>102</v>
      </c>
      <c r="M19" s="118"/>
      <c r="N19" s="118" t="s">
        <v>1278</v>
      </c>
      <c r="O19" s="118" t="s">
        <v>6</v>
      </c>
      <c r="P19" s="118" t="s">
        <v>30</v>
      </c>
      <c r="Q19" s="118" t="s">
        <v>13</v>
      </c>
      <c r="R19" s="118" t="s">
        <v>19</v>
      </c>
      <c r="S19" s="118"/>
      <c r="T19" s="118" t="s">
        <v>7</v>
      </c>
      <c r="U19" s="118" t="s">
        <v>10</v>
      </c>
      <c r="V19" s="118" t="s">
        <v>7</v>
      </c>
      <c r="W19" s="118" t="s">
        <v>114</v>
      </c>
      <c r="X19" s="118" t="s">
        <v>1136</v>
      </c>
      <c r="Y19" s="118" t="s">
        <v>309</v>
      </c>
      <c r="Z19" s="118" t="s">
        <v>7</v>
      </c>
      <c r="AA19" s="118" t="s">
        <v>7</v>
      </c>
      <c r="AB19" s="118" t="s">
        <v>7</v>
      </c>
      <c r="AC19" s="118" t="s">
        <v>7</v>
      </c>
      <c r="AD19" s="118" t="s">
        <v>7</v>
      </c>
      <c r="AE19" s="118" t="s">
        <v>7</v>
      </c>
      <c r="AF19" s="118"/>
      <c r="AG19" s="118"/>
    </row>
    <row r="20" spans="1:33" x14ac:dyDescent="0.3">
      <c r="A20" s="118">
        <v>81750</v>
      </c>
      <c r="B20" s="118" t="s">
        <v>374</v>
      </c>
      <c r="C20" s="118" t="s">
        <v>1279</v>
      </c>
      <c r="D20" s="118" t="s">
        <v>146</v>
      </c>
      <c r="E20" s="118" t="s">
        <v>1227</v>
      </c>
      <c r="F20" s="118" t="s">
        <v>564</v>
      </c>
      <c r="G20" s="118"/>
      <c r="H20" s="119">
        <v>42599.697002314817</v>
      </c>
      <c r="I20" s="118" t="s">
        <v>1139</v>
      </c>
      <c r="J20" s="118" t="s">
        <v>561</v>
      </c>
      <c r="K20" s="119">
        <v>42487.292291666665</v>
      </c>
      <c r="L20" s="118" t="s">
        <v>50</v>
      </c>
      <c r="M20" s="118"/>
      <c r="N20" s="118"/>
      <c r="O20" s="118" t="s">
        <v>17</v>
      </c>
      <c r="P20" s="118" t="s">
        <v>30</v>
      </c>
      <c r="Q20" s="118" t="s">
        <v>13</v>
      </c>
      <c r="R20" s="118" t="s">
        <v>19</v>
      </c>
      <c r="S20" s="118"/>
      <c r="T20" s="118" t="s">
        <v>7</v>
      </c>
      <c r="U20" s="118" t="s">
        <v>10</v>
      </c>
      <c r="V20" s="118" t="s">
        <v>7</v>
      </c>
      <c r="W20" s="118" t="s">
        <v>114</v>
      </c>
      <c r="X20" s="118" t="s">
        <v>1138</v>
      </c>
      <c r="Y20" s="118" t="s">
        <v>7</v>
      </c>
      <c r="Z20" s="118" t="s">
        <v>7</v>
      </c>
      <c r="AA20" s="118" t="s">
        <v>7</v>
      </c>
      <c r="AB20" s="118" t="s">
        <v>7</v>
      </c>
      <c r="AC20" s="118" t="s">
        <v>7</v>
      </c>
      <c r="AD20" s="118" t="s">
        <v>7</v>
      </c>
      <c r="AE20" s="118" t="s">
        <v>7</v>
      </c>
      <c r="AF20" s="118"/>
      <c r="AG20" s="118"/>
    </row>
    <row r="21" spans="1:33" x14ac:dyDescent="0.3">
      <c r="A21" s="118">
        <v>81755</v>
      </c>
      <c r="B21" s="118" t="s">
        <v>374</v>
      </c>
      <c r="C21" s="118" t="s">
        <v>1280</v>
      </c>
      <c r="D21" s="118" t="s">
        <v>11</v>
      </c>
      <c r="E21" s="118" t="s">
        <v>1227</v>
      </c>
      <c r="F21" s="118" t="s">
        <v>564</v>
      </c>
      <c r="G21" s="118"/>
      <c r="H21" s="119">
        <v>42599.688287037039</v>
      </c>
      <c r="I21" s="118" t="s">
        <v>1139</v>
      </c>
      <c r="J21" s="118" t="s">
        <v>48</v>
      </c>
      <c r="K21" s="119">
        <v>42487.309571759259</v>
      </c>
      <c r="L21" s="118" t="s">
        <v>242</v>
      </c>
      <c r="M21" s="118"/>
      <c r="N21" s="118"/>
      <c r="O21" s="118" t="s">
        <v>6</v>
      </c>
      <c r="P21" s="118" t="s">
        <v>30</v>
      </c>
      <c r="Q21" s="118" t="s">
        <v>13</v>
      </c>
      <c r="R21" s="118" t="s">
        <v>19</v>
      </c>
      <c r="S21" s="118"/>
      <c r="T21" s="118" t="s">
        <v>7</v>
      </c>
      <c r="U21" s="118" t="s">
        <v>10</v>
      </c>
      <c r="V21" s="118" t="s">
        <v>7</v>
      </c>
      <c r="W21" s="118" t="s">
        <v>114</v>
      </c>
      <c r="X21" s="118" t="s">
        <v>1138</v>
      </c>
      <c r="Y21" s="118" t="s">
        <v>7</v>
      </c>
      <c r="Z21" s="118" t="s">
        <v>7</v>
      </c>
      <c r="AA21" s="118" t="s">
        <v>7</v>
      </c>
      <c r="AB21" s="118" t="s">
        <v>7</v>
      </c>
      <c r="AC21" s="118" t="s">
        <v>7</v>
      </c>
      <c r="AD21" s="118" t="s">
        <v>7</v>
      </c>
      <c r="AE21" s="118" t="s">
        <v>7</v>
      </c>
      <c r="AF21" s="118"/>
      <c r="AG21" s="118"/>
    </row>
    <row r="22" spans="1:33" x14ac:dyDescent="0.3">
      <c r="A22" s="118">
        <v>82164</v>
      </c>
      <c r="B22" s="118" t="s">
        <v>812</v>
      </c>
      <c r="C22" s="118" t="s">
        <v>1281</v>
      </c>
      <c r="D22" s="118" t="s">
        <v>11</v>
      </c>
      <c r="E22" s="118" t="s">
        <v>173</v>
      </c>
      <c r="F22" s="118" t="s">
        <v>1282</v>
      </c>
      <c r="G22" s="118"/>
      <c r="H22" s="119">
        <v>42598.087569444448</v>
      </c>
      <c r="I22" s="118" t="s">
        <v>1135</v>
      </c>
      <c r="J22" s="118" t="s">
        <v>569</v>
      </c>
      <c r="K22" s="119">
        <v>42493.930266203701</v>
      </c>
      <c r="L22" s="118" t="s">
        <v>628</v>
      </c>
      <c r="M22" s="118"/>
      <c r="N22" s="118"/>
      <c r="O22" s="118" t="s">
        <v>17</v>
      </c>
      <c r="P22" s="118" t="s">
        <v>30</v>
      </c>
      <c r="Q22" s="118" t="s">
        <v>13</v>
      </c>
      <c r="R22" s="118" t="s">
        <v>14</v>
      </c>
      <c r="S22" s="118"/>
      <c r="T22" s="118" t="s">
        <v>7</v>
      </c>
      <c r="U22" s="118" t="s">
        <v>10</v>
      </c>
      <c r="V22" s="118" t="s">
        <v>7</v>
      </c>
      <c r="W22" s="118" t="s">
        <v>82</v>
      </c>
      <c r="X22" s="118" t="s">
        <v>1134</v>
      </c>
      <c r="Y22" s="118" t="s">
        <v>7</v>
      </c>
      <c r="Z22" s="118" t="s">
        <v>7</v>
      </c>
      <c r="AA22" s="118" t="s">
        <v>7</v>
      </c>
      <c r="AB22" s="118" t="s">
        <v>7</v>
      </c>
      <c r="AC22" s="118" t="s">
        <v>7</v>
      </c>
      <c r="AD22" s="118" t="s">
        <v>7</v>
      </c>
      <c r="AE22" s="118" t="s">
        <v>7</v>
      </c>
      <c r="AF22" s="118"/>
      <c r="AG22" s="118"/>
    </row>
    <row r="23" spans="1:33" x14ac:dyDescent="0.3">
      <c r="A23" s="118">
        <v>82176</v>
      </c>
      <c r="B23" s="118" t="s">
        <v>812</v>
      </c>
      <c r="C23" s="118" t="s">
        <v>1283</v>
      </c>
      <c r="D23" s="118" t="s">
        <v>11</v>
      </c>
      <c r="E23" s="118" t="s">
        <v>999</v>
      </c>
      <c r="F23" s="118" t="s">
        <v>81</v>
      </c>
      <c r="G23" s="118"/>
      <c r="H23" s="119">
        <v>42598.087430555555</v>
      </c>
      <c r="I23" s="118" t="s">
        <v>1135</v>
      </c>
      <c r="J23" s="118" t="s">
        <v>569</v>
      </c>
      <c r="K23" s="119">
        <v>42494.026504629626</v>
      </c>
      <c r="L23" s="118" t="s">
        <v>628</v>
      </c>
      <c r="M23" s="118"/>
      <c r="N23" s="118"/>
      <c r="O23" s="118" t="s">
        <v>17</v>
      </c>
      <c r="P23" s="118" t="s">
        <v>30</v>
      </c>
      <c r="Q23" s="118" t="s">
        <v>13</v>
      </c>
      <c r="R23" s="118" t="s">
        <v>14</v>
      </c>
      <c r="S23" s="118"/>
      <c r="T23" s="118" t="s">
        <v>7</v>
      </c>
      <c r="U23" s="118" t="s">
        <v>10</v>
      </c>
      <c r="V23" s="118" t="s">
        <v>7</v>
      </c>
      <c r="W23" s="118" t="s">
        <v>82</v>
      </c>
      <c r="X23" s="118" t="s">
        <v>1134</v>
      </c>
      <c r="Y23" s="118" t="s">
        <v>7</v>
      </c>
      <c r="Z23" s="118" t="s">
        <v>7</v>
      </c>
      <c r="AA23" s="118" t="s">
        <v>7</v>
      </c>
      <c r="AB23" s="118" t="s">
        <v>7</v>
      </c>
      <c r="AC23" s="118" t="s">
        <v>7</v>
      </c>
      <c r="AD23" s="118" t="s">
        <v>7</v>
      </c>
      <c r="AE23" s="118" t="s">
        <v>7</v>
      </c>
      <c r="AF23" s="118"/>
      <c r="AG23" s="118"/>
    </row>
    <row r="24" spans="1:33" x14ac:dyDescent="0.3">
      <c r="A24" s="118">
        <v>82601</v>
      </c>
      <c r="B24" s="118" t="s">
        <v>374</v>
      </c>
      <c r="C24" s="118" t="s">
        <v>1353</v>
      </c>
      <c r="D24" s="118" t="s">
        <v>11</v>
      </c>
      <c r="E24" s="118" t="s">
        <v>569</v>
      </c>
      <c r="F24" s="118" t="s">
        <v>81</v>
      </c>
      <c r="G24" s="118"/>
      <c r="H24" s="119">
        <v>42600.655428240738</v>
      </c>
      <c r="I24" s="118" t="s">
        <v>1139</v>
      </c>
      <c r="J24" s="118" t="s">
        <v>569</v>
      </c>
      <c r="K24" s="119">
        <v>42500.526307870372</v>
      </c>
      <c r="L24" s="118" t="s">
        <v>50</v>
      </c>
      <c r="M24" s="118"/>
      <c r="N24" s="118"/>
      <c r="O24" s="118" t="s">
        <v>6</v>
      </c>
      <c r="P24" s="118" t="s">
        <v>30</v>
      </c>
      <c r="Q24" s="118" t="s">
        <v>8</v>
      </c>
      <c r="R24" s="118" t="s">
        <v>183</v>
      </c>
      <c r="S24" s="118"/>
      <c r="T24" s="118" t="s">
        <v>7</v>
      </c>
      <c r="U24" s="118" t="s">
        <v>10</v>
      </c>
      <c r="V24" s="118" t="s">
        <v>7</v>
      </c>
      <c r="W24" s="118" t="s">
        <v>114</v>
      </c>
      <c r="X24" s="118" t="s">
        <v>1136</v>
      </c>
      <c r="Y24" s="118" t="s">
        <v>7</v>
      </c>
      <c r="Z24" s="118" t="s">
        <v>7</v>
      </c>
      <c r="AA24" s="118" t="s">
        <v>7</v>
      </c>
      <c r="AB24" s="118" t="s">
        <v>7</v>
      </c>
      <c r="AC24" s="118" t="s">
        <v>7</v>
      </c>
      <c r="AD24" s="118" t="s">
        <v>7</v>
      </c>
      <c r="AE24" s="118" t="s">
        <v>7</v>
      </c>
      <c r="AF24" s="118"/>
      <c r="AG24" s="118"/>
    </row>
    <row r="25" spans="1:33" x14ac:dyDescent="0.3">
      <c r="A25" s="118">
        <v>82602</v>
      </c>
      <c r="B25" s="118" t="s">
        <v>374</v>
      </c>
      <c r="C25" s="118" t="s">
        <v>1354</v>
      </c>
      <c r="D25" s="118" t="s">
        <v>11</v>
      </c>
      <c r="E25" s="118" t="s">
        <v>999</v>
      </c>
      <c r="F25" s="118" t="s">
        <v>81</v>
      </c>
      <c r="G25" s="118"/>
      <c r="H25" s="119">
        <v>42600.656770833331</v>
      </c>
      <c r="I25" s="118" t="s">
        <v>1139</v>
      </c>
      <c r="J25" s="118" t="s">
        <v>569</v>
      </c>
      <c r="K25" s="119">
        <v>42500.526388888888</v>
      </c>
      <c r="L25" s="118" t="s">
        <v>50</v>
      </c>
      <c r="M25" s="118"/>
      <c r="N25" s="118"/>
      <c r="O25" s="118" t="s">
        <v>6</v>
      </c>
      <c r="P25" s="118" t="s">
        <v>30</v>
      </c>
      <c r="Q25" s="118" t="s">
        <v>8</v>
      </c>
      <c r="R25" s="118" t="s">
        <v>183</v>
      </c>
      <c r="S25" s="118"/>
      <c r="T25" s="118" t="s">
        <v>7</v>
      </c>
      <c r="U25" s="118" t="s">
        <v>10</v>
      </c>
      <c r="V25" s="118" t="s">
        <v>7</v>
      </c>
      <c r="W25" s="118" t="s">
        <v>114</v>
      </c>
      <c r="X25" s="118" t="s">
        <v>1136</v>
      </c>
      <c r="Y25" s="118" t="s">
        <v>7</v>
      </c>
      <c r="Z25" s="118" t="s">
        <v>7</v>
      </c>
      <c r="AA25" s="118" t="s">
        <v>7</v>
      </c>
      <c r="AB25" s="118" t="s">
        <v>7</v>
      </c>
      <c r="AC25" s="118" t="s">
        <v>7</v>
      </c>
      <c r="AD25" s="118" t="s">
        <v>7</v>
      </c>
      <c r="AE25" s="118" t="s">
        <v>7</v>
      </c>
      <c r="AF25" s="118"/>
      <c r="AG25" s="118"/>
    </row>
    <row r="26" spans="1:33" x14ac:dyDescent="0.3">
      <c r="A26" s="118">
        <v>82881</v>
      </c>
      <c r="B26" s="118" t="s">
        <v>1077</v>
      </c>
      <c r="C26" s="118" t="s">
        <v>1284</v>
      </c>
      <c r="D26" s="118" t="s">
        <v>11</v>
      </c>
      <c r="E26" s="118" t="s">
        <v>173</v>
      </c>
      <c r="F26" s="118" t="s">
        <v>832</v>
      </c>
      <c r="G26" s="118"/>
      <c r="H26" s="119">
        <v>42597.651944444442</v>
      </c>
      <c r="I26" s="118" t="s">
        <v>1135</v>
      </c>
      <c r="J26" s="118" t="s">
        <v>569</v>
      </c>
      <c r="K26" s="119">
        <v>42503.490416666667</v>
      </c>
      <c r="L26" s="118" t="s">
        <v>628</v>
      </c>
      <c r="M26" s="118"/>
      <c r="N26" s="118"/>
      <c r="O26" s="118" t="s">
        <v>6</v>
      </c>
      <c r="P26" s="118" t="s">
        <v>30</v>
      </c>
      <c r="Q26" s="118" t="s">
        <v>13</v>
      </c>
      <c r="R26" s="118" t="s">
        <v>292</v>
      </c>
      <c r="S26" s="118"/>
      <c r="T26" s="118" t="s">
        <v>7</v>
      </c>
      <c r="U26" s="118" t="s">
        <v>10</v>
      </c>
      <c r="V26" s="118" t="s">
        <v>7</v>
      </c>
      <c r="W26" s="118" t="s">
        <v>114</v>
      </c>
      <c r="X26" s="118" t="s">
        <v>1155</v>
      </c>
      <c r="Y26" s="118" t="s">
        <v>7</v>
      </c>
      <c r="Z26" s="118" t="s">
        <v>7</v>
      </c>
      <c r="AA26" s="118" t="s">
        <v>7</v>
      </c>
      <c r="AB26" s="118" t="s">
        <v>7</v>
      </c>
      <c r="AC26" s="118" t="s">
        <v>7</v>
      </c>
      <c r="AD26" s="118" t="s">
        <v>7</v>
      </c>
      <c r="AE26" s="118" t="s">
        <v>7</v>
      </c>
      <c r="AF26" s="118"/>
      <c r="AG26" s="118"/>
    </row>
    <row r="27" spans="1:33" x14ac:dyDescent="0.3">
      <c r="A27" s="118">
        <v>82899</v>
      </c>
      <c r="B27" s="118" t="s">
        <v>1077</v>
      </c>
      <c r="C27" s="118" t="s">
        <v>1285</v>
      </c>
      <c r="D27" s="118" t="s">
        <v>11</v>
      </c>
      <c r="E27" s="118" t="s">
        <v>569</v>
      </c>
      <c r="F27" s="118" t="s">
        <v>81</v>
      </c>
      <c r="G27" s="118"/>
      <c r="H27" s="119">
        <v>42598.551620370374</v>
      </c>
      <c r="I27" s="118" t="s">
        <v>1139</v>
      </c>
      <c r="J27" s="118" t="s">
        <v>569</v>
      </c>
      <c r="K27" s="119">
        <v>42504.052245370367</v>
      </c>
      <c r="L27" s="118" t="s">
        <v>628</v>
      </c>
      <c r="M27" s="118"/>
      <c r="N27" s="118"/>
      <c r="O27" s="118" t="s">
        <v>6</v>
      </c>
      <c r="P27" s="118" t="s">
        <v>30</v>
      </c>
      <c r="Q27" s="118" t="s">
        <v>13</v>
      </c>
      <c r="R27" s="118" t="s">
        <v>292</v>
      </c>
      <c r="S27" s="118"/>
      <c r="T27" s="118" t="s">
        <v>7</v>
      </c>
      <c r="U27" s="118" t="s">
        <v>10</v>
      </c>
      <c r="V27" s="118" t="s">
        <v>7</v>
      </c>
      <c r="W27" s="118" t="s">
        <v>114</v>
      </c>
      <c r="X27" s="118" t="s">
        <v>1155</v>
      </c>
      <c r="Y27" s="118" t="s">
        <v>7</v>
      </c>
      <c r="Z27" s="118" t="s">
        <v>7</v>
      </c>
      <c r="AA27" s="118" t="s">
        <v>7</v>
      </c>
      <c r="AB27" s="118" t="s">
        <v>7</v>
      </c>
      <c r="AC27" s="118" t="s">
        <v>7</v>
      </c>
      <c r="AD27" s="118" t="s">
        <v>7</v>
      </c>
      <c r="AE27" s="118" t="s">
        <v>7</v>
      </c>
      <c r="AF27" s="118"/>
      <c r="AG27" s="118"/>
    </row>
    <row r="28" spans="1:33" x14ac:dyDescent="0.3">
      <c r="A28" s="118">
        <v>82900</v>
      </c>
      <c r="B28" s="118" t="s">
        <v>1077</v>
      </c>
      <c r="C28" s="118" t="s">
        <v>1286</v>
      </c>
      <c r="D28" s="118" t="s">
        <v>11</v>
      </c>
      <c r="E28" s="118" t="s">
        <v>999</v>
      </c>
      <c r="F28" s="118" t="s">
        <v>81</v>
      </c>
      <c r="G28" s="118"/>
      <c r="H28" s="119">
        <v>42597.653067129628</v>
      </c>
      <c r="I28" s="118" t="s">
        <v>1135</v>
      </c>
      <c r="J28" s="118" t="s">
        <v>569</v>
      </c>
      <c r="K28" s="119">
        <v>42504.052291666667</v>
      </c>
      <c r="L28" s="118" t="s">
        <v>628</v>
      </c>
      <c r="M28" s="118"/>
      <c r="N28" s="118"/>
      <c r="O28" s="118" t="s">
        <v>6</v>
      </c>
      <c r="P28" s="118" t="s">
        <v>30</v>
      </c>
      <c r="Q28" s="118" t="s">
        <v>13</v>
      </c>
      <c r="R28" s="118" t="s">
        <v>292</v>
      </c>
      <c r="S28" s="118"/>
      <c r="T28" s="118" t="s">
        <v>7</v>
      </c>
      <c r="U28" s="118" t="s">
        <v>10</v>
      </c>
      <c r="V28" s="118" t="s">
        <v>7</v>
      </c>
      <c r="W28" s="118" t="s">
        <v>114</v>
      </c>
      <c r="X28" s="118" t="s">
        <v>1155</v>
      </c>
      <c r="Y28" s="118" t="s">
        <v>7</v>
      </c>
      <c r="Z28" s="118" t="s">
        <v>7</v>
      </c>
      <c r="AA28" s="118" t="s">
        <v>7</v>
      </c>
      <c r="AB28" s="118" t="s">
        <v>7</v>
      </c>
      <c r="AC28" s="118" t="s">
        <v>7</v>
      </c>
      <c r="AD28" s="118" t="s">
        <v>7</v>
      </c>
      <c r="AE28" s="118" t="s">
        <v>7</v>
      </c>
      <c r="AF28" s="118"/>
      <c r="AG28" s="118"/>
    </row>
    <row r="29" spans="1:33" x14ac:dyDescent="0.3">
      <c r="A29" s="118">
        <v>82972</v>
      </c>
      <c r="B29" s="118" t="s">
        <v>1007</v>
      </c>
      <c r="C29" s="118" t="s">
        <v>1287</v>
      </c>
      <c r="D29" s="118" t="s">
        <v>652</v>
      </c>
      <c r="E29" s="118" t="s">
        <v>173</v>
      </c>
      <c r="F29" s="118" t="s">
        <v>1275</v>
      </c>
      <c r="G29" s="118"/>
      <c r="H29" s="119">
        <v>42598.059664351851</v>
      </c>
      <c r="I29" s="118" t="s">
        <v>1135</v>
      </c>
      <c r="J29" s="118" t="s">
        <v>569</v>
      </c>
      <c r="K29" s="119">
        <v>42506.485196759262</v>
      </c>
      <c r="L29" s="118" t="s">
        <v>628</v>
      </c>
      <c r="M29" s="118"/>
      <c r="N29" s="118"/>
      <c r="O29" s="118" t="s">
        <v>12</v>
      </c>
      <c r="P29" s="118" t="s">
        <v>30</v>
      </c>
      <c r="Q29" s="118" t="s">
        <v>13</v>
      </c>
      <c r="R29" s="118" t="s">
        <v>14</v>
      </c>
      <c r="S29" s="118"/>
      <c r="T29" s="118" t="s">
        <v>7</v>
      </c>
      <c r="U29" s="118" t="s">
        <v>10</v>
      </c>
      <c r="V29" s="118" t="s">
        <v>7</v>
      </c>
      <c r="W29" s="118" t="s">
        <v>82</v>
      </c>
      <c r="X29" s="118" t="s">
        <v>1134</v>
      </c>
      <c r="Y29" s="118" t="s">
        <v>7</v>
      </c>
      <c r="Z29" s="118" t="s">
        <v>7</v>
      </c>
      <c r="AA29" s="118" t="s">
        <v>7</v>
      </c>
      <c r="AB29" s="118" t="s">
        <v>7</v>
      </c>
      <c r="AC29" s="118" t="s">
        <v>7</v>
      </c>
      <c r="AD29" s="118" t="s">
        <v>7</v>
      </c>
      <c r="AE29" s="118" t="s">
        <v>1085</v>
      </c>
      <c r="AF29" s="118"/>
      <c r="AG29" s="118"/>
    </row>
    <row r="30" spans="1:33" x14ac:dyDescent="0.3">
      <c r="A30" s="118">
        <v>82979</v>
      </c>
      <c r="B30" s="118" t="s">
        <v>1007</v>
      </c>
      <c r="C30" s="118" t="s">
        <v>1288</v>
      </c>
      <c r="D30" s="118" t="s">
        <v>652</v>
      </c>
      <c r="E30" s="118" t="s">
        <v>999</v>
      </c>
      <c r="F30" s="118" t="s">
        <v>81</v>
      </c>
      <c r="G30" s="118"/>
      <c r="H30" s="119">
        <v>42598.059490740743</v>
      </c>
      <c r="I30" s="118" t="s">
        <v>1135</v>
      </c>
      <c r="J30" s="118" t="s">
        <v>569</v>
      </c>
      <c r="K30" s="119">
        <v>42506.531134259261</v>
      </c>
      <c r="L30" s="118" t="s">
        <v>628</v>
      </c>
      <c r="M30" s="118"/>
      <c r="N30" s="118"/>
      <c r="O30" s="118" t="s">
        <v>12</v>
      </c>
      <c r="P30" s="118" t="s">
        <v>30</v>
      </c>
      <c r="Q30" s="118" t="s">
        <v>13</v>
      </c>
      <c r="R30" s="118" t="s">
        <v>14</v>
      </c>
      <c r="S30" s="118"/>
      <c r="T30" s="118" t="s">
        <v>7</v>
      </c>
      <c r="U30" s="118" t="s">
        <v>10</v>
      </c>
      <c r="V30" s="118" t="s">
        <v>7</v>
      </c>
      <c r="W30" s="118" t="s">
        <v>82</v>
      </c>
      <c r="X30" s="118" t="s">
        <v>1134</v>
      </c>
      <c r="Y30" s="118" t="s">
        <v>7</v>
      </c>
      <c r="Z30" s="118" t="s">
        <v>7</v>
      </c>
      <c r="AA30" s="118" t="s">
        <v>7</v>
      </c>
      <c r="AB30" s="118" t="s">
        <v>7</v>
      </c>
      <c r="AC30" s="118" t="s">
        <v>7</v>
      </c>
      <c r="AD30" s="118" t="s">
        <v>7</v>
      </c>
      <c r="AE30" s="118" t="s">
        <v>1085</v>
      </c>
      <c r="AF30" s="118"/>
      <c r="AG30" s="118"/>
    </row>
    <row r="31" spans="1:33" x14ac:dyDescent="0.3">
      <c r="A31" s="118">
        <v>83371</v>
      </c>
      <c r="B31" s="118" t="s">
        <v>1003</v>
      </c>
      <c r="C31" s="118" t="s">
        <v>1355</v>
      </c>
      <c r="D31" s="118" t="s">
        <v>652</v>
      </c>
      <c r="E31" s="118" t="s">
        <v>173</v>
      </c>
      <c r="F31" s="118" t="s">
        <v>1356</v>
      </c>
      <c r="G31" s="118" t="s">
        <v>1357</v>
      </c>
      <c r="H31" s="119">
        <v>42601.261620370373</v>
      </c>
      <c r="I31" s="118" t="s">
        <v>1135</v>
      </c>
      <c r="J31" s="118" t="s">
        <v>999</v>
      </c>
      <c r="K31" s="119">
        <v>42513.166944444441</v>
      </c>
      <c r="L31" s="118" t="s">
        <v>628</v>
      </c>
      <c r="M31" s="118"/>
      <c r="N31" s="118"/>
      <c r="O31" s="118" t="s">
        <v>12</v>
      </c>
      <c r="P31" s="118" t="s">
        <v>30</v>
      </c>
      <c r="Q31" s="118" t="s">
        <v>24</v>
      </c>
      <c r="R31" s="118" t="s">
        <v>47</v>
      </c>
      <c r="S31" s="118"/>
      <c r="T31" s="118" t="s">
        <v>7</v>
      </c>
      <c r="U31" s="118" t="s">
        <v>89</v>
      </c>
      <c r="V31" s="118" t="s">
        <v>7</v>
      </c>
      <c r="W31" s="118" t="s">
        <v>82</v>
      </c>
      <c r="X31" s="118" t="s">
        <v>1137</v>
      </c>
      <c r="Y31" s="118" t="s">
        <v>7</v>
      </c>
      <c r="Z31" s="118" t="s">
        <v>7</v>
      </c>
      <c r="AA31" s="118" t="s">
        <v>7</v>
      </c>
      <c r="AB31" s="118" t="s">
        <v>7</v>
      </c>
      <c r="AC31" s="118" t="s">
        <v>7</v>
      </c>
      <c r="AD31" s="118" t="s">
        <v>7</v>
      </c>
      <c r="AE31" s="118" t="s">
        <v>7</v>
      </c>
      <c r="AF31" s="118"/>
      <c r="AG31" s="118"/>
    </row>
    <row r="32" spans="1:33" x14ac:dyDescent="0.3">
      <c r="A32" s="118">
        <v>83425</v>
      </c>
      <c r="B32" s="118" t="s">
        <v>1003</v>
      </c>
      <c r="C32" s="118" t="s">
        <v>1358</v>
      </c>
      <c r="D32" s="118" t="s">
        <v>652</v>
      </c>
      <c r="E32" s="118" t="s">
        <v>999</v>
      </c>
      <c r="F32" s="118" t="s">
        <v>81</v>
      </c>
      <c r="G32" s="118" t="s">
        <v>1074</v>
      </c>
      <c r="H32" s="119">
        <v>42601.260625000003</v>
      </c>
      <c r="I32" s="118" t="s">
        <v>1135</v>
      </c>
      <c r="J32" s="118" t="s">
        <v>999</v>
      </c>
      <c r="K32" s="119">
        <v>42513.527175925927</v>
      </c>
      <c r="L32" s="118" t="s">
        <v>628</v>
      </c>
      <c r="M32" s="118"/>
      <c r="N32" s="118" t="s">
        <v>616</v>
      </c>
      <c r="O32" s="118" t="s">
        <v>12</v>
      </c>
      <c r="P32" s="118" t="s">
        <v>30</v>
      </c>
      <c r="Q32" s="118" t="s">
        <v>24</v>
      </c>
      <c r="R32" s="118" t="s">
        <v>47</v>
      </c>
      <c r="S32" s="118"/>
      <c r="T32" s="118" t="s">
        <v>7</v>
      </c>
      <c r="U32" s="118" t="s">
        <v>89</v>
      </c>
      <c r="V32" s="118" t="s">
        <v>7</v>
      </c>
      <c r="W32" s="118" t="s">
        <v>82</v>
      </c>
      <c r="X32" s="118" t="s">
        <v>1137</v>
      </c>
      <c r="Y32" s="118" t="s">
        <v>7</v>
      </c>
      <c r="Z32" s="118" t="s">
        <v>7</v>
      </c>
      <c r="AA32" s="118" t="s">
        <v>7</v>
      </c>
      <c r="AB32" s="118" t="s">
        <v>7</v>
      </c>
      <c r="AC32" s="118" t="s">
        <v>7</v>
      </c>
      <c r="AD32" s="118" t="s">
        <v>7</v>
      </c>
      <c r="AE32" s="118" t="s">
        <v>7</v>
      </c>
      <c r="AF32" s="118"/>
      <c r="AG32" s="118"/>
    </row>
    <row r="33" spans="1:33" x14ac:dyDescent="0.3">
      <c r="A33" s="118">
        <v>85407</v>
      </c>
      <c r="B33" s="118" t="s">
        <v>332</v>
      </c>
      <c r="C33" s="118" t="s">
        <v>1187</v>
      </c>
      <c r="D33" s="118" t="s">
        <v>11</v>
      </c>
      <c r="E33" s="118" t="s">
        <v>569</v>
      </c>
      <c r="F33" s="118" t="s">
        <v>81</v>
      </c>
      <c r="G33" s="118"/>
      <c r="H33" s="119">
        <v>42598.438171296293</v>
      </c>
      <c r="I33" s="118" t="s">
        <v>1135</v>
      </c>
      <c r="J33" s="118" t="s">
        <v>1034</v>
      </c>
      <c r="K33" s="119">
        <v>42550.615972222222</v>
      </c>
      <c r="L33" s="118" t="s">
        <v>628</v>
      </c>
      <c r="M33" s="118"/>
      <c r="N33" s="118" t="s">
        <v>366</v>
      </c>
      <c r="O33" s="118" t="s">
        <v>17</v>
      </c>
      <c r="P33" s="118" t="s">
        <v>30</v>
      </c>
      <c r="Q33" s="118" t="s">
        <v>24</v>
      </c>
      <c r="R33" s="118" t="s">
        <v>47</v>
      </c>
      <c r="S33" s="118"/>
      <c r="T33" s="118" t="s">
        <v>7</v>
      </c>
      <c r="U33" s="118" t="s">
        <v>10</v>
      </c>
      <c r="V33" s="118" t="s">
        <v>7</v>
      </c>
      <c r="W33" s="118" t="s">
        <v>82</v>
      </c>
      <c r="X33" s="118" t="s">
        <v>1134</v>
      </c>
      <c r="Y33" s="118" t="s">
        <v>7</v>
      </c>
      <c r="Z33" s="118" t="s">
        <v>1289</v>
      </c>
      <c r="AA33" s="118" t="s">
        <v>7</v>
      </c>
      <c r="AB33" s="118" t="s">
        <v>1268</v>
      </c>
      <c r="AC33" s="118" t="s">
        <v>217</v>
      </c>
      <c r="AD33" s="118" t="s">
        <v>7</v>
      </c>
      <c r="AE33" s="118" t="s">
        <v>7</v>
      </c>
      <c r="AF33" s="118">
        <v>11243</v>
      </c>
      <c r="AG33" s="118"/>
    </row>
    <row r="34" spans="1:33" x14ac:dyDescent="0.3">
      <c r="A34" s="118">
        <v>85408</v>
      </c>
      <c r="B34" s="118" t="s">
        <v>332</v>
      </c>
      <c r="C34" s="118" t="s">
        <v>1188</v>
      </c>
      <c r="D34" s="118" t="s">
        <v>11</v>
      </c>
      <c r="E34" s="118" t="s">
        <v>999</v>
      </c>
      <c r="F34" s="118" t="s">
        <v>81</v>
      </c>
      <c r="G34" s="118"/>
      <c r="H34" s="119">
        <v>42599.95989583333</v>
      </c>
      <c r="I34" s="118" t="s">
        <v>1135</v>
      </c>
      <c r="J34" s="118" t="s">
        <v>1034</v>
      </c>
      <c r="K34" s="119">
        <v>42550.616122685184</v>
      </c>
      <c r="L34" s="118" t="s">
        <v>628</v>
      </c>
      <c r="M34" s="118"/>
      <c r="N34" s="118" t="s">
        <v>1252</v>
      </c>
      <c r="O34" s="118" t="s">
        <v>17</v>
      </c>
      <c r="P34" s="118" t="s">
        <v>30</v>
      </c>
      <c r="Q34" s="118" t="s">
        <v>24</v>
      </c>
      <c r="R34" s="118" t="s">
        <v>47</v>
      </c>
      <c r="S34" s="118"/>
      <c r="T34" s="118" t="s">
        <v>7</v>
      </c>
      <c r="U34" s="118" t="s">
        <v>10</v>
      </c>
      <c r="V34" s="118" t="s">
        <v>7</v>
      </c>
      <c r="W34" s="118" t="s">
        <v>82</v>
      </c>
      <c r="X34" s="118" t="s">
        <v>1134</v>
      </c>
      <c r="Y34" s="118" t="s">
        <v>7</v>
      </c>
      <c r="Z34" s="118" t="s">
        <v>1289</v>
      </c>
      <c r="AA34" s="118" t="s">
        <v>7</v>
      </c>
      <c r="AB34" s="118" t="s">
        <v>7</v>
      </c>
      <c r="AC34" s="118" t="s">
        <v>7</v>
      </c>
      <c r="AD34" s="118" t="s">
        <v>7</v>
      </c>
      <c r="AE34" s="118" t="s">
        <v>7</v>
      </c>
      <c r="AF34" s="118">
        <v>11243</v>
      </c>
      <c r="AG34" s="118"/>
    </row>
    <row r="35" spans="1:33" x14ac:dyDescent="0.3">
      <c r="A35" s="118">
        <v>85585</v>
      </c>
      <c r="B35" s="118" t="s">
        <v>332</v>
      </c>
      <c r="C35" s="118" t="s">
        <v>1359</v>
      </c>
      <c r="D35" s="118" t="s">
        <v>11</v>
      </c>
      <c r="E35" s="118" t="s">
        <v>999</v>
      </c>
      <c r="F35" s="118" t="s">
        <v>1058</v>
      </c>
      <c r="G35" s="118"/>
      <c r="H35" s="119">
        <v>42600.671111111114</v>
      </c>
      <c r="I35" s="118" t="s">
        <v>1139</v>
      </c>
      <c r="J35" s="118" t="s">
        <v>48</v>
      </c>
      <c r="K35" s="119">
        <v>42555.042800925927</v>
      </c>
      <c r="L35" s="118" t="s">
        <v>315</v>
      </c>
      <c r="M35" s="118"/>
      <c r="N35" s="118"/>
      <c r="O35" s="118" t="s">
        <v>6</v>
      </c>
      <c r="P35" s="118" t="s">
        <v>30</v>
      </c>
      <c r="Q35" s="118" t="s">
        <v>24</v>
      </c>
      <c r="R35" s="118" t="s">
        <v>46</v>
      </c>
      <c r="S35" s="118"/>
      <c r="T35" s="118" t="s">
        <v>7</v>
      </c>
      <c r="U35" s="118" t="s">
        <v>10</v>
      </c>
      <c r="V35" s="118" t="s">
        <v>7</v>
      </c>
      <c r="W35" s="118" t="s">
        <v>114</v>
      </c>
      <c r="X35" s="118" t="s">
        <v>1155</v>
      </c>
      <c r="Y35" s="118" t="s">
        <v>7</v>
      </c>
      <c r="Z35" s="118" t="s">
        <v>7</v>
      </c>
      <c r="AA35" s="118" t="s">
        <v>7</v>
      </c>
      <c r="AB35" s="118" t="s">
        <v>7</v>
      </c>
      <c r="AC35" s="118" t="s">
        <v>7</v>
      </c>
      <c r="AD35" s="118" t="s">
        <v>7</v>
      </c>
      <c r="AE35" s="118" t="s">
        <v>7</v>
      </c>
      <c r="AF35" s="118"/>
      <c r="AG35" s="118"/>
    </row>
    <row r="36" spans="1:33" x14ac:dyDescent="0.3">
      <c r="A36" s="118">
        <v>85647</v>
      </c>
      <c r="B36" s="118" t="s">
        <v>695</v>
      </c>
      <c r="C36" s="118" t="s">
        <v>1290</v>
      </c>
      <c r="D36" s="118" t="s">
        <v>11</v>
      </c>
      <c r="E36" s="118" t="s">
        <v>999</v>
      </c>
      <c r="F36" s="118" t="s">
        <v>1058</v>
      </c>
      <c r="G36" s="118"/>
      <c r="H36" s="119">
        <v>42599.220555555556</v>
      </c>
      <c r="I36" s="118" t="s">
        <v>1135</v>
      </c>
      <c r="J36" s="118" t="s">
        <v>569</v>
      </c>
      <c r="K36" s="119">
        <v>42555.215891203705</v>
      </c>
      <c r="L36" s="118" t="s">
        <v>628</v>
      </c>
      <c r="M36" s="118"/>
      <c r="N36" s="118" t="s">
        <v>1252</v>
      </c>
      <c r="O36" s="118" t="s">
        <v>17</v>
      </c>
      <c r="P36" s="118" t="s">
        <v>30</v>
      </c>
      <c r="Q36" s="118" t="s">
        <v>13</v>
      </c>
      <c r="R36" s="118" t="s">
        <v>292</v>
      </c>
      <c r="S36" s="118"/>
      <c r="T36" s="118" t="s">
        <v>7</v>
      </c>
      <c r="U36" s="118" t="s">
        <v>10</v>
      </c>
      <c r="V36" s="118" t="s">
        <v>7</v>
      </c>
      <c r="W36" s="118" t="s">
        <v>82</v>
      </c>
      <c r="X36" s="118" t="s">
        <v>1134</v>
      </c>
      <c r="Y36" s="118" t="s">
        <v>7</v>
      </c>
      <c r="Z36" s="118" t="s">
        <v>363</v>
      </c>
      <c r="AA36" s="118" t="s">
        <v>7</v>
      </c>
      <c r="AB36" s="118" t="s">
        <v>1291</v>
      </c>
      <c r="AC36" s="118" t="s">
        <v>7</v>
      </c>
      <c r="AD36" s="118" t="s">
        <v>7</v>
      </c>
      <c r="AE36" s="118" t="s">
        <v>7</v>
      </c>
      <c r="AF36" s="118"/>
      <c r="AG36" s="118"/>
    </row>
    <row r="37" spans="1:33" x14ac:dyDescent="0.3">
      <c r="A37" s="118">
        <v>85758</v>
      </c>
      <c r="B37" s="118" t="s">
        <v>1079</v>
      </c>
      <c r="C37" s="118" t="s">
        <v>1292</v>
      </c>
      <c r="D37" s="118" t="s">
        <v>11</v>
      </c>
      <c r="E37" s="118" t="s">
        <v>173</v>
      </c>
      <c r="F37" s="118" t="s">
        <v>1200</v>
      </c>
      <c r="G37" s="118"/>
      <c r="H37" s="119">
        <v>42599.638368055559</v>
      </c>
      <c r="I37" s="118" t="s">
        <v>1135</v>
      </c>
      <c r="J37" s="118" t="s">
        <v>999</v>
      </c>
      <c r="K37" s="119">
        <v>42558.054675925923</v>
      </c>
      <c r="L37" s="118" t="s">
        <v>5</v>
      </c>
      <c r="M37" s="118"/>
      <c r="N37" s="118"/>
      <c r="O37" s="118" t="s">
        <v>12</v>
      </c>
      <c r="P37" s="118" t="s">
        <v>30</v>
      </c>
      <c r="Q37" s="118" t="s">
        <v>13</v>
      </c>
      <c r="R37" s="118" t="s">
        <v>292</v>
      </c>
      <c r="S37" s="118"/>
      <c r="T37" s="118" t="s">
        <v>7</v>
      </c>
      <c r="U37" s="118" t="s">
        <v>10</v>
      </c>
      <c r="V37" s="118" t="s">
        <v>7</v>
      </c>
      <c r="W37" s="118" t="s">
        <v>82</v>
      </c>
      <c r="X37" s="118" t="s">
        <v>1134</v>
      </c>
      <c r="Y37" s="118" t="s">
        <v>7</v>
      </c>
      <c r="Z37" s="118" t="s">
        <v>7</v>
      </c>
      <c r="AA37" s="118" t="s">
        <v>7</v>
      </c>
      <c r="AB37" s="118" t="s">
        <v>7</v>
      </c>
      <c r="AC37" s="118" t="s">
        <v>7</v>
      </c>
      <c r="AD37" s="118" t="s">
        <v>7</v>
      </c>
      <c r="AE37" s="118" t="s">
        <v>7</v>
      </c>
      <c r="AF37" s="118"/>
      <c r="AG37" s="118"/>
    </row>
    <row r="38" spans="1:33" x14ac:dyDescent="0.3">
      <c r="A38" s="118">
        <v>85857</v>
      </c>
      <c r="B38" s="118" t="s">
        <v>1079</v>
      </c>
      <c r="C38" s="118" t="s">
        <v>1202</v>
      </c>
      <c r="D38" s="118" t="s">
        <v>11</v>
      </c>
      <c r="E38" s="118" t="s">
        <v>999</v>
      </c>
      <c r="F38" s="118" t="s">
        <v>81</v>
      </c>
      <c r="G38" s="118"/>
      <c r="H38" s="119">
        <v>42599.637685185182</v>
      </c>
      <c r="I38" s="118" t="s">
        <v>1135</v>
      </c>
      <c r="J38" s="118" t="s">
        <v>999</v>
      </c>
      <c r="K38" s="119">
        <v>42559.314131944448</v>
      </c>
      <c r="L38" s="118" t="s">
        <v>5</v>
      </c>
      <c r="M38" s="118"/>
      <c r="N38" s="118" t="s">
        <v>717</v>
      </c>
      <c r="O38" s="118" t="s">
        <v>12</v>
      </c>
      <c r="P38" s="118" t="s">
        <v>30</v>
      </c>
      <c r="Q38" s="118" t="s">
        <v>13</v>
      </c>
      <c r="R38" s="118" t="s">
        <v>292</v>
      </c>
      <c r="S38" s="118"/>
      <c r="T38" s="118" t="s">
        <v>7</v>
      </c>
      <c r="U38" s="118" t="s">
        <v>10</v>
      </c>
      <c r="V38" s="118" t="s">
        <v>7</v>
      </c>
      <c r="W38" s="118" t="s">
        <v>82</v>
      </c>
      <c r="X38" s="118" t="s">
        <v>1134</v>
      </c>
      <c r="Y38" s="118" t="s">
        <v>7</v>
      </c>
      <c r="Z38" s="118" t="s">
        <v>7</v>
      </c>
      <c r="AA38" s="118" t="s">
        <v>7</v>
      </c>
      <c r="AB38" s="118" t="s">
        <v>7</v>
      </c>
      <c r="AC38" s="118" t="s">
        <v>7</v>
      </c>
      <c r="AD38" s="118" t="s">
        <v>7</v>
      </c>
      <c r="AE38" s="118" t="s">
        <v>7</v>
      </c>
      <c r="AF38" s="118"/>
      <c r="AG38" s="118"/>
    </row>
    <row r="39" spans="1:33" x14ac:dyDescent="0.3">
      <c r="A39" s="118">
        <v>86171</v>
      </c>
      <c r="B39" s="118" t="s">
        <v>995</v>
      </c>
      <c r="C39" s="118" t="s">
        <v>1360</v>
      </c>
      <c r="D39" s="118" t="s">
        <v>652</v>
      </c>
      <c r="E39" s="118" t="s">
        <v>999</v>
      </c>
      <c r="F39" s="118" t="s">
        <v>1206</v>
      </c>
      <c r="G39" s="118" t="s">
        <v>1074</v>
      </c>
      <c r="H39" s="119">
        <v>42606.260370370372</v>
      </c>
      <c r="I39" s="118" t="s">
        <v>1135</v>
      </c>
      <c r="J39" s="118" t="s">
        <v>999</v>
      </c>
      <c r="K39" s="119">
        <v>42565.499756944446</v>
      </c>
      <c r="L39" s="118" t="s">
        <v>84</v>
      </c>
      <c r="M39" s="118"/>
      <c r="N39" s="118" t="s">
        <v>616</v>
      </c>
      <c r="O39" s="118" t="s">
        <v>12</v>
      </c>
      <c r="P39" s="118" t="s">
        <v>30</v>
      </c>
      <c r="Q39" s="118" t="s">
        <v>8</v>
      </c>
      <c r="R39" s="118" t="s">
        <v>27</v>
      </c>
      <c r="S39" s="118"/>
      <c r="T39" s="118" t="s">
        <v>7</v>
      </c>
      <c r="U39" s="118" t="s">
        <v>10</v>
      </c>
      <c r="V39" s="118" t="s">
        <v>7</v>
      </c>
      <c r="W39" s="118" t="s">
        <v>82</v>
      </c>
      <c r="X39" s="118" t="s">
        <v>1306</v>
      </c>
      <c r="Y39" s="118" t="s">
        <v>7</v>
      </c>
      <c r="Z39" s="118" t="s">
        <v>7</v>
      </c>
      <c r="AA39" s="118" t="s">
        <v>7</v>
      </c>
      <c r="AB39" s="118" t="s">
        <v>7</v>
      </c>
      <c r="AC39" s="118" t="s">
        <v>7</v>
      </c>
      <c r="AD39" s="118" t="s">
        <v>7</v>
      </c>
      <c r="AE39" s="118" t="s">
        <v>7</v>
      </c>
      <c r="AF39" s="118"/>
      <c r="AG39" s="118"/>
    </row>
    <row r="40" spans="1:33" x14ac:dyDescent="0.3">
      <c r="A40" s="118">
        <v>86194</v>
      </c>
      <c r="B40" s="118" t="s">
        <v>995</v>
      </c>
      <c r="C40" s="118" t="s">
        <v>1293</v>
      </c>
      <c r="D40" s="118" t="s">
        <v>146</v>
      </c>
      <c r="E40" s="118" t="s">
        <v>173</v>
      </c>
      <c r="F40" s="118" t="s">
        <v>1206</v>
      </c>
      <c r="G40" s="118" t="s">
        <v>1074</v>
      </c>
      <c r="H40" s="119">
        <v>42598.017650462964</v>
      </c>
      <c r="I40" s="118" t="s">
        <v>1135</v>
      </c>
      <c r="J40" s="118" t="s">
        <v>999</v>
      </c>
      <c r="K40" s="119">
        <v>42566.119456018518</v>
      </c>
      <c r="L40" s="118" t="s">
        <v>84</v>
      </c>
      <c r="M40" s="118"/>
      <c r="N40" s="118"/>
      <c r="O40" s="118" t="s">
        <v>12</v>
      </c>
      <c r="P40" s="118" t="s">
        <v>30</v>
      </c>
      <c r="Q40" s="118" t="s">
        <v>8</v>
      </c>
      <c r="R40" s="118" t="s">
        <v>27</v>
      </c>
      <c r="S40" s="118"/>
      <c r="T40" s="118" t="s">
        <v>7</v>
      </c>
      <c r="U40" s="118" t="s">
        <v>10</v>
      </c>
      <c r="V40" s="118" t="s">
        <v>7</v>
      </c>
      <c r="W40" s="118" t="s">
        <v>114</v>
      </c>
      <c r="X40" s="118" t="s">
        <v>1134</v>
      </c>
      <c r="Y40" s="118" t="s">
        <v>7</v>
      </c>
      <c r="Z40" s="118" t="s">
        <v>363</v>
      </c>
      <c r="AA40" s="118" t="s">
        <v>7</v>
      </c>
      <c r="AB40" s="118" t="s">
        <v>7</v>
      </c>
      <c r="AC40" s="118" t="s">
        <v>7</v>
      </c>
      <c r="AD40" s="118" t="s">
        <v>7</v>
      </c>
      <c r="AE40" s="118" t="s">
        <v>7</v>
      </c>
      <c r="AF40" s="118"/>
      <c r="AG40" s="118"/>
    </row>
    <row r="41" spans="1:33" x14ac:dyDescent="0.3">
      <c r="A41" s="118">
        <v>86224</v>
      </c>
      <c r="B41" s="118" t="s">
        <v>995</v>
      </c>
      <c r="C41" s="118" t="s">
        <v>1294</v>
      </c>
      <c r="D41" s="118" t="s">
        <v>146</v>
      </c>
      <c r="E41" s="118" t="s">
        <v>999</v>
      </c>
      <c r="F41" s="118" t="s">
        <v>81</v>
      </c>
      <c r="G41" s="118" t="s">
        <v>1074</v>
      </c>
      <c r="H41" s="119">
        <v>42598.015868055554</v>
      </c>
      <c r="I41" s="118" t="s">
        <v>1135</v>
      </c>
      <c r="J41" s="118" t="s">
        <v>999</v>
      </c>
      <c r="K41" s="119">
        <v>42566.349016203705</v>
      </c>
      <c r="L41" s="118" t="s">
        <v>84</v>
      </c>
      <c r="M41" s="118"/>
      <c r="N41" s="118"/>
      <c r="O41" s="118" t="s">
        <v>12</v>
      </c>
      <c r="P41" s="118" t="s">
        <v>30</v>
      </c>
      <c r="Q41" s="118" t="s">
        <v>8</v>
      </c>
      <c r="R41" s="118" t="s">
        <v>27</v>
      </c>
      <c r="S41" s="118"/>
      <c r="T41" s="118" t="s">
        <v>7</v>
      </c>
      <c r="U41" s="118" t="s">
        <v>10</v>
      </c>
      <c r="V41" s="118" t="s">
        <v>7</v>
      </c>
      <c r="W41" s="118" t="s">
        <v>114</v>
      </c>
      <c r="X41" s="118" t="s">
        <v>1134</v>
      </c>
      <c r="Y41" s="118" t="s">
        <v>7</v>
      </c>
      <c r="Z41" s="118" t="s">
        <v>363</v>
      </c>
      <c r="AA41" s="118" t="s">
        <v>7</v>
      </c>
      <c r="AB41" s="118" t="s">
        <v>1291</v>
      </c>
      <c r="AC41" s="118" t="s">
        <v>7</v>
      </c>
      <c r="AD41" s="118" t="s">
        <v>7</v>
      </c>
      <c r="AE41" s="118" t="s">
        <v>7</v>
      </c>
      <c r="AF41" s="118"/>
      <c r="AG41" s="118"/>
    </row>
    <row r="42" spans="1:33" x14ac:dyDescent="0.3">
      <c r="A42" s="118">
        <v>86261</v>
      </c>
      <c r="B42" s="118" t="s">
        <v>336</v>
      </c>
      <c r="C42" s="118" t="s">
        <v>1295</v>
      </c>
      <c r="D42" s="118" t="s">
        <v>11</v>
      </c>
      <c r="E42" s="118" t="s">
        <v>173</v>
      </c>
      <c r="F42" s="118" t="s">
        <v>1296</v>
      </c>
      <c r="G42" s="118"/>
      <c r="H42" s="119">
        <v>42598.465532407405</v>
      </c>
      <c r="I42" s="118" t="s">
        <v>1135</v>
      </c>
      <c r="J42" s="118" t="s">
        <v>999</v>
      </c>
      <c r="K42" s="119">
        <v>42569.143206018518</v>
      </c>
      <c r="L42" s="118" t="s">
        <v>628</v>
      </c>
      <c r="M42" s="118"/>
      <c r="N42" s="118"/>
      <c r="O42" s="118" t="s">
        <v>12</v>
      </c>
      <c r="P42" s="118" t="s">
        <v>30</v>
      </c>
      <c r="Q42" s="118" t="s">
        <v>8</v>
      </c>
      <c r="R42" s="118" t="s">
        <v>38</v>
      </c>
      <c r="S42" s="118"/>
      <c r="T42" s="118" t="s">
        <v>7</v>
      </c>
      <c r="U42" s="118" t="s">
        <v>10</v>
      </c>
      <c r="V42" s="118" t="s">
        <v>7</v>
      </c>
      <c r="W42" s="118" t="s">
        <v>82</v>
      </c>
      <c r="X42" s="118" t="s">
        <v>1155</v>
      </c>
      <c r="Y42" s="118" t="s">
        <v>7</v>
      </c>
      <c r="Z42" s="118" t="s">
        <v>7</v>
      </c>
      <c r="AA42" s="118" t="s">
        <v>7</v>
      </c>
      <c r="AB42" s="118" t="s">
        <v>7</v>
      </c>
      <c r="AC42" s="118" t="s">
        <v>7</v>
      </c>
      <c r="AD42" s="118" t="s">
        <v>7</v>
      </c>
      <c r="AE42" s="118" t="s">
        <v>7</v>
      </c>
      <c r="AF42" s="118"/>
      <c r="AG42" s="118"/>
    </row>
    <row r="43" spans="1:33" x14ac:dyDescent="0.3">
      <c r="A43" s="118">
        <v>86337</v>
      </c>
      <c r="B43" s="118" t="s">
        <v>336</v>
      </c>
      <c r="C43" s="118" t="s">
        <v>1297</v>
      </c>
      <c r="D43" s="118" t="s">
        <v>11</v>
      </c>
      <c r="E43" s="118" t="s">
        <v>999</v>
      </c>
      <c r="F43" s="118" t="s">
        <v>81</v>
      </c>
      <c r="G43" s="118"/>
      <c r="H43" s="119">
        <v>42606.587210648147</v>
      </c>
      <c r="I43" s="118" t="s">
        <v>1139</v>
      </c>
      <c r="J43" s="118" t="s">
        <v>999</v>
      </c>
      <c r="K43" s="119">
        <v>42570.303657407407</v>
      </c>
      <c r="L43" s="118" t="s">
        <v>628</v>
      </c>
      <c r="M43" s="118"/>
      <c r="N43" s="118" t="s">
        <v>616</v>
      </c>
      <c r="O43" s="118" t="s">
        <v>12</v>
      </c>
      <c r="P43" s="118" t="s">
        <v>30</v>
      </c>
      <c r="Q43" s="118" t="s">
        <v>8</v>
      </c>
      <c r="R43" s="118" t="s">
        <v>38</v>
      </c>
      <c r="S43" s="118"/>
      <c r="T43" s="118" t="s">
        <v>7</v>
      </c>
      <c r="U43" s="118" t="s">
        <v>10</v>
      </c>
      <c r="V43" s="118" t="s">
        <v>7</v>
      </c>
      <c r="W43" s="118" t="s">
        <v>82</v>
      </c>
      <c r="X43" s="118" t="s">
        <v>1155</v>
      </c>
      <c r="Y43" s="118" t="s">
        <v>7</v>
      </c>
      <c r="Z43" s="118" t="s">
        <v>7</v>
      </c>
      <c r="AA43" s="118" t="s">
        <v>7</v>
      </c>
      <c r="AB43" s="118" t="s">
        <v>7</v>
      </c>
      <c r="AC43" s="118" t="s">
        <v>7</v>
      </c>
      <c r="AD43" s="118" t="s">
        <v>7</v>
      </c>
      <c r="AE43" s="118" t="s">
        <v>7</v>
      </c>
      <c r="AF43" s="118"/>
      <c r="AG43" s="118"/>
    </row>
    <row r="44" spans="1:33" x14ac:dyDescent="0.3">
      <c r="A44" s="118">
        <v>86531</v>
      </c>
      <c r="B44" s="118" t="s">
        <v>1185</v>
      </c>
      <c r="C44" s="118" t="s">
        <v>1229</v>
      </c>
      <c r="D44" s="118" t="s">
        <v>652</v>
      </c>
      <c r="E44" s="118" t="s">
        <v>173</v>
      </c>
      <c r="F44" s="118" t="s">
        <v>1230</v>
      </c>
      <c r="G44" s="118" t="s">
        <v>1074</v>
      </c>
      <c r="H44" s="119">
        <v>42598.064270833333</v>
      </c>
      <c r="I44" s="118" t="s">
        <v>1135</v>
      </c>
      <c r="J44" s="118" t="s">
        <v>999</v>
      </c>
      <c r="K44" s="119">
        <v>42573.245416666665</v>
      </c>
      <c r="L44" s="118" t="s">
        <v>628</v>
      </c>
      <c r="M44" s="118"/>
      <c r="N44" s="118"/>
      <c r="O44" s="118" t="s">
        <v>12</v>
      </c>
      <c r="P44" s="118" t="s">
        <v>30</v>
      </c>
      <c r="Q44" s="118" t="s">
        <v>8</v>
      </c>
      <c r="R44" s="118" t="s">
        <v>122</v>
      </c>
      <c r="S44" s="118"/>
      <c r="T44" s="118" t="s">
        <v>7</v>
      </c>
      <c r="U44" s="118" t="s">
        <v>10</v>
      </c>
      <c r="V44" s="118" t="s">
        <v>7</v>
      </c>
      <c r="W44" s="118" t="s">
        <v>82</v>
      </c>
      <c r="X44" s="118" t="s">
        <v>1134</v>
      </c>
      <c r="Y44" s="118" t="s">
        <v>7</v>
      </c>
      <c r="Z44" s="118" t="s">
        <v>7</v>
      </c>
      <c r="AA44" s="118" t="s">
        <v>7</v>
      </c>
      <c r="AB44" s="118" t="s">
        <v>1291</v>
      </c>
      <c r="AC44" s="118" t="s">
        <v>7</v>
      </c>
      <c r="AD44" s="118" t="s">
        <v>7</v>
      </c>
      <c r="AE44" s="118" t="s">
        <v>7</v>
      </c>
      <c r="AF44" s="118"/>
      <c r="AG44" s="118"/>
    </row>
    <row r="45" spans="1:33" x14ac:dyDescent="0.3">
      <c r="A45" s="118">
        <v>86769</v>
      </c>
      <c r="B45" s="118" t="s">
        <v>1132</v>
      </c>
      <c r="C45" s="118" t="s">
        <v>1361</v>
      </c>
      <c r="D45" s="118" t="s">
        <v>146</v>
      </c>
      <c r="E45" s="118" t="s">
        <v>173</v>
      </c>
      <c r="F45" s="118" t="s">
        <v>336</v>
      </c>
      <c r="G45" s="118"/>
      <c r="H45" s="119">
        <v>42601.557847222219</v>
      </c>
      <c r="I45" s="118" t="s">
        <v>1135</v>
      </c>
      <c r="J45" s="118" t="s">
        <v>999</v>
      </c>
      <c r="K45" s="119">
        <v>42578.686840277776</v>
      </c>
      <c r="L45" s="118" t="s">
        <v>120</v>
      </c>
      <c r="M45" s="118"/>
      <c r="N45" s="118"/>
      <c r="O45" s="118" t="s">
        <v>12</v>
      </c>
      <c r="P45" s="118" t="s">
        <v>30</v>
      </c>
      <c r="Q45" s="118" t="s">
        <v>13</v>
      </c>
      <c r="R45" s="118" t="s">
        <v>19</v>
      </c>
      <c r="S45" s="118"/>
      <c r="T45" s="118" t="s">
        <v>7</v>
      </c>
      <c r="U45" s="118" t="s">
        <v>10</v>
      </c>
      <c r="V45" s="118" t="s">
        <v>7</v>
      </c>
      <c r="W45" s="118" t="s">
        <v>114</v>
      </c>
      <c r="X45" s="118" t="s">
        <v>1134</v>
      </c>
      <c r="Y45" s="118" t="s">
        <v>7</v>
      </c>
      <c r="Z45" s="118" t="s">
        <v>7</v>
      </c>
      <c r="AA45" s="118" t="s">
        <v>7</v>
      </c>
      <c r="AB45" s="118" t="s">
        <v>7</v>
      </c>
      <c r="AC45" s="118" t="s">
        <v>7</v>
      </c>
      <c r="AD45" s="118" t="s">
        <v>7</v>
      </c>
      <c r="AE45" s="118" t="s">
        <v>7</v>
      </c>
      <c r="AF45" s="118"/>
      <c r="AG45" s="118"/>
    </row>
    <row r="46" spans="1:33" x14ac:dyDescent="0.3">
      <c r="A46" s="118">
        <v>86933</v>
      </c>
      <c r="B46" s="118" t="s">
        <v>1132</v>
      </c>
      <c r="C46" s="118" t="s">
        <v>1362</v>
      </c>
      <c r="D46" s="118" t="s">
        <v>146</v>
      </c>
      <c r="E46" s="118" t="s">
        <v>999</v>
      </c>
      <c r="F46" s="118" t="s">
        <v>81</v>
      </c>
      <c r="G46" s="118"/>
      <c r="H46" s="119">
        <v>42601.557291666664</v>
      </c>
      <c r="I46" s="118" t="s">
        <v>1135</v>
      </c>
      <c r="J46" s="118" t="s">
        <v>999</v>
      </c>
      <c r="K46" s="119">
        <v>42583.299398148149</v>
      </c>
      <c r="L46" s="118" t="s">
        <v>120</v>
      </c>
      <c r="M46" s="118"/>
      <c r="N46" s="118"/>
      <c r="O46" s="118" t="s">
        <v>12</v>
      </c>
      <c r="P46" s="118" t="s">
        <v>30</v>
      </c>
      <c r="Q46" s="118" t="s">
        <v>13</v>
      </c>
      <c r="R46" s="118" t="s">
        <v>19</v>
      </c>
      <c r="S46" s="118"/>
      <c r="T46" s="118" t="s">
        <v>7</v>
      </c>
      <c r="U46" s="118" t="s">
        <v>10</v>
      </c>
      <c r="V46" s="118" t="s">
        <v>7</v>
      </c>
      <c r="W46" s="118" t="s">
        <v>114</v>
      </c>
      <c r="X46" s="118" t="s">
        <v>1134</v>
      </c>
      <c r="Y46" s="118" t="s">
        <v>7</v>
      </c>
      <c r="Z46" s="118" t="s">
        <v>7</v>
      </c>
      <c r="AA46" s="118" t="s">
        <v>7</v>
      </c>
      <c r="AB46" s="118" t="s">
        <v>1363</v>
      </c>
      <c r="AC46" s="118" t="s">
        <v>7</v>
      </c>
      <c r="AD46" s="118" t="s">
        <v>7</v>
      </c>
      <c r="AE46" s="118" t="s">
        <v>7</v>
      </c>
      <c r="AF46" s="118"/>
      <c r="AG46" s="118"/>
    </row>
    <row r="47" spans="1:33" x14ac:dyDescent="0.3">
      <c r="A47" s="118">
        <v>86941</v>
      </c>
      <c r="B47" s="118" t="s">
        <v>1185</v>
      </c>
      <c r="C47" s="118" t="s">
        <v>1219</v>
      </c>
      <c r="D47" s="118" t="s">
        <v>652</v>
      </c>
      <c r="E47" s="118" t="s">
        <v>999</v>
      </c>
      <c r="F47" s="118" t="s">
        <v>81</v>
      </c>
      <c r="G47" s="118" t="s">
        <v>1074</v>
      </c>
      <c r="H47" s="119">
        <v>42598.061932870369</v>
      </c>
      <c r="I47" s="118" t="s">
        <v>1135</v>
      </c>
      <c r="J47" s="118" t="s">
        <v>999</v>
      </c>
      <c r="K47" s="119">
        <v>42583.380312499998</v>
      </c>
      <c r="L47" s="118" t="s">
        <v>628</v>
      </c>
      <c r="M47" s="118"/>
      <c r="N47" s="118"/>
      <c r="O47" s="118" t="s">
        <v>12</v>
      </c>
      <c r="P47" s="118" t="s">
        <v>30</v>
      </c>
      <c r="Q47" s="118" t="s">
        <v>8</v>
      </c>
      <c r="R47" s="118" t="s">
        <v>122</v>
      </c>
      <c r="S47" s="118"/>
      <c r="T47" s="118" t="s">
        <v>7</v>
      </c>
      <c r="U47" s="118" t="s">
        <v>10</v>
      </c>
      <c r="V47" s="118" t="s">
        <v>7</v>
      </c>
      <c r="W47" s="118" t="s">
        <v>82</v>
      </c>
      <c r="X47" s="118" t="s">
        <v>1134</v>
      </c>
      <c r="Y47" s="118" t="s">
        <v>7</v>
      </c>
      <c r="Z47" s="118" t="s">
        <v>7</v>
      </c>
      <c r="AA47" s="118" t="s">
        <v>7</v>
      </c>
      <c r="AB47" s="118" t="s">
        <v>1291</v>
      </c>
      <c r="AC47" s="118" t="s">
        <v>7</v>
      </c>
      <c r="AD47" s="118" t="s">
        <v>7</v>
      </c>
      <c r="AE47" s="118" t="s">
        <v>7</v>
      </c>
      <c r="AF47" s="118"/>
      <c r="AG47" s="118"/>
    </row>
    <row r="48" spans="1:33" x14ac:dyDescent="0.3">
      <c r="A48" s="118">
        <v>87001</v>
      </c>
      <c r="B48" s="118" t="s">
        <v>1077</v>
      </c>
      <c r="C48" s="118" t="s">
        <v>1231</v>
      </c>
      <c r="D48" s="118" t="s">
        <v>11</v>
      </c>
      <c r="E48" s="118" t="s">
        <v>173</v>
      </c>
      <c r="F48" s="118" t="s">
        <v>338</v>
      </c>
      <c r="G48" s="118"/>
      <c r="H48" s="119">
        <v>42597.641157407408</v>
      </c>
      <c r="I48" s="118" t="s">
        <v>1135</v>
      </c>
      <c r="J48" s="118" t="s">
        <v>569</v>
      </c>
      <c r="K48" s="119">
        <v>42584.606122685182</v>
      </c>
      <c r="L48" s="118" t="s">
        <v>40</v>
      </c>
      <c r="M48" s="118"/>
      <c r="N48" s="118"/>
      <c r="O48" s="118" t="s">
        <v>6</v>
      </c>
      <c r="P48" s="118" t="s">
        <v>30</v>
      </c>
      <c r="Q48" s="118" t="s">
        <v>24</v>
      </c>
      <c r="R48" s="118" t="s">
        <v>47</v>
      </c>
      <c r="S48" s="118"/>
      <c r="T48" s="118" t="s">
        <v>7</v>
      </c>
      <c r="U48" s="118" t="s">
        <v>10</v>
      </c>
      <c r="V48" s="118" t="s">
        <v>7</v>
      </c>
      <c r="W48" s="118" t="s">
        <v>114</v>
      </c>
      <c r="X48" s="118" t="s">
        <v>1134</v>
      </c>
      <c r="Y48" s="118" t="s">
        <v>7</v>
      </c>
      <c r="Z48" s="118" t="s">
        <v>7</v>
      </c>
      <c r="AA48" s="118" t="s">
        <v>7</v>
      </c>
      <c r="AB48" s="118" t="s">
        <v>7</v>
      </c>
      <c r="AC48" s="118" t="s">
        <v>7</v>
      </c>
      <c r="AD48" s="118" t="s">
        <v>7</v>
      </c>
      <c r="AE48" s="118" t="s">
        <v>7</v>
      </c>
      <c r="AF48" s="118"/>
      <c r="AG48" s="118"/>
    </row>
    <row r="49" spans="1:33" x14ac:dyDescent="0.3">
      <c r="A49" s="118">
        <v>87003</v>
      </c>
      <c r="B49" s="118" t="s">
        <v>1077</v>
      </c>
      <c r="C49" s="118" t="s">
        <v>1224</v>
      </c>
      <c r="D49" s="118" t="s">
        <v>11</v>
      </c>
      <c r="E49" s="118" t="s">
        <v>569</v>
      </c>
      <c r="F49" s="118" t="s">
        <v>81</v>
      </c>
      <c r="G49" s="118" t="s">
        <v>1225</v>
      </c>
      <c r="H49" s="119">
        <v>42597.6405787037</v>
      </c>
      <c r="I49" s="118" t="s">
        <v>1135</v>
      </c>
      <c r="J49" s="118" t="s">
        <v>569</v>
      </c>
      <c r="K49" s="119">
        <v>42584.611168981479</v>
      </c>
      <c r="L49" s="118" t="s">
        <v>40</v>
      </c>
      <c r="M49" s="118"/>
      <c r="N49" s="118" t="s">
        <v>366</v>
      </c>
      <c r="O49" s="118" t="s">
        <v>6</v>
      </c>
      <c r="P49" s="118" t="s">
        <v>30</v>
      </c>
      <c r="Q49" s="118" t="s">
        <v>24</v>
      </c>
      <c r="R49" s="118" t="s">
        <v>47</v>
      </c>
      <c r="S49" s="118"/>
      <c r="T49" s="118" t="s">
        <v>7</v>
      </c>
      <c r="U49" s="118" t="s">
        <v>10</v>
      </c>
      <c r="V49" s="118" t="s">
        <v>7</v>
      </c>
      <c r="W49" s="118" t="s">
        <v>114</v>
      </c>
      <c r="X49" s="118" t="s">
        <v>1138</v>
      </c>
      <c r="Y49" s="118" t="s">
        <v>7</v>
      </c>
      <c r="Z49" s="118" t="s">
        <v>7</v>
      </c>
      <c r="AA49" s="118" t="s">
        <v>7</v>
      </c>
      <c r="AB49" s="118" t="s">
        <v>7</v>
      </c>
      <c r="AC49" s="118" t="s">
        <v>7</v>
      </c>
      <c r="AD49" s="118" t="s">
        <v>7</v>
      </c>
      <c r="AE49" s="118" t="s">
        <v>7</v>
      </c>
      <c r="AF49" s="118"/>
      <c r="AG49" s="118"/>
    </row>
    <row r="50" spans="1:33" x14ac:dyDescent="0.3">
      <c r="A50" s="118">
        <v>87056</v>
      </c>
      <c r="B50" s="118" t="s">
        <v>336</v>
      </c>
      <c r="C50" s="118" t="s">
        <v>1232</v>
      </c>
      <c r="D50" s="118" t="s">
        <v>11</v>
      </c>
      <c r="E50" s="118" t="s">
        <v>173</v>
      </c>
      <c r="F50" s="118" t="s">
        <v>1140</v>
      </c>
      <c r="G50" s="118"/>
      <c r="H50" s="119">
        <v>42597.727094907408</v>
      </c>
      <c r="I50" s="118" t="s">
        <v>1135</v>
      </c>
      <c r="J50" s="118" t="s">
        <v>569</v>
      </c>
      <c r="K50" s="119">
        <v>42585.38040509259</v>
      </c>
      <c r="L50" s="118" t="s">
        <v>628</v>
      </c>
      <c r="M50" s="118"/>
      <c r="N50" s="118"/>
      <c r="O50" s="118" t="s">
        <v>12</v>
      </c>
      <c r="P50" s="118" t="s">
        <v>30</v>
      </c>
      <c r="Q50" s="118" t="s">
        <v>8</v>
      </c>
      <c r="R50" s="118" t="s">
        <v>479</v>
      </c>
      <c r="S50" s="118"/>
      <c r="T50" s="118" t="s">
        <v>7</v>
      </c>
      <c r="U50" s="118" t="s">
        <v>10</v>
      </c>
      <c r="V50" s="118" t="s">
        <v>7</v>
      </c>
      <c r="W50" s="118" t="s">
        <v>82</v>
      </c>
      <c r="X50" s="118" t="s">
        <v>1137</v>
      </c>
      <c r="Y50" s="118" t="s">
        <v>7</v>
      </c>
      <c r="Z50" s="118" t="s">
        <v>7</v>
      </c>
      <c r="AA50" s="118" t="s">
        <v>7</v>
      </c>
      <c r="AB50" s="118" t="s">
        <v>7</v>
      </c>
      <c r="AC50" s="118" t="s">
        <v>7</v>
      </c>
      <c r="AD50" s="118" t="s">
        <v>7</v>
      </c>
      <c r="AE50" s="118" t="s">
        <v>1085</v>
      </c>
      <c r="AF50" s="118"/>
      <c r="AG50" s="118"/>
    </row>
    <row r="51" spans="1:33" x14ac:dyDescent="0.3">
      <c r="A51" s="118">
        <v>87065</v>
      </c>
      <c r="B51" s="118" t="s">
        <v>336</v>
      </c>
      <c r="C51" s="118" t="s">
        <v>1223</v>
      </c>
      <c r="D51" s="118" t="s">
        <v>11</v>
      </c>
      <c r="E51" s="118" t="s">
        <v>569</v>
      </c>
      <c r="F51" s="118" t="s">
        <v>81</v>
      </c>
      <c r="G51" s="118"/>
      <c r="H51" s="119">
        <v>42597.725034722222</v>
      </c>
      <c r="I51" s="118" t="s">
        <v>1135</v>
      </c>
      <c r="J51" s="118" t="s">
        <v>569</v>
      </c>
      <c r="K51" s="119">
        <v>42585.444039351853</v>
      </c>
      <c r="L51" s="118" t="s">
        <v>628</v>
      </c>
      <c r="M51" s="118"/>
      <c r="N51" s="118" t="s">
        <v>616</v>
      </c>
      <c r="O51" s="118" t="s">
        <v>12</v>
      </c>
      <c r="P51" s="118" t="s">
        <v>30</v>
      </c>
      <c r="Q51" s="118" t="s">
        <v>8</v>
      </c>
      <c r="R51" s="118" t="s">
        <v>479</v>
      </c>
      <c r="S51" s="118"/>
      <c r="T51" s="118" t="s">
        <v>7</v>
      </c>
      <c r="U51" s="118" t="s">
        <v>10</v>
      </c>
      <c r="V51" s="118" t="s">
        <v>7</v>
      </c>
      <c r="W51" s="118" t="s">
        <v>82</v>
      </c>
      <c r="X51" s="118" t="s">
        <v>1137</v>
      </c>
      <c r="Y51" s="118" t="s">
        <v>7</v>
      </c>
      <c r="Z51" s="118" t="s">
        <v>7</v>
      </c>
      <c r="AA51" s="118" t="s">
        <v>7</v>
      </c>
      <c r="AB51" s="118" t="s">
        <v>7</v>
      </c>
      <c r="AC51" s="118" t="s">
        <v>7</v>
      </c>
      <c r="AD51" s="118" t="s">
        <v>7</v>
      </c>
      <c r="AE51" s="118" t="s">
        <v>1085</v>
      </c>
      <c r="AF51" s="118"/>
      <c r="AG51" s="118"/>
    </row>
    <row r="52" spans="1:33" x14ac:dyDescent="0.3">
      <c r="A52" s="118">
        <v>87066</v>
      </c>
      <c r="B52" s="118" t="s">
        <v>1132</v>
      </c>
      <c r="C52" s="118" t="s">
        <v>1222</v>
      </c>
      <c r="D52" s="118" t="s">
        <v>11</v>
      </c>
      <c r="E52" s="118" t="s">
        <v>999</v>
      </c>
      <c r="F52" s="118" t="s">
        <v>81</v>
      </c>
      <c r="G52" s="118"/>
      <c r="H52" s="119">
        <v>42597.726030092592</v>
      </c>
      <c r="I52" s="118" t="s">
        <v>1135</v>
      </c>
      <c r="J52" s="118" t="s">
        <v>569</v>
      </c>
      <c r="K52" s="119">
        <v>42585.444108796299</v>
      </c>
      <c r="L52" s="118" t="s">
        <v>628</v>
      </c>
      <c r="M52" s="118"/>
      <c r="N52" s="118"/>
      <c r="O52" s="118" t="s">
        <v>12</v>
      </c>
      <c r="P52" s="118" t="s">
        <v>30</v>
      </c>
      <c r="Q52" s="118" t="s">
        <v>8</v>
      </c>
      <c r="R52" s="118" t="s">
        <v>479</v>
      </c>
      <c r="S52" s="118"/>
      <c r="T52" s="118" t="s">
        <v>7</v>
      </c>
      <c r="U52" s="118" t="s">
        <v>10</v>
      </c>
      <c r="V52" s="118" t="s">
        <v>7</v>
      </c>
      <c r="W52" s="118" t="s">
        <v>82</v>
      </c>
      <c r="X52" s="118" t="s">
        <v>1137</v>
      </c>
      <c r="Y52" s="118" t="s">
        <v>7</v>
      </c>
      <c r="Z52" s="118" t="s">
        <v>7</v>
      </c>
      <c r="AA52" s="118" t="s">
        <v>7</v>
      </c>
      <c r="AB52" s="118" t="s">
        <v>7</v>
      </c>
      <c r="AC52" s="118" t="s">
        <v>7</v>
      </c>
      <c r="AD52" s="118" t="s">
        <v>7</v>
      </c>
      <c r="AE52" s="118" t="s">
        <v>1085</v>
      </c>
      <c r="AF52" s="118"/>
      <c r="AG52" s="118"/>
    </row>
    <row r="53" spans="1:33" x14ac:dyDescent="0.3">
      <c r="A53" s="118">
        <v>87142</v>
      </c>
      <c r="B53" s="118" t="s">
        <v>374</v>
      </c>
      <c r="C53" s="118" t="s">
        <v>1233</v>
      </c>
      <c r="D53" s="118" t="s">
        <v>11</v>
      </c>
      <c r="E53" s="118" t="s">
        <v>569</v>
      </c>
      <c r="F53" s="118" t="s">
        <v>81</v>
      </c>
      <c r="G53" s="118"/>
      <c r="H53" s="119">
        <v>42599.584351851852</v>
      </c>
      <c r="I53" s="118" t="s">
        <v>1139</v>
      </c>
      <c r="J53" s="118" t="s">
        <v>80</v>
      </c>
      <c r="K53" s="119">
        <v>42586.422962962963</v>
      </c>
      <c r="L53" s="118" t="s">
        <v>16</v>
      </c>
      <c r="M53" s="118"/>
      <c r="N53" s="118"/>
      <c r="O53" s="118" t="s">
        <v>6</v>
      </c>
      <c r="P53" s="118" t="s">
        <v>30</v>
      </c>
      <c r="Q53" s="118" t="s">
        <v>13</v>
      </c>
      <c r="R53" s="118" t="s">
        <v>19</v>
      </c>
      <c r="S53" s="118"/>
      <c r="T53" s="118" t="s">
        <v>7</v>
      </c>
      <c r="U53" s="118" t="s">
        <v>10</v>
      </c>
      <c r="V53" s="118" t="s">
        <v>7</v>
      </c>
      <c r="W53" s="118" t="s">
        <v>114</v>
      </c>
      <c r="X53" s="118" t="s">
        <v>1138</v>
      </c>
      <c r="Y53" s="118" t="s">
        <v>7</v>
      </c>
      <c r="Z53" s="118" t="s">
        <v>7</v>
      </c>
      <c r="AA53" s="118" t="s">
        <v>7</v>
      </c>
      <c r="AB53" s="118" t="s">
        <v>7</v>
      </c>
      <c r="AC53" s="118" t="s">
        <v>7</v>
      </c>
      <c r="AD53" s="118" t="s">
        <v>7</v>
      </c>
      <c r="AE53" s="118" t="s">
        <v>7</v>
      </c>
      <c r="AF53" s="118">
        <v>11690</v>
      </c>
      <c r="AG53" s="118"/>
    </row>
    <row r="54" spans="1:33" x14ac:dyDescent="0.3">
      <c r="A54" s="118">
        <v>87144</v>
      </c>
      <c r="B54" s="118" t="s">
        <v>374</v>
      </c>
      <c r="C54" s="118" t="s">
        <v>1234</v>
      </c>
      <c r="D54" s="118" t="s">
        <v>11</v>
      </c>
      <c r="E54" s="118" t="s">
        <v>1063</v>
      </c>
      <c r="F54" s="118" t="s">
        <v>81</v>
      </c>
      <c r="G54" s="118"/>
      <c r="H54" s="119">
        <v>42599.517048611109</v>
      </c>
      <c r="I54" s="118" t="s">
        <v>1139</v>
      </c>
      <c r="J54" s="118" t="s">
        <v>80</v>
      </c>
      <c r="K54" s="119">
        <v>42586.423159722224</v>
      </c>
      <c r="L54" s="118" t="s">
        <v>16</v>
      </c>
      <c r="M54" s="118"/>
      <c r="N54" s="118"/>
      <c r="O54" s="118" t="s">
        <v>6</v>
      </c>
      <c r="P54" s="118" t="s">
        <v>30</v>
      </c>
      <c r="Q54" s="118" t="s">
        <v>13</v>
      </c>
      <c r="R54" s="118" t="s">
        <v>19</v>
      </c>
      <c r="S54" s="118"/>
      <c r="T54" s="118" t="s">
        <v>7</v>
      </c>
      <c r="U54" s="118" t="s">
        <v>10</v>
      </c>
      <c r="V54" s="118" t="s">
        <v>7</v>
      </c>
      <c r="W54" s="118" t="s">
        <v>114</v>
      </c>
      <c r="X54" s="118" t="s">
        <v>1138</v>
      </c>
      <c r="Y54" s="118" t="s">
        <v>7</v>
      </c>
      <c r="Z54" s="118" t="s">
        <v>7</v>
      </c>
      <c r="AA54" s="118" t="s">
        <v>7</v>
      </c>
      <c r="AB54" s="118" t="s">
        <v>7</v>
      </c>
      <c r="AC54" s="118" t="s">
        <v>7</v>
      </c>
      <c r="AD54" s="118" t="s">
        <v>7</v>
      </c>
      <c r="AE54" s="118" t="s">
        <v>7</v>
      </c>
      <c r="AF54" s="118">
        <v>11690</v>
      </c>
      <c r="AG54" s="118"/>
    </row>
    <row r="55" spans="1:33" x14ac:dyDescent="0.3">
      <c r="A55" s="118">
        <v>87240</v>
      </c>
      <c r="B55" s="118" t="s">
        <v>1079</v>
      </c>
      <c r="C55" s="118" t="s">
        <v>1313</v>
      </c>
      <c r="D55" s="118" t="s">
        <v>2</v>
      </c>
      <c r="E55" s="118" t="s">
        <v>173</v>
      </c>
      <c r="F55" s="118" t="s">
        <v>1079</v>
      </c>
      <c r="G55" s="118"/>
      <c r="H55" s="119">
        <v>42606.483449074076</v>
      </c>
      <c r="I55" s="118" t="s">
        <v>1135</v>
      </c>
      <c r="J55" s="118" t="s">
        <v>999</v>
      </c>
      <c r="K55" s="119">
        <v>42587.639062499999</v>
      </c>
      <c r="L55" s="118" t="s">
        <v>43</v>
      </c>
      <c r="M55" s="118"/>
      <c r="N55" s="118" t="s">
        <v>717</v>
      </c>
      <c r="O55" s="118" t="s">
        <v>12</v>
      </c>
      <c r="P55" s="118" t="s">
        <v>30</v>
      </c>
      <c r="Q55" s="118" t="s">
        <v>13</v>
      </c>
      <c r="R55" s="118" t="s">
        <v>587</v>
      </c>
      <c r="S55" s="118"/>
      <c r="T55" s="118" t="s">
        <v>7</v>
      </c>
      <c r="U55" s="118" t="s">
        <v>10</v>
      </c>
      <c r="V55" s="118" t="s">
        <v>7</v>
      </c>
      <c r="W55" s="118" t="s">
        <v>82</v>
      </c>
      <c r="X55" s="118" t="s">
        <v>1134</v>
      </c>
      <c r="Y55" s="118" t="s">
        <v>7</v>
      </c>
      <c r="Z55" s="118" t="s">
        <v>7</v>
      </c>
      <c r="AA55" s="118" t="s">
        <v>7</v>
      </c>
      <c r="AB55" s="118" t="s">
        <v>7</v>
      </c>
      <c r="AC55" s="118" t="s">
        <v>7</v>
      </c>
      <c r="AD55" s="118" t="s">
        <v>7</v>
      </c>
      <c r="AE55" s="118" t="s">
        <v>7</v>
      </c>
      <c r="AF55" s="118"/>
      <c r="AG55" s="118"/>
    </row>
    <row r="56" spans="1:33" x14ac:dyDescent="0.3">
      <c r="A56" s="118">
        <v>87253</v>
      </c>
      <c r="B56" s="118" t="s">
        <v>336</v>
      </c>
      <c r="C56" s="118" t="s">
        <v>1298</v>
      </c>
      <c r="D56" s="118" t="s">
        <v>11</v>
      </c>
      <c r="E56" s="118" t="s">
        <v>173</v>
      </c>
      <c r="F56" s="118" t="s">
        <v>1045</v>
      </c>
      <c r="G56" s="118"/>
      <c r="H56" s="119">
        <v>42593.382962962962</v>
      </c>
      <c r="I56" s="118" t="s">
        <v>1135</v>
      </c>
      <c r="J56" s="118" t="s">
        <v>569</v>
      </c>
      <c r="K56" s="119">
        <v>42590.134212962963</v>
      </c>
      <c r="L56" s="118" t="s">
        <v>628</v>
      </c>
      <c r="M56" s="118"/>
      <c r="N56" s="118"/>
      <c r="O56" s="118" t="s">
        <v>17</v>
      </c>
      <c r="P56" s="118" t="s">
        <v>30</v>
      </c>
      <c r="Q56" s="118" t="s">
        <v>13</v>
      </c>
      <c r="R56" s="118" t="s">
        <v>292</v>
      </c>
      <c r="S56" s="118"/>
      <c r="T56" s="118" t="s">
        <v>7</v>
      </c>
      <c r="U56" s="118" t="s">
        <v>1106</v>
      </c>
      <c r="V56" s="118" t="s">
        <v>7</v>
      </c>
      <c r="W56" s="118" t="s">
        <v>82</v>
      </c>
      <c r="X56" s="118" t="s">
        <v>1137</v>
      </c>
      <c r="Y56" s="118" t="s">
        <v>7</v>
      </c>
      <c r="Z56" s="118" t="s">
        <v>7</v>
      </c>
      <c r="AA56" s="118" t="s">
        <v>7</v>
      </c>
      <c r="AB56" s="118" t="s">
        <v>7</v>
      </c>
      <c r="AC56" s="118" t="s">
        <v>7</v>
      </c>
      <c r="AD56" s="118" t="s">
        <v>7</v>
      </c>
      <c r="AE56" s="118" t="s">
        <v>7</v>
      </c>
      <c r="AF56" s="118"/>
      <c r="AG56" s="118"/>
    </row>
    <row r="57" spans="1:33" x14ac:dyDescent="0.3">
      <c r="A57" s="118">
        <v>87272</v>
      </c>
      <c r="B57" s="118" t="s">
        <v>1077</v>
      </c>
      <c r="C57" s="118" t="s">
        <v>1299</v>
      </c>
      <c r="D57" s="118" t="s">
        <v>11</v>
      </c>
      <c r="E57" s="118" t="s">
        <v>999</v>
      </c>
      <c r="F57" s="118" t="s">
        <v>81</v>
      </c>
      <c r="G57" s="118"/>
      <c r="H57" s="119">
        <v>42597.634571759256</v>
      </c>
      <c r="I57" s="118" t="s">
        <v>1135</v>
      </c>
      <c r="J57" s="118" t="s">
        <v>569</v>
      </c>
      <c r="K57" s="119">
        <v>42590.359560185185</v>
      </c>
      <c r="L57" s="118" t="s">
        <v>40</v>
      </c>
      <c r="M57" s="118"/>
      <c r="N57" s="118"/>
      <c r="O57" s="118" t="s">
        <v>6</v>
      </c>
      <c r="P57" s="118" t="s">
        <v>30</v>
      </c>
      <c r="Q57" s="118" t="s">
        <v>24</v>
      </c>
      <c r="R57" s="118" t="s">
        <v>47</v>
      </c>
      <c r="S57" s="118"/>
      <c r="T57" s="118" t="s">
        <v>7</v>
      </c>
      <c r="U57" s="118" t="s">
        <v>10</v>
      </c>
      <c r="V57" s="118" t="s">
        <v>7</v>
      </c>
      <c r="W57" s="118" t="s">
        <v>114</v>
      </c>
      <c r="X57" s="118" t="s">
        <v>1134</v>
      </c>
      <c r="Y57" s="118" t="s">
        <v>7</v>
      </c>
      <c r="Z57" s="118" t="s">
        <v>7</v>
      </c>
      <c r="AA57" s="118" t="s">
        <v>7</v>
      </c>
      <c r="AB57" s="118" t="s">
        <v>7</v>
      </c>
      <c r="AC57" s="118" t="s">
        <v>7</v>
      </c>
      <c r="AD57" s="118" t="s">
        <v>7</v>
      </c>
      <c r="AE57" s="118" t="s">
        <v>7</v>
      </c>
      <c r="AF57" s="118"/>
      <c r="AG57" s="118"/>
    </row>
    <row r="58" spans="1:33" x14ac:dyDescent="0.3">
      <c r="A58" s="118">
        <v>87279</v>
      </c>
      <c r="B58" s="118" t="s">
        <v>336</v>
      </c>
      <c r="C58" s="118" t="s">
        <v>1238</v>
      </c>
      <c r="D58" s="118" t="s">
        <v>11</v>
      </c>
      <c r="E58" s="118" t="s">
        <v>569</v>
      </c>
      <c r="F58" s="118" t="s">
        <v>81</v>
      </c>
      <c r="G58" s="118"/>
      <c r="H58" s="119">
        <v>42593.420393518521</v>
      </c>
      <c r="I58" s="118" t="s">
        <v>1135</v>
      </c>
      <c r="J58" s="118" t="s">
        <v>569</v>
      </c>
      <c r="K58" s="119">
        <v>42590.506006944444</v>
      </c>
      <c r="L58" s="118" t="s">
        <v>628</v>
      </c>
      <c r="M58" s="118"/>
      <c r="N58" s="118"/>
      <c r="O58" s="118" t="s">
        <v>17</v>
      </c>
      <c r="P58" s="118" t="s">
        <v>30</v>
      </c>
      <c r="Q58" s="118" t="s">
        <v>13</v>
      </c>
      <c r="R58" s="118" t="s">
        <v>292</v>
      </c>
      <c r="S58" s="118"/>
      <c r="T58" s="118" t="s">
        <v>7</v>
      </c>
      <c r="U58" s="118" t="s">
        <v>1106</v>
      </c>
      <c r="V58" s="118" t="s">
        <v>7</v>
      </c>
      <c r="W58" s="118" t="s">
        <v>82</v>
      </c>
      <c r="X58" s="118" t="s">
        <v>1137</v>
      </c>
      <c r="Y58" s="118" t="s">
        <v>7</v>
      </c>
      <c r="Z58" s="118" t="s">
        <v>7</v>
      </c>
      <c r="AA58" s="118" t="s">
        <v>7</v>
      </c>
      <c r="AB58" s="118" t="s">
        <v>7</v>
      </c>
      <c r="AC58" s="118" t="s">
        <v>7</v>
      </c>
      <c r="AD58" s="118" t="s">
        <v>7</v>
      </c>
      <c r="AE58" s="118" t="s">
        <v>7</v>
      </c>
      <c r="AF58" s="118"/>
      <c r="AG58" s="118"/>
    </row>
    <row r="59" spans="1:33" x14ac:dyDescent="0.3">
      <c r="A59" s="118">
        <v>87281</v>
      </c>
      <c r="B59" s="118" t="s">
        <v>1207</v>
      </c>
      <c r="C59" s="118" t="s">
        <v>1239</v>
      </c>
      <c r="D59" s="118" t="s">
        <v>652</v>
      </c>
      <c r="E59" s="118" t="s">
        <v>569</v>
      </c>
      <c r="F59" s="118" t="s">
        <v>81</v>
      </c>
      <c r="G59" s="118"/>
      <c r="H59" s="119">
        <v>42593.308171296296</v>
      </c>
      <c r="I59" s="118" t="s">
        <v>1135</v>
      </c>
      <c r="J59" s="118" t="s">
        <v>569</v>
      </c>
      <c r="K59" s="119">
        <v>42590.506423611114</v>
      </c>
      <c r="L59" s="118" t="s">
        <v>628</v>
      </c>
      <c r="M59" s="118"/>
      <c r="N59" s="118"/>
      <c r="O59" s="118" t="s">
        <v>12</v>
      </c>
      <c r="P59" s="118" t="s">
        <v>30</v>
      </c>
      <c r="Q59" s="118" t="s">
        <v>13</v>
      </c>
      <c r="R59" s="118" t="s">
        <v>103</v>
      </c>
      <c r="S59" s="118"/>
      <c r="T59" s="118" t="s">
        <v>7</v>
      </c>
      <c r="U59" s="118" t="s">
        <v>10</v>
      </c>
      <c r="V59" s="118" t="s">
        <v>7</v>
      </c>
      <c r="W59" s="118" t="s">
        <v>82</v>
      </c>
      <c r="X59" s="118" t="s">
        <v>1134</v>
      </c>
      <c r="Y59" s="118" t="s">
        <v>7</v>
      </c>
      <c r="Z59" s="118" t="s">
        <v>7</v>
      </c>
      <c r="AA59" s="118" t="s">
        <v>7</v>
      </c>
      <c r="AB59" s="118" t="s">
        <v>7</v>
      </c>
      <c r="AC59" s="118" t="s">
        <v>7</v>
      </c>
      <c r="AD59" s="118" t="s">
        <v>7</v>
      </c>
      <c r="AE59" s="118" t="s">
        <v>7</v>
      </c>
      <c r="AF59" s="118"/>
      <c r="AG59" s="118"/>
    </row>
    <row r="60" spans="1:33" x14ac:dyDescent="0.3">
      <c r="A60" s="118">
        <v>87367</v>
      </c>
      <c r="B60" s="118" t="s">
        <v>331</v>
      </c>
      <c r="C60" s="118" t="s">
        <v>1301</v>
      </c>
      <c r="D60" s="118" t="s">
        <v>2</v>
      </c>
      <c r="E60" s="118" t="s">
        <v>173</v>
      </c>
      <c r="F60" s="118" t="s">
        <v>1302</v>
      </c>
      <c r="G60" s="118"/>
      <c r="H60" s="119">
        <v>42598.058599537035</v>
      </c>
      <c r="I60" s="118" t="s">
        <v>1135</v>
      </c>
      <c r="J60" s="118" t="s">
        <v>569</v>
      </c>
      <c r="K60" s="119">
        <v>42592.137604166666</v>
      </c>
      <c r="L60" s="118" t="s">
        <v>22</v>
      </c>
      <c r="M60" s="118"/>
      <c r="N60" s="118"/>
      <c r="O60" s="118" t="s">
        <v>12</v>
      </c>
      <c r="P60" s="118" t="s">
        <v>30</v>
      </c>
      <c r="Q60" s="118" t="s">
        <v>13</v>
      </c>
      <c r="R60" s="118" t="s">
        <v>292</v>
      </c>
      <c r="S60" s="118"/>
      <c r="T60" s="118" t="s">
        <v>7</v>
      </c>
      <c r="U60" s="118" t="s">
        <v>10</v>
      </c>
      <c r="V60" s="118" t="s">
        <v>7</v>
      </c>
      <c r="W60" s="118" t="s">
        <v>82</v>
      </c>
      <c r="X60" s="118" t="s">
        <v>1136</v>
      </c>
      <c r="Y60" s="118" t="s">
        <v>7</v>
      </c>
      <c r="Z60" s="118" t="s">
        <v>7</v>
      </c>
      <c r="AA60" s="118" t="s">
        <v>7</v>
      </c>
      <c r="AB60" s="118" t="s">
        <v>7</v>
      </c>
      <c r="AC60" s="118" t="s">
        <v>7</v>
      </c>
      <c r="AD60" s="118" t="s">
        <v>7</v>
      </c>
      <c r="AE60" s="118" t="s">
        <v>7</v>
      </c>
      <c r="AF60" s="118"/>
      <c r="AG60" s="118"/>
    </row>
    <row r="61" spans="1:33" x14ac:dyDescent="0.3">
      <c r="A61" s="118">
        <v>87389</v>
      </c>
      <c r="B61" s="118" t="s">
        <v>331</v>
      </c>
      <c r="C61" s="118" t="s">
        <v>1303</v>
      </c>
      <c r="D61" s="118" t="s">
        <v>2</v>
      </c>
      <c r="E61" s="118" t="s">
        <v>999</v>
      </c>
      <c r="F61" s="118" t="s">
        <v>81</v>
      </c>
      <c r="G61" s="118"/>
      <c r="H61" s="119">
        <v>42598.058391203704</v>
      </c>
      <c r="I61" s="118" t="s">
        <v>1135</v>
      </c>
      <c r="J61" s="118" t="s">
        <v>569</v>
      </c>
      <c r="K61" s="119">
        <v>42592.31931712963</v>
      </c>
      <c r="L61" s="118" t="s">
        <v>22</v>
      </c>
      <c r="M61" s="118"/>
      <c r="N61" s="118"/>
      <c r="O61" s="118" t="s">
        <v>12</v>
      </c>
      <c r="P61" s="118" t="s">
        <v>30</v>
      </c>
      <c r="Q61" s="118" t="s">
        <v>13</v>
      </c>
      <c r="R61" s="118" t="s">
        <v>292</v>
      </c>
      <c r="S61" s="118"/>
      <c r="T61" s="118" t="s">
        <v>7</v>
      </c>
      <c r="U61" s="118" t="s">
        <v>10</v>
      </c>
      <c r="V61" s="118" t="s">
        <v>7</v>
      </c>
      <c r="W61" s="118" t="s">
        <v>82</v>
      </c>
      <c r="X61" s="118" t="s">
        <v>1136</v>
      </c>
      <c r="Y61" s="118" t="s">
        <v>7</v>
      </c>
      <c r="Z61" s="118" t="s">
        <v>7</v>
      </c>
      <c r="AA61" s="118" t="s">
        <v>7</v>
      </c>
      <c r="AB61" s="118" t="s">
        <v>7</v>
      </c>
      <c r="AC61" s="118" t="s">
        <v>7</v>
      </c>
      <c r="AD61" s="118" t="s">
        <v>7</v>
      </c>
      <c r="AE61" s="118" t="s">
        <v>7</v>
      </c>
      <c r="AF61" s="118"/>
      <c r="AG61" s="118"/>
    </row>
    <row r="62" spans="1:33" x14ac:dyDescent="0.3">
      <c r="A62" s="118">
        <v>87449</v>
      </c>
      <c r="B62" s="118" t="s">
        <v>1083</v>
      </c>
      <c r="C62" s="118" t="s">
        <v>1304</v>
      </c>
      <c r="D62" s="118" t="s">
        <v>11</v>
      </c>
      <c r="E62" s="118" t="s">
        <v>173</v>
      </c>
      <c r="F62" s="118" t="s">
        <v>1305</v>
      </c>
      <c r="G62" s="118"/>
      <c r="H62" s="119">
        <v>42600.349247685182</v>
      </c>
      <c r="I62" s="118" t="s">
        <v>1135</v>
      </c>
      <c r="J62" s="118" t="s">
        <v>999</v>
      </c>
      <c r="K62" s="119">
        <v>42593.211192129631</v>
      </c>
      <c r="L62" s="118" t="s">
        <v>40</v>
      </c>
      <c r="M62" s="118"/>
      <c r="N62" s="118"/>
      <c r="O62" s="118" t="s">
        <v>12</v>
      </c>
      <c r="P62" s="118" t="s">
        <v>30</v>
      </c>
      <c r="Q62" s="118" t="s">
        <v>8</v>
      </c>
      <c r="R62" s="118" t="s">
        <v>122</v>
      </c>
      <c r="S62" s="118"/>
      <c r="T62" s="118" t="s">
        <v>7</v>
      </c>
      <c r="U62" s="118" t="s">
        <v>10</v>
      </c>
      <c r="V62" s="118" t="s">
        <v>7</v>
      </c>
      <c r="W62" s="118" t="s">
        <v>82</v>
      </c>
      <c r="X62" s="118" t="s">
        <v>1306</v>
      </c>
      <c r="Y62" s="118" t="s">
        <v>7</v>
      </c>
      <c r="Z62" s="118" t="s">
        <v>7</v>
      </c>
      <c r="AA62" s="118" t="s">
        <v>7</v>
      </c>
      <c r="AB62" s="118" t="s">
        <v>7</v>
      </c>
      <c r="AC62" s="118" t="s">
        <v>7</v>
      </c>
      <c r="AD62" s="118" t="s">
        <v>7</v>
      </c>
      <c r="AE62" s="118" t="s">
        <v>7</v>
      </c>
      <c r="AF62" s="118"/>
      <c r="AG62" s="118"/>
    </row>
    <row r="63" spans="1:33" x14ac:dyDescent="0.3">
      <c r="A63" s="118">
        <v>87458</v>
      </c>
      <c r="B63" s="118" t="s">
        <v>1083</v>
      </c>
      <c r="C63" s="118" t="s">
        <v>1246</v>
      </c>
      <c r="D63" s="118" t="s">
        <v>11</v>
      </c>
      <c r="E63" s="118" t="s">
        <v>999</v>
      </c>
      <c r="F63" s="118" t="s">
        <v>81</v>
      </c>
      <c r="G63" s="118"/>
      <c r="H63" s="119">
        <v>42600.349293981482</v>
      </c>
      <c r="I63" s="118" t="s">
        <v>1135</v>
      </c>
      <c r="J63" s="118" t="s">
        <v>999</v>
      </c>
      <c r="K63" s="119">
        <v>42593.304398148146</v>
      </c>
      <c r="L63" s="118" t="s">
        <v>40</v>
      </c>
      <c r="M63" s="118"/>
      <c r="N63" s="118" t="s">
        <v>1252</v>
      </c>
      <c r="O63" s="118" t="s">
        <v>12</v>
      </c>
      <c r="P63" s="118" t="s">
        <v>30</v>
      </c>
      <c r="Q63" s="118" t="s">
        <v>8</v>
      </c>
      <c r="R63" s="118" t="s">
        <v>122</v>
      </c>
      <c r="S63" s="118"/>
      <c r="T63" s="118" t="s">
        <v>7</v>
      </c>
      <c r="U63" s="118" t="s">
        <v>10</v>
      </c>
      <c r="V63" s="118" t="s">
        <v>7</v>
      </c>
      <c r="W63" s="118" t="s">
        <v>82</v>
      </c>
      <c r="X63" s="118" t="s">
        <v>1306</v>
      </c>
      <c r="Y63" s="118" t="s">
        <v>7</v>
      </c>
      <c r="Z63" s="118" t="s">
        <v>7</v>
      </c>
      <c r="AA63" s="118" t="s">
        <v>7</v>
      </c>
      <c r="AB63" s="118" t="s">
        <v>7</v>
      </c>
      <c r="AC63" s="118" t="s">
        <v>7</v>
      </c>
      <c r="AD63" s="118" t="s">
        <v>7</v>
      </c>
      <c r="AE63" s="118" t="s">
        <v>7</v>
      </c>
      <c r="AF63" s="118"/>
      <c r="AG63" s="118"/>
    </row>
    <row r="64" spans="1:33" x14ac:dyDescent="0.3">
      <c r="A64" s="118">
        <v>87491</v>
      </c>
      <c r="B64" s="118" t="s">
        <v>339</v>
      </c>
      <c r="C64" s="118" t="s">
        <v>1307</v>
      </c>
      <c r="D64" s="118" t="s">
        <v>11</v>
      </c>
      <c r="E64" s="118" t="s">
        <v>1208</v>
      </c>
      <c r="F64" s="118" t="s">
        <v>1308</v>
      </c>
      <c r="G64" s="118"/>
      <c r="H64" s="119">
        <v>42593.620810185188</v>
      </c>
      <c r="I64" s="118" t="s">
        <v>1135</v>
      </c>
      <c r="J64" s="118" t="s">
        <v>569</v>
      </c>
      <c r="K64" s="119">
        <v>42593.497812499998</v>
      </c>
      <c r="L64" s="118" t="s">
        <v>168</v>
      </c>
      <c r="M64" s="118"/>
      <c r="N64" s="118"/>
      <c r="O64" s="118" t="s">
        <v>12</v>
      </c>
      <c r="P64" s="118" t="s">
        <v>30</v>
      </c>
      <c r="Q64" s="118" t="s">
        <v>24</v>
      </c>
      <c r="R64" s="118" t="s">
        <v>47</v>
      </c>
      <c r="S64" s="118"/>
      <c r="T64" s="118" t="s">
        <v>7</v>
      </c>
      <c r="U64" s="118" t="s">
        <v>10</v>
      </c>
      <c r="V64" s="118" t="s">
        <v>7</v>
      </c>
      <c r="W64" s="118" t="s">
        <v>82</v>
      </c>
      <c r="X64" s="118" t="s">
        <v>1137</v>
      </c>
      <c r="Y64" s="118" t="s">
        <v>7</v>
      </c>
      <c r="Z64" s="118" t="s">
        <v>7</v>
      </c>
      <c r="AA64" s="118" t="s">
        <v>7</v>
      </c>
      <c r="AB64" s="118" t="s">
        <v>7</v>
      </c>
      <c r="AC64" s="118" t="s">
        <v>7</v>
      </c>
      <c r="AD64" s="118" t="s">
        <v>7</v>
      </c>
      <c r="AE64" s="118" t="s">
        <v>7</v>
      </c>
      <c r="AF64" s="118"/>
      <c r="AG64" s="118"/>
    </row>
    <row r="65" spans="1:33" x14ac:dyDescent="0.3">
      <c r="A65" s="118">
        <v>87573</v>
      </c>
      <c r="B65" s="118" t="s">
        <v>597</v>
      </c>
      <c r="C65" s="118" t="s">
        <v>1309</v>
      </c>
      <c r="D65" s="118" t="s">
        <v>2</v>
      </c>
      <c r="E65" s="118" t="s">
        <v>999</v>
      </c>
      <c r="F65" s="118" t="s">
        <v>1310</v>
      </c>
      <c r="G65" s="118"/>
      <c r="H65" s="119">
        <v>42605.481319444443</v>
      </c>
      <c r="I65" s="118" t="s">
        <v>1135</v>
      </c>
      <c r="J65" s="118" t="s">
        <v>999</v>
      </c>
      <c r="K65" s="119">
        <v>42594.549571759257</v>
      </c>
      <c r="L65" s="118" t="s">
        <v>628</v>
      </c>
      <c r="M65" s="118"/>
      <c r="N65" s="118" t="s">
        <v>616</v>
      </c>
      <c r="O65" s="118" t="s">
        <v>12</v>
      </c>
      <c r="P65" s="118" t="s">
        <v>30</v>
      </c>
      <c r="Q65" s="118" t="s">
        <v>13</v>
      </c>
      <c r="R65" s="118" t="s">
        <v>236</v>
      </c>
      <c r="S65" s="118"/>
      <c r="T65" s="118" t="s">
        <v>7</v>
      </c>
      <c r="U65" s="118" t="s">
        <v>10</v>
      </c>
      <c r="V65" s="118" t="s">
        <v>7</v>
      </c>
      <c r="W65" s="118" t="s">
        <v>82</v>
      </c>
      <c r="X65" s="118" t="s">
        <v>1134</v>
      </c>
      <c r="Y65" s="118" t="s">
        <v>7</v>
      </c>
      <c r="Z65" s="118" t="s">
        <v>7</v>
      </c>
      <c r="AA65" s="118" t="s">
        <v>7</v>
      </c>
      <c r="AB65" s="118" t="s">
        <v>7</v>
      </c>
      <c r="AC65" s="118" t="s">
        <v>7</v>
      </c>
      <c r="AD65" s="118" t="s">
        <v>7</v>
      </c>
      <c r="AE65" s="118" t="s">
        <v>7</v>
      </c>
      <c r="AF65" s="118"/>
      <c r="AG65" s="118"/>
    </row>
    <row r="66" spans="1:33" x14ac:dyDescent="0.3">
      <c r="A66" s="118">
        <v>87658</v>
      </c>
      <c r="B66" s="118" t="s">
        <v>995</v>
      </c>
      <c r="C66" s="118" t="s">
        <v>1323</v>
      </c>
      <c r="D66" s="118" t="s">
        <v>11</v>
      </c>
      <c r="E66" s="118" t="s">
        <v>173</v>
      </c>
      <c r="F66" s="118" t="s">
        <v>1206</v>
      </c>
      <c r="G66" s="118" t="s">
        <v>1074</v>
      </c>
      <c r="H66" s="119">
        <v>42606.018217592595</v>
      </c>
      <c r="I66" s="118" t="s">
        <v>1135</v>
      </c>
      <c r="J66" s="118" t="s">
        <v>569</v>
      </c>
      <c r="K66" s="119">
        <v>42598.29859953704</v>
      </c>
      <c r="L66" s="118" t="s">
        <v>84</v>
      </c>
      <c r="M66" s="118"/>
      <c r="N66" s="118"/>
      <c r="O66" s="118" t="s">
        <v>12</v>
      </c>
      <c r="P66" s="118" t="s">
        <v>30</v>
      </c>
      <c r="Q66" s="118" t="s">
        <v>8</v>
      </c>
      <c r="R66" s="118" t="s">
        <v>27</v>
      </c>
      <c r="S66" s="118"/>
      <c r="T66" s="118" t="s">
        <v>7</v>
      </c>
      <c r="U66" s="118" t="s">
        <v>10</v>
      </c>
      <c r="V66" s="118" t="s">
        <v>7</v>
      </c>
      <c r="W66" s="118" t="s">
        <v>82</v>
      </c>
      <c r="X66" s="118" t="s">
        <v>1134</v>
      </c>
      <c r="Y66" s="118" t="s">
        <v>7</v>
      </c>
      <c r="Z66" s="118" t="s">
        <v>363</v>
      </c>
      <c r="AA66" s="118" t="s">
        <v>7</v>
      </c>
      <c r="AB66" s="118" t="s">
        <v>7</v>
      </c>
      <c r="AC66" s="118" t="s">
        <v>7</v>
      </c>
      <c r="AD66" s="118" t="s">
        <v>7</v>
      </c>
      <c r="AE66" s="118" t="s">
        <v>7</v>
      </c>
      <c r="AF66" s="118"/>
      <c r="AG66" s="118"/>
    </row>
    <row r="67" spans="1:33" x14ac:dyDescent="0.3">
      <c r="A67" s="118">
        <v>87661</v>
      </c>
      <c r="B67" s="118" t="s">
        <v>995</v>
      </c>
      <c r="C67" s="118" t="s">
        <v>1248</v>
      </c>
      <c r="D67" s="118" t="s">
        <v>652</v>
      </c>
      <c r="E67" s="118" t="s">
        <v>569</v>
      </c>
      <c r="F67" s="118" t="s">
        <v>81</v>
      </c>
      <c r="G67" s="118" t="s">
        <v>1074</v>
      </c>
      <c r="H67" s="119">
        <v>42604.984305555554</v>
      </c>
      <c r="I67" s="118" t="s">
        <v>1135</v>
      </c>
      <c r="J67" s="118" t="s">
        <v>569</v>
      </c>
      <c r="K67" s="119">
        <v>42598.315254629626</v>
      </c>
      <c r="L67" s="118" t="s">
        <v>84</v>
      </c>
      <c r="M67" s="118"/>
      <c r="N67" s="118" t="s">
        <v>717</v>
      </c>
      <c r="O67" s="118" t="s">
        <v>12</v>
      </c>
      <c r="P67" s="118" t="s">
        <v>30</v>
      </c>
      <c r="Q67" s="118" t="s">
        <v>8</v>
      </c>
      <c r="R67" s="118" t="s">
        <v>27</v>
      </c>
      <c r="S67" s="118"/>
      <c r="T67" s="118" t="s">
        <v>7</v>
      </c>
      <c r="U67" s="118" t="s">
        <v>10</v>
      </c>
      <c r="V67" s="118" t="s">
        <v>7</v>
      </c>
      <c r="W67" s="118" t="s">
        <v>82</v>
      </c>
      <c r="X67" s="118" t="s">
        <v>1134</v>
      </c>
      <c r="Y67" s="118" t="s">
        <v>7</v>
      </c>
      <c r="Z67" s="118" t="s">
        <v>363</v>
      </c>
      <c r="AA67" s="118" t="s">
        <v>7</v>
      </c>
      <c r="AB67" s="118" t="s">
        <v>1235</v>
      </c>
      <c r="AC67" s="118" t="s">
        <v>217</v>
      </c>
      <c r="AD67" s="118" t="s">
        <v>7</v>
      </c>
      <c r="AE67" s="118" t="s">
        <v>7</v>
      </c>
      <c r="AF67" s="118"/>
      <c r="AG67" s="118"/>
    </row>
    <row r="68" spans="1:33" x14ac:dyDescent="0.3">
      <c r="A68" s="118">
        <v>87662</v>
      </c>
      <c r="B68" s="118" t="s">
        <v>995</v>
      </c>
      <c r="C68" s="118" t="s">
        <v>1257</v>
      </c>
      <c r="D68" s="118" t="s">
        <v>652</v>
      </c>
      <c r="E68" s="118" t="s">
        <v>999</v>
      </c>
      <c r="F68" s="118" t="s">
        <v>81</v>
      </c>
      <c r="G68" s="118" t="s">
        <v>1074</v>
      </c>
      <c r="H68" s="119">
        <v>42606.016053240739</v>
      </c>
      <c r="I68" s="118" t="s">
        <v>1135</v>
      </c>
      <c r="J68" s="118" t="s">
        <v>569</v>
      </c>
      <c r="K68" s="119">
        <v>42598.315300925926</v>
      </c>
      <c r="L68" s="118" t="s">
        <v>84</v>
      </c>
      <c r="M68" s="118"/>
      <c r="N68" s="118" t="s">
        <v>1252</v>
      </c>
      <c r="O68" s="118" t="s">
        <v>12</v>
      </c>
      <c r="P68" s="118" t="s">
        <v>30</v>
      </c>
      <c r="Q68" s="118" t="s">
        <v>8</v>
      </c>
      <c r="R68" s="118" t="s">
        <v>27</v>
      </c>
      <c r="S68" s="118"/>
      <c r="T68" s="118" t="s">
        <v>7</v>
      </c>
      <c r="U68" s="118" t="s">
        <v>10</v>
      </c>
      <c r="V68" s="118" t="s">
        <v>7</v>
      </c>
      <c r="W68" s="118" t="s">
        <v>82</v>
      </c>
      <c r="X68" s="118" t="s">
        <v>1134</v>
      </c>
      <c r="Y68" s="118" t="s">
        <v>7</v>
      </c>
      <c r="Z68" s="118" t="s">
        <v>363</v>
      </c>
      <c r="AA68" s="118" t="s">
        <v>7</v>
      </c>
      <c r="AB68" s="118" t="s">
        <v>1363</v>
      </c>
      <c r="AC68" s="118" t="s">
        <v>7</v>
      </c>
      <c r="AD68" s="118" t="s">
        <v>7</v>
      </c>
      <c r="AE68" s="118" t="s">
        <v>7</v>
      </c>
      <c r="AF68" s="118"/>
      <c r="AG68" s="118"/>
    </row>
    <row r="69" spans="1:33" x14ac:dyDescent="0.3">
      <c r="A69" s="118">
        <v>87672</v>
      </c>
      <c r="B69" s="118" t="s">
        <v>1083</v>
      </c>
      <c r="C69" s="118" t="s">
        <v>1311</v>
      </c>
      <c r="D69" s="118" t="s">
        <v>11</v>
      </c>
      <c r="E69" s="118" t="s">
        <v>569</v>
      </c>
      <c r="F69" s="118" t="s">
        <v>316</v>
      </c>
      <c r="G69" s="118" t="s">
        <v>1312</v>
      </c>
      <c r="H69" s="119">
        <v>42600.349363425928</v>
      </c>
      <c r="I69" s="118" t="s">
        <v>1135</v>
      </c>
      <c r="J69" s="118" t="s">
        <v>999</v>
      </c>
      <c r="K69" s="119">
        <v>42598.50277777778</v>
      </c>
      <c r="L69" s="118" t="s">
        <v>40</v>
      </c>
      <c r="M69" s="118"/>
      <c r="N69" s="118" t="s">
        <v>717</v>
      </c>
      <c r="O69" s="118" t="s">
        <v>12</v>
      </c>
      <c r="P69" s="118" t="s">
        <v>30</v>
      </c>
      <c r="Q69" s="118" t="s">
        <v>8</v>
      </c>
      <c r="R69" s="118" t="s">
        <v>122</v>
      </c>
      <c r="S69" s="118"/>
      <c r="T69" s="118" t="s">
        <v>7</v>
      </c>
      <c r="U69" s="118" t="s">
        <v>10</v>
      </c>
      <c r="V69" s="118" t="s">
        <v>7</v>
      </c>
      <c r="W69" s="118" t="s">
        <v>82</v>
      </c>
      <c r="X69" s="118" t="s">
        <v>1306</v>
      </c>
      <c r="Y69" s="118" t="s">
        <v>7</v>
      </c>
      <c r="Z69" s="118" t="s">
        <v>7</v>
      </c>
      <c r="AA69" s="118" t="s">
        <v>7</v>
      </c>
      <c r="AB69" s="118" t="s">
        <v>7</v>
      </c>
      <c r="AC69" s="118" t="s">
        <v>7</v>
      </c>
      <c r="AD69" s="118" t="s">
        <v>7</v>
      </c>
      <c r="AE69" s="118" t="s">
        <v>7</v>
      </c>
      <c r="AF69" s="118"/>
      <c r="AG69" s="118"/>
    </row>
    <row r="70" spans="1:33" x14ac:dyDescent="0.3">
      <c r="A70" s="118">
        <v>87719</v>
      </c>
      <c r="B70" s="118" t="s">
        <v>1079</v>
      </c>
      <c r="C70" s="118" t="s">
        <v>1258</v>
      </c>
      <c r="D70" s="118" t="s">
        <v>2</v>
      </c>
      <c r="E70" s="118" t="s">
        <v>999</v>
      </c>
      <c r="F70" s="118" t="s">
        <v>81</v>
      </c>
      <c r="G70" s="118"/>
      <c r="H70" s="119">
        <v>42606.482523148145</v>
      </c>
      <c r="I70" s="118" t="s">
        <v>1135</v>
      </c>
      <c r="J70" s="118" t="s">
        <v>999</v>
      </c>
      <c r="K70" s="119">
        <v>42599.304236111115</v>
      </c>
      <c r="L70" s="118" t="s">
        <v>43</v>
      </c>
      <c r="M70" s="118"/>
      <c r="N70" s="118" t="s">
        <v>717</v>
      </c>
      <c r="O70" s="118" t="s">
        <v>12</v>
      </c>
      <c r="P70" s="118" t="s">
        <v>30</v>
      </c>
      <c r="Q70" s="118" t="s">
        <v>13</v>
      </c>
      <c r="R70" s="118" t="s">
        <v>587</v>
      </c>
      <c r="S70" s="118"/>
      <c r="T70" s="118" t="s">
        <v>7</v>
      </c>
      <c r="U70" s="118" t="s">
        <v>10</v>
      </c>
      <c r="V70" s="118" t="s">
        <v>7</v>
      </c>
      <c r="W70" s="118" t="s">
        <v>82</v>
      </c>
      <c r="X70" s="118" t="s">
        <v>1134</v>
      </c>
      <c r="Y70" s="118" t="s">
        <v>7</v>
      </c>
      <c r="Z70" s="118" t="s">
        <v>7</v>
      </c>
      <c r="AA70" s="118" t="s">
        <v>7</v>
      </c>
      <c r="AB70" s="118" t="s">
        <v>7</v>
      </c>
      <c r="AC70" s="118" t="s">
        <v>7</v>
      </c>
      <c r="AD70" s="118" t="s">
        <v>7</v>
      </c>
      <c r="AE70" s="118" t="s">
        <v>7</v>
      </c>
      <c r="AF70" s="118"/>
      <c r="AG70" s="118"/>
    </row>
    <row r="71" spans="1:33" x14ac:dyDescent="0.3">
      <c r="A71" s="118">
        <v>87821</v>
      </c>
      <c r="B71" s="118" t="s">
        <v>332</v>
      </c>
      <c r="C71" s="118" t="s">
        <v>1364</v>
      </c>
      <c r="D71" s="118" t="s">
        <v>2</v>
      </c>
      <c r="E71" s="118" t="s">
        <v>1365</v>
      </c>
      <c r="F71" s="118" t="s">
        <v>1366</v>
      </c>
      <c r="G71" s="118" t="s">
        <v>1367</v>
      </c>
      <c r="H71" s="119">
        <v>42604.475347222222</v>
      </c>
      <c r="I71" s="118" t="s">
        <v>1135</v>
      </c>
      <c r="J71" s="118" t="s">
        <v>1300</v>
      </c>
      <c r="K71" s="119">
        <v>42600.365185185183</v>
      </c>
      <c r="L71" s="118" t="s">
        <v>40</v>
      </c>
      <c r="M71" s="118"/>
      <c r="N71" s="118"/>
      <c r="O71" s="118" t="s">
        <v>17</v>
      </c>
      <c r="P71" s="118" t="s">
        <v>30</v>
      </c>
      <c r="Q71" s="118" t="s">
        <v>24</v>
      </c>
      <c r="R71" s="118" t="s">
        <v>47</v>
      </c>
      <c r="S71" s="118"/>
      <c r="T71" s="118" t="s">
        <v>7</v>
      </c>
      <c r="U71" s="118" t="s">
        <v>10</v>
      </c>
      <c r="V71" s="118" t="s">
        <v>7</v>
      </c>
      <c r="W71" s="118" t="s">
        <v>82</v>
      </c>
      <c r="X71" s="118" t="s">
        <v>1137</v>
      </c>
      <c r="Y71" s="118" t="s">
        <v>7</v>
      </c>
      <c r="Z71" s="118" t="s">
        <v>7</v>
      </c>
      <c r="AA71" s="118" t="s">
        <v>7</v>
      </c>
      <c r="AB71" s="118" t="s">
        <v>7</v>
      </c>
      <c r="AC71" s="118" t="s">
        <v>7</v>
      </c>
      <c r="AD71" s="118" t="s">
        <v>7</v>
      </c>
      <c r="AE71" s="118" t="s">
        <v>7</v>
      </c>
      <c r="AF71" s="118"/>
      <c r="AG71" s="118"/>
    </row>
    <row r="72" spans="1:33" x14ac:dyDescent="0.3">
      <c r="A72" s="118">
        <v>87981</v>
      </c>
      <c r="B72" s="118" t="s">
        <v>597</v>
      </c>
      <c r="C72" s="118" t="s">
        <v>1368</v>
      </c>
      <c r="D72" s="118" t="s">
        <v>11</v>
      </c>
      <c r="E72" s="118" t="s">
        <v>173</v>
      </c>
      <c r="F72" s="118" t="s">
        <v>1369</v>
      </c>
      <c r="G72" s="118"/>
      <c r="H72" s="119">
        <v>42605.48027777778</v>
      </c>
      <c r="I72" s="118" t="s">
        <v>1135</v>
      </c>
      <c r="J72" s="118" t="s">
        <v>999</v>
      </c>
      <c r="K72" s="119">
        <v>42605.245520833334</v>
      </c>
      <c r="L72" s="118" t="s">
        <v>1370</v>
      </c>
      <c r="M72" s="118"/>
      <c r="N72" s="118"/>
      <c r="O72" s="118" t="s">
        <v>17</v>
      </c>
      <c r="P72" s="118" t="s">
        <v>30</v>
      </c>
      <c r="Q72" s="118" t="s">
        <v>13</v>
      </c>
      <c r="R72" s="118" t="s">
        <v>236</v>
      </c>
      <c r="S72" s="118"/>
      <c r="T72" s="118" t="s">
        <v>7</v>
      </c>
      <c r="U72" s="118" t="s">
        <v>10</v>
      </c>
      <c r="V72" s="118" t="s">
        <v>7</v>
      </c>
      <c r="W72" s="118" t="s">
        <v>82</v>
      </c>
      <c r="X72" s="118" t="s">
        <v>1137</v>
      </c>
      <c r="Y72" s="118" t="s">
        <v>7</v>
      </c>
      <c r="Z72" s="118" t="s">
        <v>7</v>
      </c>
      <c r="AA72" s="118" t="s">
        <v>7</v>
      </c>
      <c r="AB72" s="118" t="s">
        <v>7</v>
      </c>
      <c r="AC72" s="118" t="s">
        <v>7</v>
      </c>
      <c r="AD72" s="118" t="s">
        <v>7</v>
      </c>
      <c r="AE72" s="118" t="s">
        <v>7</v>
      </c>
      <c r="AF72" s="118"/>
      <c r="AG72" s="118"/>
    </row>
    <row r="73" spans="1:33" x14ac:dyDescent="0.3">
      <c r="A73" s="118">
        <v>87986</v>
      </c>
      <c r="B73" s="118" t="s">
        <v>339</v>
      </c>
      <c r="C73" s="118" t="s">
        <v>1371</v>
      </c>
      <c r="D73" s="118" t="s">
        <v>2</v>
      </c>
      <c r="E73" s="118" t="s">
        <v>1208</v>
      </c>
      <c r="F73" s="118" t="s">
        <v>1226</v>
      </c>
      <c r="G73" s="118"/>
      <c r="H73" s="119">
        <v>42605.335416666669</v>
      </c>
      <c r="I73" s="118" t="s">
        <v>1135</v>
      </c>
      <c r="J73" s="118" t="s">
        <v>569</v>
      </c>
      <c r="K73" s="119">
        <v>42605.279108796298</v>
      </c>
      <c r="L73" s="118" t="s">
        <v>600</v>
      </c>
      <c r="M73" s="118"/>
      <c r="N73" s="118"/>
      <c r="O73" s="118" t="s">
        <v>17</v>
      </c>
      <c r="P73" s="118" t="s">
        <v>30</v>
      </c>
      <c r="Q73" s="118" t="s">
        <v>13</v>
      </c>
      <c r="R73" s="118" t="s">
        <v>292</v>
      </c>
      <c r="S73" s="118"/>
      <c r="T73" s="118" t="s">
        <v>7</v>
      </c>
      <c r="U73" s="118" t="s">
        <v>10</v>
      </c>
      <c r="V73" s="118" t="s">
        <v>7</v>
      </c>
      <c r="W73" s="118" t="s">
        <v>82</v>
      </c>
      <c r="X73" s="118" t="s">
        <v>1137</v>
      </c>
      <c r="Y73" s="118" t="s">
        <v>7</v>
      </c>
      <c r="Z73" s="118" t="s">
        <v>7</v>
      </c>
      <c r="AA73" s="118" t="s">
        <v>7</v>
      </c>
      <c r="AB73" s="118" t="s">
        <v>7</v>
      </c>
      <c r="AC73" s="118" t="s">
        <v>7</v>
      </c>
      <c r="AD73" s="118" t="s">
        <v>7</v>
      </c>
      <c r="AE73" s="118" t="s">
        <v>7</v>
      </c>
      <c r="AF73" s="118"/>
      <c r="AG73" s="118"/>
    </row>
    <row r="74" spans="1:33" x14ac:dyDescent="0.3">
      <c r="A74" s="118">
        <v>88007</v>
      </c>
      <c r="B74" s="118" t="s">
        <v>597</v>
      </c>
      <c r="C74" s="118" t="s">
        <v>1372</v>
      </c>
      <c r="D74" s="118" t="s">
        <v>11</v>
      </c>
      <c r="E74" s="118" t="s">
        <v>999</v>
      </c>
      <c r="F74" s="118" t="s">
        <v>81</v>
      </c>
      <c r="G74" s="118"/>
      <c r="H74" s="119">
        <v>42605.481319444443</v>
      </c>
      <c r="I74" s="118" t="s">
        <v>1135</v>
      </c>
      <c r="J74" s="118" t="s">
        <v>999</v>
      </c>
      <c r="K74" s="119">
        <v>42605.466145833336</v>
      </c>
      <c r="L74" s="118" t="s">
        <v>1370</v>
      </c>
      <c r="M74" s="118"/>
      <c r="N74" s="118"/>
      <c r="O74" s="118" t="s">
        <v>17</v>
      </c>
      <c r="P74" s="118" t="s">
        <v>30</v>
      </c>
      <c r="Q74" s="118" t="s">
        <v>13</v>
      </c>
      <c r="R74" s="118" t="s">
        <v>236</v>
      </c>
      <c r="S74" s="118"/>
      <c r="T74" s="118" t="s">
        <v>7</v>
      </c>
      <c r="U74" s="118" t="s">
        <v>10</v>
      </c>
      <c r="V74" s="118" t="s">
        <v>7</v>
      </c>
      <c r="W74" s="118" t="s">
        <v>82</v>
      </c>
      <c r="X74" s="118" t="s">
        <v>1137</v>
      </c>
      <c r="Y74" s="118" t="s">
        <v>7</v>
      </c>
      <c r="Z74" s="118" t="s">
        <v>7</v>
      </c>
      <c r="AA74" s="118" t="s">
        <v>7</v>
      </c>
      <c r="AB74" s="118" t="s">
        <v>7</v>
      </c>
      <c r="AC74" s="118" t="s">
        <v>7</v>
      </c>
      <c r="AD74" s="118" t="s">
        <v>7</v>
      </c>
      <c r="AE74" s="118" t="s">
        <v>7</v>
      </c>
      <c r="AF74" s="118"/>
      <c r="AG74" s="118"/>
    </row>
    <row r="75" spans="1:33" x14ac:dyDescent="0.3">
      <c r="A75" s="118"/>
      <c r="B75" s="118"/>
      <c r="C75" s="118"/>
      <c r="D75" s="118"/>
      <c r="E75" s="118"/>
      <c r="F75" s="118"/>
      <c r="G75" s="118"/>
      <c r="H75" s="119"/>
      <c r="I75" s="118"/>
      <c r="J75" s="118"/>
      <c r="K75" s="119"/>
      <c r="L75" s="118"/>
      <c r="M75" s="118"/>
      <c r="N75" s="118"/>
      <c r="O75" s="118"/>
      <c r="P75" s="118"/>
      <c r="Q75" s="118"/>
      <c r="R75" s="118"/>
      <c r="S75" s="118"/>
      <c r="T75" s="118"/>
      <c r="U75" s="118"/>
      <c r="V75" s="118"/>
      <c r="W75" s="118"/>
      <c r="X75" s="118"/>
      <c r="Y75" s="118"/>
      <c r="Z75" s="118"/>
      <c r="AA75" s="118"/>
      <c r="AB75" s="118"/>
      <c r="AC75" s="118"/>
      <c r="AD75" s="118"/>
      <c r="AE75" s="118"/>
      <c r="AF75" s="118"/>
      <c r="AG75" s="118"/>
    </row>
    <row r="76" spans="1:33" x14ac:dyDescent="0.3">
      <c r="A76" s="118"/>
      <c r="B76" s="118"/>
      <c r="C76" s="118"/>
      <c r="D76" s="118"/>
      <c r="E76" s="118"/>
      <c r="F76" s="118"/>
      <c r="G76" s="118"/>
      <c r="H76" s="119"/>
      <c r="I76" s="118"/>
      <c r="J76" s="118"/>
      <c r="K76" s="119"/>
      <c r="L76" s="118"/>
      <c r="M76" s="118"/>
      <c r="N76" s="118"/>
      <c r="O76" s="118"/>
      <c r="P76" s="118"/>
      <c r="Q76" s="118"/>
      <c r="R76" s="118"/>
      <c r="S76" s="118"/>
      <c r="T76" s="118"/>
      <c r="U76" s="118"/>
      <c r="V76" s="118"/>
      <c r="W76" s="118"/>
      <c r="X76" s="118"/>
      <c r="Y76" s="118"/>
      <c r="Z76" s="118"/>
      <c r="AA76" s="118"/>
      <c r="AB76" s="118"/>
      <c r="AC76" s="118"/>
      <c r="AD76" s="118"/>
      <c r="AE76" s="118"/>
      <c r="AF76" s="118"/>
      <c r="AG76" s="118"/>
    </row>
    <row r="77" spans="1:33" x14ac:dyDescent="0.3">
      <c r="A77" s="118"/>
      <c r="B77" s="118"/>
      <c r="C77" s="118"/>
      <c r="D77" s="118"/>
      <c r="E77" s="118"/>
      <c r="F77" s="118"/>
      <c r="G77" s="118"/>
      <c r="H77" s="119"/>
      <c r="I77" s="118"/>
      <c r="J77" s="118"/>
      <c r="K77" s="119"/>
      <c r="L77" s="118"/>
      <c r="M77" s="118"/>
      <c r="N77" s="118"/>
      <c r="O77" s="118"/>
      <c r="P77" s="118"/>
      <c r="Q77" s="118"/>
      <c r="R77" s="118"/>
      <c r="S77" s="118"/>
      <c r="T77" s="118"/>
      <c r="U77" s="118"/>
      <c r="V77" s="118"/>
      <c r="W77" s="118"/>
      <c r="X77" s="118"/>
      <c r="Y77" s="118"/>
      <c r="Z77" s="118"/>
      <c r="AA77" s="118"/>
      <c r="AB77" s="118"/>
      <c r="AC77" s="118"/>
      <c r="AD77" s="118"/>
      <c r="AE77" s="118"/>
      <c r="AF77" s="118"/>
      <c r="AG77" s="118"/>
    </row>
    <row r="78" spans="1:33" x14ac:dyDescent="0.3">
      <c r="A78" s="118"/>
      <c r="B78" s="118"/>
      <c r="C78" s="118"/>
      <c r="D78" s="118"/>
      <c r="E78" s="118"/>
      <c r="F78" s="118"/>
      <c r="G78" s="118"/>
      <c r="H78" s="119"/>
      <c r="I78" s="118"/>
      <c r="J78" s="118"/>
      <c r="K78" s="119"/>
      <c r="L78" s="118"/>
      <c r="M78" s="118"/>
      <c r="N78" s="118"/>
      <c r="O78" s="118"/>
      <c r="P78" s="118"/>
      <c r="Q78" s="118"/>
      <c r="R78" s="118"/>
      <c r="S78" s="118"/>
      <c r="T78" s="118"/>
      <c r="U78" s="118"/>
      <c r="V78" s="118"/>
      <c r="W78" s="118"/>
      <c r="X78" s="118"/>
      <c r="Y78" s="118"/>
      <c r="Z78" s="118"/>
      <c r="AA78" s="118"/>
      <c r="AB78" s="118"/>
      <c r="AC78" s="118"/>
      <c r="AD78" s="118"/>
      <c r="AE78" s="118"/>
      <c r="AF78" s="118"/>
      <c r="AG78" s="118"/>
    </row>
    <row r="79" spans="1:33" x14ac:dyDescent="0.3">
      <c r="A79" s="118"/>
      <c r="B79" s="118"/>
      <c r="C79" s="118"/>
      <c r="D79" s="118"/>
      <c r="E79" s="118"/>
      <c r="F79" s="118"/>
      <c r="G79" s="118"/>
      <c r="H79" s="119"/>
      <c r="I79" s="118"/>
      <c r="J79" s="118"/>
      <c r="K79" s="119"/>
      <c r="L79" s="118"/>
      <c r="M79" s="118"/>
      <c r="N79" s="118"/>
      <c r="O79" s="118"/>
      <c r="P79" s="118"/>
      <c r="Q79" s="118"/>
      <c r="R79" s="118"/>
      <c r="S79" s="118"/>
      <c r="T79" s="118"/>
      <c r="U79" s="118"/>
      <c r="V79" s="118"/>
      <c r="W79" s="118"/>
      <c r="X79" s="118"/>
      <c r="Y79" s="118"/>
      <c r="Z79" s="118"/>
      <c r="AA79" s="118"/>
      <c r="AB79" s="118"/>
      <c r="AC79" s="118"/>
      <c r="AD79" s="118"/>
      <c r="AE79" s="118"/>
      <c r="AF79" s="118"/>
      <c r="AG79" s="118"/>
    </row>
    <row r="80" spans="1:33" x14ac:dyDescent="0.3">
      <c r="A80" s="118"/>
      <c r="B80" s="118"/>
      <c r="C80" s="118"/>
      <c r="D80" s="118"/>
      <c r="E80" s="118"/>
      <c r="F80" s="118"/>
      <c r="G80" s="118"/>
      <c r="H80" s="119"/>
      <c r="I80" s="118"/>
      <c r="J80" s="118"/>
      <c r="K80" s="119"/>
      <c r="L80" s="118"/>
      <c r="M80" s="118"/>
      <c r="N80" s="118"/>
      <c r="O80" s="118"/>
      <c r="P80" s="118"/>
      <c r="Q80" s="118"/>
      <c r="R80" s="118"/>
      <c r="S80" s="118"/>
      <c r="T80" s="118"/>
      <c r="U80" s="118"/>
      <c r="V80" s="118"/>
      <c r="W80" s="118"/>
      <c r="X80" s="118"/>
      <c r="Y80" s="118"/>
      <c r="Z80" s="118"/>
      <c r="AA80" s="118"/>
      <c r="AB80" s="118"/>
      <c r="AC80" s="118"/>
      <c r="AD80" s="118"/>
      <c r="AE80" s="118"/>
      <c r="AF80" s="118"/>
      <c r="AG80" s="118"/>
    </row>
    <row r="81" spans="1:33" x14ac:dyDescent="0.3">
      <c r="A81" s="118"/>
      <c r="B81" s="118"/>
      <c r="C81" s="118"/>
      <c r="D81" s="118"/>
      <c r="E81" s="118"/>
      <c r="F81" s="118"/>
      <c r="G81" s="118"/>
      <c r="H81" s="119"/>
      <c r="I81" s="118"/>
      <c r="J81" s="118"/>
      <c r="K81" s="119"/>
      <c r="L81" s="118"/>
      <c r="M81" s="118"/>
      <c r="N81" s="118"/>
      <c r="O81" s="118"/>
      <c r="P81" s="118"/>
      <c r="Q81" s="118"/>
      <c r="R81" s="118"/>
      <c r="S81" s="118"/>
      <c r="T81" s="118"/>
      <c r="U81" s="118"/>
      <c r="V81" s="118"/>
      <c r="W81" s="118"/>
      <c r="X81" s="118"/>
      <c r="Y81" s="118"/>
      <c r="Z81" s="118"/>
      <c r="AA81" s="118"/>
      <c r="AB81" s="118"/>
      <c r="AC81" s="118"/>
      <c r="AD81" s="118"/>
      <c r="AE81" s="118"/>
      <c r="AF81" s="118"/>
      <c r="AG81" s="118"/>
    </row>
    <row r="82" spans="1:33" x14ac:dyDescent="0.3">
      <c r="A82" s="118"/>
      <c r="B82" s="118"/>
      <c r="C82" s="118"/>
      <c r="D82" s="118"/>
      <c r="E82" s="118"/>
      <c r="F82" s="118"/>
      <c r="G82" s="118"/>
      <c r="H82" s="119"/>
      <c r="I82" s="118"/>
      <c r="J82" s="118"/>
      <c r="K82" s="119"/>
      <c r="L82" s="118"/>
      <c r="M82" s="118"/>
      <c r="N82" s="118"/>
      <c r="O82" s="118"/>
      <c r="P82" s="118"/>
      <c r="Q82" s="118"/>
      <c r="R82" s="118"/>
      <c r="S82" s="118"/>
      <c r="T82" s="118"/>
      <c r="U82" s="118"/>
      <c r="V82" s="118"/>
      <c r="W82" s="118"/>
      <c r="X82" s="118"/>
      <c r="Y82" s="118"/>
      <c r="Z82" s="118"/>
      <c r="AA82" s="118"/>
      <c r="AB82" s="118"/>
      <c r="AC82" s="118"/>
      <c r="AD82" s="118"/>
      <c r="AE82" s="118"/>
      <c r="AF82" s="118"/>
      <c r="AG82" s="118"/>
    </row>
    <row r="83" spans="1:33" x14ac:dyDescent="0.3">
      <c r="A83" s="118"/>
      <c r="B83" s="118"/>
      <c r="C83" s="118"/>
      <c r="D83" s="118"/>
      <c r="E83" s="118"/>
      <c r="F83" s="118"/>
      <c r="G83" s="118"/>
      <c r="H83" s="119"/>
      <c r="I83" s="118"/>
      <c r="J83" s="118"/>
      <c r="K83" s="119"/>
      <c r="L83" s="118"/>
      <c r="M83" s="118"/>
      <c r="N83" s="118"/>
      <c r="O83" s="118"/>
      <c r="P83" s="118"/>
      <c r="Q83" s="118"/>
      <c r="R83" s="118"/>
      <c r="S83" s="118"/>
      <c r="T83" s="118"/>
      <c r="U83" s="118"/>
      <c r="V83" s="118"/>
      <c r="W83" s="118"/>
      <c r="X83" s="118"/>
      <c r="Y83" s="118"/>
      <c r="Z83" s="118"/>
      <c r="AA83" s="118"/>
      <c r="AB83" s="118"/>
      <c r="AC83" s="118"/>
      <c r="AD83" s="118"/>
      <c r="AE83" s="118"/>
      <c r="AF83" s="118"/>
      <c r="AG83" s="118"/>
    </row>
    <row r="84" spans="1:33" x14ac:dyDescent="0.3">
      <c r="A84" s="118"/>
      <c r="B84" s="118"/>
      <c r="C84" s="118"/>
      <c r="D84" s="118"/>
      <c r="E84" s="118"/>
      <c r="F84" s="118"/>
      <c r="G84" s="118"/>
      <c r="H84" s="119"/>
      <c r="I84" s="118"/>
      <c r="J84" s="118"/>
      <c r="K84" s="119"/>
      <c r="L84" s="118"/>
      <c r="M84" s="118"/>
      <c r="N84" s="118"/>
      <c r="O84" s="118"/>
      <c r="P84" s="118"/>
      <c r="Q84" s="118"/>
      <c r="R84" s="118"/>
      <c r="S84" s="118"/>
      <c r="T84" s="118"/>
      <c r="U84" s="118"/>
      <c r="V84" s="118"/>
      <c r="W84" s="118"/>
      <c r="X84" s="118"/>
      <c r="Y84" s="118"/>
      <c r="Z84" s="118"/>
      <c r="AA84" s="118"/>
      <c r="AB84" s="118"/>
      <c r="AC84" s="118"/>
      <c r="AD84" s="118"/>
      <c r="AE84" s="118"/>
      <c r="AF84" s="118"/>
      <c r="AG84" s="118"/>
    </row>
    <row r="85" spans="1:33" x14ac:dyDescent="0.3">
      <c r="A85" s="118"/>
      <c r="B85" s="118"/>
      <c r="C85" s="118"/>
      <c r="D85" s="118"/>
      <c r="E85" s="118"/>
      <c r="F85" s="118"/>
      <c r="G85" s="118"/>
      <c r="H85" s="119"/>
      <c r="I85" s="118"/>
      <c r="J85" s="118"/>
      <c r="K85" s="119"/>
      <c r="L85" s="118"/>
      <c r="M85" s="118"/>
      <c r="N85" s="118"/>
      <c r="O85" s="118"/>
      <c r="P85" s="118"/>
      <c r="Q85" s="118"/>
      <c r="R85" s="118"/>
      <c r="S85" s="118"/>
      <c r="T85" s="118"/>
      <c r="U85" s="118"/>
      <c r="V85" s="118"/>
      <c r="W85" s="118"/>
      <c r="X85" s="118"/>
      <c r="Y85" s="118"/>
      <c r="Z85" s="118"/>
      <c r="AA85" s="118"/>
      <c r="AB85" s="118"/>
      <c r="AC85" s="118"/>
      <c r="AD85" s="118"/>
      <c r="AE85" s="118"/>
      <c r="AF85" s="118"/>
      <c r="AG85" s="118"/>
    </row>
    <row r="86" spans="1:33" x14ac:dyDescent="0.3">
      <c r="A86" s="118"/>
      <c r="B86" s="118"/>
      <c r="C86" s="118"/>
      <c r="D86" s="118"/>
      <c r="E86" s="118"/>
      <c r="F86" s="118"/>
      <c r="G86" s="118"/>
      <c r="H86" s="119"/>
      <c r="I86" s="118"/>
      <c r="J86" s="118"/>
      <c r="K86" s="119"/>
      <c r="L86" s="118"/>
      <c r="M86" s="118"/>
      <c r="N86" s="118"/>
      <c r="O86" s="118"/>
      <c r="P86" s="118"/>
      <c r="Q86" s="118"/>
      <c r="R86" s="118"/>
      <c r="S86" s="118"/>
      <c r="T86" s="118"/>
      <c r="U86" s="118"/>
      <c r="V86" s="118"/>
      <c r="W86" s="118"/>
      <c r="X86" s="118"/>
      <c r="Y86" s="118"/>
      <c r="Z86" s="118"/>
      <c r="AA86" s="118"/>
      <c r="AB86" s="118"/>
      <c r="AC86" s="118"/>
      <c r="AD86" s="118"/>
      <c r="AE86" s="118"/>
      <c r="AF86" s="118"/>
      <c r="AG86" s="118"/>
    </row>
    <row r="87" spans="1:33" x14ac:dyDescent="0.3">
      <c r="A87" s="118"/>
      <c r="B87" s="118"/>
      <c r="C87" s="118"/>
      <c r="D87" s="118"/>
      <c r="E87" s="118"/>
      <c r="F87" s="118"/>
      <c r="G87" s="118"/>
      <c r="H87" s="119"/>
      <c r="I87" s="118"/>
      <c r="J87" s="118"/>
      <c r="K87" s="119"/>
      <c r="L87" s="118"/>
      <c r="M87" s="118"/>
      <c r="N87" s="118"/>
      <c r="O87" s="118"/>
      <c r="P87" s="118"/>
      <c r="Q87" s="118"/>
      <c r="R87" s="118"/>
      <c r="S87" s="118"/>
      <c r="T87" s="118"/>
      <c r="U87" s="118"/>
      <c r="V87" s="118"/>
      <c r="W87" s="118"/>
      <c r="X87" s="118"/>
      <c r="Y87" s="118"/>
      <c r="Z87" s="118"/>
      <c r="AA87" s="118"/>
      <c r="AB87" s="118"/>
      <c r="AC87" s="118"/>
      <c r="AD87" s="118"/>
      <c r="AE87" s="118"/>
      <c r="AF87" s="118"/>
      <c r="AG87" s="118"/>
    </row>
    <row r="88" spans="1:33" x14ac:dyDescent="0.3">
      <c r="A88" s="118"/>
      <c r="B88" s="118"/>
      <c r="C88" s="118"/>
      <c r="D88" s="118"/>
      <c r="E88" s="118"/>
      <c r="F88" s="118"/>
      <c r="G88" s="118"/>
      <c r="H88" s="119"/>
      <c r="I88" s="118"/>
      <c r="J88" s="118"/>
      <c r="K88" s="119"/>
      <c r="L88" s="118"/>
      <c r="M88" s="118"/>
      <c r="N88" s="118"/>
      <c r="O88" s="118"/>
      <c r="P88" s="118"/>
      <c r="Q88" s="118"/>
      <c r="R88" s="118"/>
      <c r="S88" s="118"/>
      <c r="T88" s="118"/>
      <c r="U88" s="118"/>
      <c r="V88" s="118"/>
      <c r="W88" s="118"/>
      <c r="X88" s="118"/>
      <c r="Y88" s="118"/>
      <c r="Z88" s="118"/>
      <c r="AA88" s="118"/>
      <c r="AB88" s="118"/>
      <c r="AC88" s="118"/>
      <c r="AD88" s="118"/>
      <c r="AE88" s="118"/>
      <c r="AF88" s="118"/>
      <c r="AG88" s="118"/>
    </row>
    <row r="89" spans="1:33" x14ac:dyDescent="0.3">
      <c r="A89" s="118"/>
      <c r="B89" s="118"/>
      <c r="C89" s="118"/>
      <c r="D89" s="118"/>
      <c r="E89" s="118"/>
      <c r="F89" s="118"/>
      <c r="G89" s="118"/>
      <c r="H89" s="119"/>
      <c r="I89" s="118"/>
      <c r="J89" s="118"/>
      <c r="K89" s="119"/>
      <c r="L89" s="118"/>
      <c r="M89" s="118"/>
      <c r="N89" s="118"/>
      <c r="O89" s="118"/>
      <c r="P89" s="118"/>
      <c r="Q89" s="118"/>
      <c r="R89" s="118"/>
      <c r="S89" s="118"/>
      <c r="T89" s="118"/>
      <c r="U89" s="118"/>
      <c r="V89" s="118"/>
      <c r="W89" s="118"/>
      <c r="X89" s="118"/>
      <c r="Y89" s="118"/>
      <c r="Z89" s="118"/>
      <c r="AA89" s="118"/>
      <c r="AB89" s="118"/>
      <c r="AC89" s="118"/>
      <c r="AD89" s="118"/>
      <c r="AE89" s="118"/>
      <c r="AF89" s="118"/>
    </row>
    <row r="90" spans="1:33" x14ac:dyDescent="0.3">
      <c r="A90" s="118"/>
      <c r="B90" s="118"/>
      <c r="C90" s="118"/>
      <c r="D90" s="118"/>
      <c r="E90" s="118"/>
      <c r="F90" s="118"/>
      <c r="G90" s="118"/>
      <c r="H90" s="119"/>
      <c r="I90" s="118"/>
      <c r="J90" s="118"/>
      <c r="K90" s="119"/>
      <c r="L90" s="118"/>
      <c r="M90" s="118"/>
      <c r="N90" s="118"/>
      <c r="O90" s="118"/>
      <c r="P90" s="118"/>
      <c r="Q90" s="118"/>
      <c r="R90" s="118"/>
      <c r="S90" s="118"/>
      <c r="T90" s="118"/>
      <c r="U90" s="118"/>
      <c r="V90" s="118"/>
      <c r="W90" s="118"/>
      <c r="X90" s="118"/>
      <c r="Y90" s="118"/>
      <c r="Z90" s="118"/>
      <c r="AA90" s="118"/>
      <c r="AB90" s="118"/>
      <c r="AC90" s="118"/>
      <c r="AD90" s="118"/>
      <c r="AE90" s="118"/>
      <c r="AF90" s="118"/>
    </row>
    <row r="91" spans="1:33" x14ac:dyDescent="0.3">
      <c r="A91" s="118"/>
      <c r="B91" s="118"/>
      <c r="C91" s="118"/>
      <c r="D91" s="118"/>
      <c r="E91" s="118"/>
      <c r="F91" s="118"/>
      <c r="G91" s="118"/>
      <c r="H91" s="119"/>
      <c r="I91" s="118"/>
      <c r="J91" s="118"/>
      <c r="K91" s="119"/>
      <c r="L91" s="118"/>
      <c r="M91" s="118"/>
      <c r="N91" s="118"/>
      <c r="O91" s="118"/>
      <c r="P91" s="118"/>
      <c r="Q91" s="118"/>
      <c r="R91" s="118"/>
      <c r="S91" s="118"/>
      <c r="T91" s="118"/>
      <c r="U91" s="118"/>
      <c r="V91" s="118"/>
      <c r="W91" s="118"/>
      <c r="X91" s="118"/>
      <c r="Y91" s="118"/>
      <c r="Z91" s="118"/>
      <c r="AA91" s="118"/>
      <c r="AB91" s="118"/>
      <c r="AC91" s="118"/>
      <c r="AD91" s="118"/>
      <c r="AE91" s="118"/>
      <c r="AF91" s="118"/>
    </row>
    <row r="92" spans="1:33" x14ac:dyDescent="0.3">
      <c r="A92" s="118"/>
      <c r="B92" s="118"/>
      <c r="C92" s="118"/>
      <c r="D92" s="118"/>
      <c r="E92" s="118"/>
      <c r="F92" s="118"/>
      <c r="G92" s="118"/>
      <c r="H92" s="119"/>
      <c r="I92" s="118"/>
      <c r="J92" s="118"/>
      <c r="K92" s="119"/>
      <c r="L92" s="118"/>
      <c r="M92" s="118"/>
      <c r="N92" s="118"/>
      <c r="O92" s="118"/>
      <c r="P92" s="118"/>
      <c r="Q92" s="118"/>
      <c r="R92" s="118"/>
      <c r="S92" s="118"/>
      <c r="T92" s="118"/>
      <c r="U92" s="118"/>
      <c r="V92" s="118"/>
      <c r="W92" s="118"/>
      <c r="X92" s="118"/>
      <c r="Y92" s="118"/>
      <c r="Z92" s="118"/>
      <c r="AA92" s="118"/>
      <c r="AB92" s="118"/>
      <c r="AC92" s="118"/>
      <c r="AD92" s="118"/>
      <c r="AE92" s="118"/>
      <c r="AF92" s="118"/>
    </row>
    <row r="93" spans="1:33" x14ac:dyDescent="0.3">
      <c r="A93" s="118"/>
      <c r="B93" s="118"/>
      <c r="C93" s="118"/>
      <c r="D93" s="118"/>
      <c r="E93" s="118"/>
      <c r="F93" s="118"/>
      <c r="G93" s="118"/>
      <c r="H93" s="119"/>
      <c r="I93" s="118"/>
      <c r="J93" s="118"/>
      <c r="K93" s="119"/>
      <c r="L93" s="118"/>
      <c r="M93" s="118"/>
      <c r="N93" s="118"/>
      <c r="O93" s="118"/>
      <c r="P93" s="118"/>
      <c r="Q93" s="118"/>
      <c r="R93" s="118"/>
      <c r="S93" s="118"/>
      <c r="T93" s="118"/>
      <c r="U93" s="118"/>
      <c r="V93" s="118"/>
      <c r="W93" s="118"/>
      <c r="X93" s="118"/>
      <c r="Y93" s="118"/>
      <c r="Z93" s="118"/>
      <c r="AA93" s="118"/>
      <c r="AB93" s="118"/>
      <c r="AC93" s="118"/>
      <c r="AD93" s="118"/>
      <c r="AE93" s="118"/>
      <c r="AF93" s="118"/>
    </row>
    <row r="94" spans="1:33" x14ac:dyDescent="0.3">
      <c r="A94" s="118"/>
      <c r="B94" s="118"/>
      <c r="C94" s="118"/>
      <c r="D94" s="118"/>
      <c r="E94" s="118"/>
      <c r="F94" s="118"/>
      <c r="G94" s="118"/>
      <c r="H94" s="119"/>
      <c r="I94" s="118"/>
      <c r="J94" s="118"/>
      <c r="K94" s="119"/>
      <c r="L94" s="118"/>
      <c r="M94" s="118"/>
      <c r="N94" s="118"/>
      <c r="O94" s="118"/>
      <c r="P94" s="118"/>
      <c r="Q94" s="118"/>
      <c r="R94" s="118"/>
      <c r="S94" s="118"/>
      <c r="T94" s="118"/>
      <c r="U94" s="118"/>
      <c r="V94" s="118"/>
      <c r="W94" s="118"/>
      <c r="X94" s="118"/>
      <c r="Y94" s="118"/>
      <c r="Z94" s="118"/>
      <c r="AA94" s="118"/>
      <c r="AB94" s="118"/>
      <c r="AC94" s="118"/>
      <c r="AD94" s="118"/>
      <c r="AE94" s="118"/>
      <c r="AF94" s="118"/>
    </row>
    <row r="95" spans="1:33" x14ac:dyDescent="0.3">
      <c r="A95" s="118"/>
      <c r="B95" s="118"/>
      <c r="C95" s="118"/>
      <c r="D95" s="118"/>
      <c r="E95" s="118"/>
      <c r="F95" s="118"/>
      <c r="G95" s="118"/>
      <c r="H95" s="119"/>
      <c r="I95" s="118"/>
      <c r="J95" s="118"/>
      <c r="K95" s="119"/>
      <c r="L95" s="118"/>
      <c r="M95" s="118"/>
      <c r="N95" s="118"/>
      <c r="O95" s="118"/>
      <c r="P95" s="118"/>
      <c r="Q95" s="118"/>
      <c r="R95" s="118"/>
      <c r="S95" s="118"/>
      <c r="T95" s="118"/>
      <c r="U95" s="118"/>
      <c r="V95" s="118"/>
      <c r="W95" s="118"/>
      <c r="X95" s="118"/>
      <c r="Y95" s="118"/>
      <c r="Z95" s="118"/>
      <c r="AA95" s="118"/>
      <c r="AB95" s="118"/>
      <c r="AC95" s="118"/>
      <c r="AD95" s="118"/>
      <c r="AE95" s="118"/>
      <c r="AF95" s="118"/>
    </row>
    <row r="96" spans="1:33" x14ac:dyDescent="0.3">
      <c r="A96" s="118"/>
      <c r="B96" s="118"/>
      <c r="C96" s="118"/>
      <c r="D96" s="118"/>
      <c r="E96" s="118"/>
      <c r="F96" s="118"/>
      <c r="G96" s="118"/>
      <c r="H96" s="119"/>
      <c r="I96" s="118"/>
      <c r="J96" s="118"/>
      <c r="K96" s="119"/>
      <c r="L96" s="118"/>
      <c r="M96" s="118"/>
      <c r="N96" s="118"/>
      <c r="O96" s="118"/>
      <c r="P96" s="118"/>
      <c r="Q96" s="118"/>
      <c r="R96" s="118"/>
      <c r="S96" s="118"/>
      <c r="T96" s="118"/>
      <c r="U96" s="118"/>
      <c r="V96" s="118"/>
      <c r="W96" s="118"/>
      <c r="X96" s="118"/>
      <c r="Y96" s="118"/>
      <c r="Z96" s="118"/>
      <c r="AA96" s="118"/>
      <c r="AB96" s="118"/>
      <c r="AC96" s="118"/>
      <c r="AD96" s="118"/>
      <c r="AE96" s="118"/>
      <c r="AF96" s="118"/>
    </row>
    <row r="97" spans="1:32" x14ac:dyDescent="0.3">
      <c r="A97" s="118"/>
      <c r="B97" s="118"/>
      <c r="C97" s="118"/>
      <c r="D97" s="118"/>
      <c r="E97" s="118"/>
      <c r="F97" s="118"/>
      <c r="G97" s="118"/>
      <c r="H97" s="119"/>
      <c r="I97" s="118"/>
      <c r="J97" s="118"/>
      <c r="K97" s="119"/>
      <c r="L97" s="118"/>
      <c r="M97" s="118"/>
      <c r="N97" s="118"/>
      <c r="O97" s="118"/>
      <c r="P97" s="118"/>
      <c r="Q97" s="118"/>
      <c r="R97" s="118"/>
      <c r="S97" s="118"/>
      <c r="T97" s="118"/>
      <c r="U97" s="118"/>
      <c r="V97" s="118"/>
      <c r="W97" s="118"/>
      <c r="X97" s="118"/>
      <c r="Y97" s="118"/>
      <c r="Z97" s="118"/>
      <c r="AA97" s="118"/>
      <c r="AB97" s="118"/>
      <c r="AC97" s="118"/>
      <c r="AD97" s="118"/>
      <c r="AE97" s="118"/>
      <c r="AF97" s="118"/>
    </row>
    <row r="98" spans="1:32" x14ac:dyDescent="0.3">
      <c r="A98" s="118"/>
      <c r="B98" s="118"/>
      <c r="C98" s="118"/>
      <c r="D98" s="118"/>
      <c r="E98" s="118"/>
      <c r="F98" s="118"/>
      <c r="G98" s="118"/>
      <c r="H98" s="119"/>
      <c r="I98" s="118"/>
      <c r="J98" s="118"/>
      <c r="K98" s="119"/>
      <c r="L98" s="118"/>
      <c r="M98" s="118"/>
      <c r="N98" s="118"/>
      <c r="O98" s="118"/>
      <c r="P98" s="118"/>
      <c r="Q98" s="118"/>
      <c r="R98" s="118"/>
      <c r="S98" s="118"/>
      <c r="T98" s="118"/>
      <c r="U98" s="118"/>
      <c r="V98" s="118"/>
      <c r="W98" s="118"/>
      <c r="X98" s="118"/>
      <c r="Y98" s="118"/>
      <c r="Z98" s="118"/>
      <c r="AA98" s="118"/>
      <c r="AB98" s="118"/>
      <c r="AC98" s="118"/>
      <c r="AD98" s="118"/>
      <c r="AE98" s="118"/>
      <c r="AF98" s="118"/>
    </row>
    <row r="99" spans="1:32" x14ac:dyDescent="0.3">
      <c r="A99" s="118"/>
      <c r="B99" s="118"/>
      <c r="C99" s="118"/>
      <c r="D99" s="118"/>
      <c r="E99" s="118"/>
      <c r="F99" s="118"/>
      <c r="G99" s="118"/>
      <c r="H99" s="119"/>
      <c r="I99" s="118"/>
      <c r="J99" s="118"/>
      <c r="K99" s="119"/>
      <c r="L99" s="118"/>
      <c r="M99" s="118"/>
      <c r="N99" s="118"/>
      <c r="O99" s="118"/>
      <c r="P99" s="118"/>
      <c r="Q99" s="118"/>
      <c r="R99" s="118"/>
      <c r="S99" s="118"/>
      <c r="T99" s="118"/>
      <c r="U99" s="118"/>
      <c r="V99" s="118"/>
      <c r="W99" s="118"/>
      <c r="X99" s="118"/>
      <c r="Y99" s="118"/>
      <c r="Z99" s="118"/>
      <c r="AA99" s="118"/>
      <c r="AB99" s="118"/>
      <c r="AC99" s="118"/>
      <c r="AD99" s="118"/>
      <c r="AE99" s="118"/>
      <c r="AF99" s="118"/>
    </row>
    <row r="100" spans="1:32" x14ac:dyDescent="0.3">
      <c r="A100" s="118"/>
      <c r="B100" s="118"/>
      <c r="C100" s="118"/>
      <c r="D100" s="118"/>
      <c r="E100" s="118"/>
      <c r="F100" s="118"/>
      <c r="G100" s="118"/>
      <c r="H100" s="119"/>
      <c r="I100" s="118"/>
      <c r="J100" s="118"/>
      <c r="K100" s="119"/>
      <c r="L100" s="118"/>
      <c r="M100" s="118"/>
      <c r="N100" s="118"/>
      <c r="O100" s="118"/>
      <c r="P100" s="118"/>
      <c r="Q100" s="118"/>
      <c r="R100" s="118"/>
      <c r="S100" s="118"/>
      <c r="T100" s="118"/>
      <c r="U100" s="118"/>
      <c r="V100" s="118"/>
      <c r="W100" s="118"/>
      <c r="X100" s="118"/>
      <c r="Y100" s="118"/>
      <c r="Z100" s="118"/>
      <c r="AA100" s="118"/>
      <c r="AB100" s="118"/>
      <c r="AC100" s="118"/>
      <c r="AD100" s="118"/>
      <c r="AE100" s="118"/>
      <c r="AF100" s="118"/>
    </row>
    <row r="101" spans="1:32" x14ac:dyDescent="0.3">
      <c r="A101" s="118"/>
      <c r="B101" s="118"/>
      <c r="C101" s="118"/>
      <c r="D101" s="118"/>
      <c r="E101" s="118"/>
      <c r="F101" s="118"/>
      <c r="G101" s="118"/>
      <c r="H101" s="119"/>
      <c r="I101" s="118"/>
      <c r="J101" s="118"/>
      <c r="K101" s="119"/>
      <c r="L101" s="118"/>
      <c r="M101" s="118"/>
      <c r="N101" s="118"/>
      <c r="O101" s="118"/>
      <c r="P101" s="118"/>
      <c r="Q101" s="118"/>
      <c r="R101" s="118"/>
      <c r="S101" s="118"/>
      <c r="T101" s="118"/>
      <c r="U101" s="118"/>
      <c r="V101" s="118"/>
      <c r="W101" s="118"/>
      <c r="X101" s="118"/>
      <c r="Y101" s="118"/>
      <c r="Z101" s="118"/>
      <c r="AA101" s="118"/>
      <c r="AB101" s="118"/>
      <c r="AC101" s="118"/>
      <c r="AD101" s="118"/>
      <c r="AE101" s="118"/>
      <c r="AF101" s="118"/>
    </row>
    <row r="102" spans="1:32" x14ac:dyDescent="0.3">
      <c r="A102" s="118"/>
      <c r="B102" s="118"/>
      <c r="C102" s="118"/>
      <c r="D102" s="118"/>
      <c r="E102" s="118"/>
      <c r="F102" s="118"/>
      <c r="G102" s="118"/>
      <c r="H102" s="119"/>
      <c r="I102" s="118"/>
      <c r="J102" s="118"/>
      <c r="K102" s="119"/>
      <c r="L102" s="118"/>
      <c r="M102" s="118"/>
      <c r="N102" s="118"/>
      <c r="O102" s="118"/>
      <c r="P102" s="118"/>
      <c r="Q102" s="118"/>
      <c r="R102" s="118"/>
      <c r="S102" s="118"/>
      <c r="T102" s="118"/>
      <c r="U102" s="118"/>
      <c r="V102" s="118"/>
      <c r="W102" s="118"/>
      <c r="X102" s="118"/>
      <c r="Y102" s="118"/>
      <c r="Z102" s="118"/>
      <c r="AA102" s="118"/>
      <c r="AB102" s="118"/>
      <c r="AC102" s="118"/>
      <c r="AD102" s="118"/>
      <c r="AE102" s="118"/>
      <c r="AF102" s="118"/>
    </row>
    <row r="103" spans="1:32" x14ac:dyDescent="0.3">
      <c r="A103" s="118"/>
      <c r="B103" s="118"/>
      <c r="C103" s="118"/>
      <c r="D103" s="118"/>
      <c r="E103" s="118"/>
      <c r="F103" s="118"/>
      <c r="G103" s="118"/>
      <c r="H103" s="119"/>
      <c r="I103" s="118"/>
      <c r="J103" s="118"/>
      <c r="K103" s="119"/>
      <c r="L103" s="118"/>
      <c r="M103" s="118"/>
      <c r="N103" s="118"/>
      <c r="O103" s="118"/>
      <c r="P103" s="118"/>
      <c r="Q103" s="118"/>
      <c r="R103" s="118"/>
      <c r="S103" s="118"/>
      <c r="T103" s="118"/>
      <c r="U103" s="118"/>
      <c r="V103" s="118"/>
      <c r="W103" s="118"/>
      <c r="X103" s="118"/>
      <c r="Y103" s="118"/>
      <c r="Z103" s="118"/>
      <c r="AA103" s="118"/>
      <c r="AB103" s="118"/>
      <c r="AC103" s="118"/>
      <c r="AD103" s="118"/>
      <c r="AE103" s="118"/>
      <c r="AF103" s="118"/>
    </row>
    <row r="104" spans="1:32" x14ac:dyDescent="0.3">
      <c r="A104" s="118"/>
      <c r="B104" s="118"/>
      <c r="C104" s="118"/>
      <c r="D104" s="118"/>
      <c r="E104" s="118"/>
      <c r="F104" s="118"/>
      <c r="G104" s="118"/>
      <c r="H104" s="119"/>
      <c r="I104" s="118"/>
      <c r="J104" s="118"/>
      <c r="K104" s="119"/>
      <c r="L104" s="118"/>
      <c r="M104" s="118"/>
      <c r="N104" s="118"/>
      <c r="O104" s="118"/>
      <c r="P104" s="118"/>
      <c r="Q104" s="118"/>
      <c r="R104" s="118"/>
      <c r="S104" s="118"/>
      <c r="T104" s="118"/>
      <c r="U104" s="118"/>
      <c r="V104" s="118"/>
      <c r="W104" s="118"/>
      <c r="X104" s="118"/>
      <c r="Y104" s="118"/>
      <c r="Z104" s="118"/>
      <c r="AA104" s="118"/>
      <c r="AB104" s="118"/>
      <c r="AC104" s="118"/>
      <c r="AD104" s="118"/>
      <c r="AE104" s="118"/>
      <c r="AF104" s="118"/>
    </row>
    <row r="105" spans="1:32" x14ac:dyDescent="0.3">
      <c r="A105" s="118"/>
      <c r="B105" s="118"/>
      <c r="C105" s="118"/>
      <c r="D105" s="118"/>
      <c r="E105" s="118"/>
      <c r="F105" s="118"/>
      <c r="G105" s="118"/>
      <c r="H105" s="119"/>
      <c r="I105" s="118"/>
      <c r="J105" s="118"/>
      <c r="K105" s="119"/>
      <c r="L105" s="118"/>
      <c r="M105" s="118"/>
      <c r="N105" s="118"/>
      <c r="O105" s="118"/>
      <c r="P105" s="118"/>
      <c r="Q105" s="118"/>
      <c r="R105" s="118"/>
      <c r="S105" s="118"/>
      <c r="T105" s="118"/>
      <c r="U105" s="118"/>
      <c r="V105" s="118"/>
      <c r="W105" s="118"/>
      <c r="X105" s="118"/>
      <c r="Y105" s="118"/>
      <c r="Z105" s="118"/>
      <c r="AA105" s="118"/>
      <c r="AB105" s="118"/>
      <c r="AC105" s="118"/>
      <c r="AD105" s="118"/>
      <c r="AE105" s="118"/>
      <c r="AF105" s="118"/>
    </row>
    <row r="106" spans="1:32" x14ac:dyDescent="0.3">
      <c r="A106" s="118"/>
      <c r="B106" s="118"/>
      <c r="C106" s="118"/>
      <c r="D106" s="118"/>
      <c r="E106" s="118"/>
      <c r="F106" s="118"/>
      <c r="G106" s="118"/>
      <c r="H106" s="119"/>
      <c r="I106" s="118"/>
      <c r="J106" s="118"/>
      <c r="K106" s="119"/>
      <c r="L106" s="118"/>
      <c r="M106" s="118"/>
      <c r="N106" s="118"/>
      <c r="O106" s="118"/>
      <c r="P106" s="118"/>
      <c r="Q106" s="118"/>
      <c r="R106" s="118"/>
      <c r="S106" s="118"/>
      <c r="T106" s="118"/>
      <c r="U106" s="118"/>
      <c r="V106" s="118"/>
      <c r="W106" s="118"/>
      <c r="X106" s="118"/>
      <c r="Y106" s="118"/>
      <c r="Z106" s="118"/>
      <c r="AA106" s="118"/>
      <c r="AB106" s="118"/>
      <c r="AC106" s="118"/>
      <c r="AD106" s="118"/>
      <c r="AE106" s="118"/>
      <c r="AF106" s="118"/>
    </row>
    <row r="107" spans="1:32" x14ac:dyDescent="0.3">
      <c r="A107" s="118"/>
      <c r="B107" s="118"/>
      <c r="C107" s="118"/>
      <c r="D107" s="118"/>
      <c r="E107" s="118"/>
      <c r="F107" s="118"/>
      <c r="G107" s="118"/>
      <c r="H107" s="119"/>
      <c r="I107" s="118"/>
      <c r="J107" s="118"/>
      <c r="K107" s="119"/>
      <c r="L107" s="118"/>
      <c r="M107" s="118"/>
      <c r="N107" s="118"/>
      <c r="O107" s="118"/>
      <c r="P107" s="118"/>
      <c r="Q107" s="118"/>
      <c r="R107" s="118"/>
      <c r="S107" s="118"/>
      <c r="T107" s="118"/>
      <c r="U107" s="118"/>
      <c r="V107" s="118"/>
      <c r="W107" s="118"/>
      <c r="X107" s="118"/>
      <c r="Y107" s="118"/>
      <c r="Z107" s="118"/>
      <c r="AA107" s="118"/>
      <c r="AB107" s="118"/>
      <c r="AC107" s="118"/>
      <c r="AD107" s="118"/>
      <c r="AE107" s="118"/>
      <c r="AF107" s="118"/>
    </row>
    <row r="108" spans="1:32" x14ac:dyDescent="0.3">
      <c r="A108" s="118"/>
      <c r="B108" s="118"/>
      <c r="C108" s="118"/>
      <c r="D108" s="118"/>
      <c r="E108" s="118"/>
      <c r="F108" s="118"/>
      <c r="G108" s="118"/>
      <c r="H108" s="119"/>
      <c r="I108" s="118"/>
      <c r="J108" s="118"/>
      <c r="K108" s="119"/>
      <c r="L108" s="118"/>
      <c r="M108" s="118"/>
      <c r="N108" s="118"/>
      <c r="O108" s="118"/>
      <c r="P108" s="118"/>
      <c r="Q108" s="118"/>
      <c r="R108" s="118"/>
      <c r="S108" s="118"/>
      <c r="T108" s="118"/>
      <c r="U108" s="118"/>
      <c r="V108" s="118"/>
      <c r="W108" s="118"/>
      <c r="X108" s="118"/>
      <c r="Y108" s="118"/>
      <c r="Z108" s="118"/>
      <c r="AA108" s="118"/>
      <c r="AB108" s="118"/>
      <c r="AC108" s="118"/>
      <c r="AD108" s="118"/>
      <c r="AE108" s="118"/>
      <c r="AF108" s="118"/>
    </row>
    <row r="109" spans="1:32" x14ac:dyDescent="0.3">
      <c r="A109" s="118"/>
      <c r="B109" s="118"/>
      <c r="C109" s="118"/>
      <c r="D109" s="118"/>
      <c r="E109" s="118"/>
      <c r="F109" s="118"/>
      <c r="G109" s="118"/>
      <c r="H109" s="119"/>
      <c r="I109" s="118"/>
      <c r="J109" s="118"/>
      <c r="K109" s="119"/>
      <c r="L109" s="118"/>
      <c r="M109" s="118"/>
      <c r="N109" s="118"/>
      <c r="O109" s="118"/>
      <c r="P109" s="118"/>
      <c r="Q109" s="118"/>
      <c r="R109" s="118"/>
      <c r="S109" s="118"/>
      <c r="T109" s="118"/>
      <c r="U109" s="118"/>
      <c r="V109" s="118"/>
      <c r="W109" s="118"/>
      <c r="X109" s="118"/>
      <c r="Y109" s="118"/>
      <c r="Z109" s="118"/>
      <c r="AA109" s="118"/>
      <c r="AB109" s="118"/>
      <c r="AC109" s="118"/>
      <c r="AD109" s="118"/>
      <c r="AE109" s="118"/>
      <c r="AF109" s="118"/>
    </row>
    <row r="110" spans="1:32" x14ac:dyDescent="0.3">
      <c r="A110" s="118"/>
      <c r="B110" s="118"/>
      <c r="C110" s="118"/>
      <c r="D110" s="118"/>
      <c r="E110" s="118"/>
      <c r="F110" s="118"/>
      <c r="G110" s="118"/>
      <c r="H110" s="119"/>
      <c r="I110" s="118"/>
      <c r="J110" s="118"/>
      <c r="K110" s="119"/>
      <c r="L110" s="118"/>
      <c r="M110" s="118"/>
      <c r="N110" s="118"/>
      <c r="O110" s="118"/>
      <c r="P110" s="118"/>
      <c r="Q110" s="118"/>
      <c r="R110" s="118"/>
      <c r="S110" s="118"/>
      <c r="T110" s="118"/>
      <c r="U110" s="118"/>
      <c r="V110" s="118"/>
      <c r="W110" s="118"/>
      <c r="X110" s="118"/>
      <c r="Y110" s="118"/>
      <c r="Z110" s="118"/>
      <c r="AA110" s="118"/>
      <c r="AB110" s="118"/>
      <c r="AC110" s="118"/>
      <c r="AD110" s="118"/>
      <c r="AE110" s="118"/>
      <c r="AF110" s="118"/>
    </row>
    <row r="111" spans="1:32" x14ac:dyDescent="0.3">
      <c r="A111" s="102"/>
      <c r="B111" s="102"/>
      <c r="C111" s="102"/>
      <c r="D111" s="102"/>
      <c r="E111" s="102"/>
      <c r="F111" s="102"/>
      <c r="G111" s="102"/>
      <c r="H111" s="103"/>
      <c r="I111" s="102"/>
      <c r="J111" s="102"/>
      <c r="K111" s="103"/>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row>
    <row r="112" spans="1:32" x14ac:dyDescent="0.3">
      <c r="A112" s="102"/>
      <c r="B112" s="102"/>
      <c r="C112" s="102"/>
      <c r="D112" s="102"/>
      <c r="E112" s="102"/>
      <c r="F112" s="102"/>
      <c r="G112" s="102"/>
      <c r="H112" s="103"/>
      <c r="I112" s="102"/>
      <c r="J112" s="102"/>
      <c r="K112" s="103"/>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row>
    <row r="113" spans="1:32" x14ac:dyDescent="0.3">
      <c r="A113" s="102"/>
      <c r="B113" s="102"/>
      <c r="C113" s="102"/>
      <c r="D113" s="102"/>
      <c r="E113" s="102"/>
      <c r="F113" s="102"/>
      <c r="G113" s="102"/>
      <c r="H113" s="103"/>
      <c r="I113" s="102"/>
      <c r="J113" s="102"/>
      <c r="K113" s="103"/>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row>
    <row r="114" spans="1:32" x14ac:dyDescent="0.3">
      <c r="A114" s="102"/>
      <c r="B114" s="102"/>
      <c r="C114" s="102"/>
      <c r="D114" s="102"/>
      <c r="E114" s="102"/>
      <c r="F114" s="102"/>
      <c r="G114" s="102"/>
      <c r="H114" s="103"/>
      <c r="I114" s="102"/>
      <c r="J114" s="102"/>
      <c r="K114" s="103"/>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row>
    <row r="115" spans="1:32" x14ac:dyDescent="0.3">
      <c r="A115" s="102"/>
      <c r="B115" s="102"/>
      <c r="C115" s="102"/>
      <c r="D115" s="102"/>
      <c r="E115" s="102"/>
      <c r="F115" s="102"/>
      <c r="G115" s="102"/>
      <c r="H115" s="103"/>
      <c r="I115" s="102"/>
      <c r="J115" s="102"/>
      <c r="K115" s="103"/>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row>
    <row r="116" spans="1:32" x14ac:dyDescent="0.3">
      <c r="A116" s="102"/>
      <c r="B116" s="102"/>
      <c r="C116" s="102"/>
      <c r="D116" s="102"/>
      <c r="E116" s="102"/>
      <c r="F116" s="102"/>
      <c r="G116" s="102"/>
      <c r="H116" s="103"/>
      <c r="I116" s="102"/>
      <c r="J116" s="102"/>
      <c r="K116" s="103"/>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row>
    <row r="117" spans="1:32" x14ac:dyDescent="0.3">
      <c r="A117" s="102"/>
      <c r="B117" s="102"/>
      <c r="C117" s="102"/>
      <c r="D117" s="102"/>
      <c r="E117" s="102"/>
      <c r="F117" s="102"/>
      <c r="G117" s="102"/>
      <c r="H117" s="103"/>
      <c r="I117" s="102"/>
      <c r="J117" s="102"/>
      <c r="K117" s="103"/>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row>
    <row r="118" spans="1:32" x14ac:dyDescent="0.3">
      <c r="A118" s="102"/>
      <c r="B118" s="102"/>
      <c r="C118" s="102"/>
      <c r="D118" s="102"/>
      <c r="E118" s="102"/>
      <c r="F118" s="102"/>
      <c r="G118" s="102"/>
      <c r="H118" s="103"/>
      <c r="I118" s="102"/>
      <c r="J118" s="102"/>
      <c r="K118" s="103"/>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row>
    <row r="119" spans="1:32" x14ac:dyDescent="0.3">
      <c r="A119" s="102"/>
      <c r="B119" s="102"/>
      <c r="C119" s="102"/>
      <c r="D119" s="102"/>
      <c r="E119" s="102"/>
      <c r="F119" s="102"/>
      <c r="G119" s="102"/>
      <c r="H119" s="103"/>
      <c r="I119" s="102"/>
      <c r="J119" s="102"/>
      <c r="K119" s="103"/>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row>
    <row r="120" spans="1:32" x14ac:dyDescent="0.3">
      <c r="A120" s="102"/>
      <c r="B120" s="102"/>
      <c r="C120" s="102"/>
      <c r="D120" s="102"/>
      <c r="E120" s="102"/>
      <c r="F120" s="102"/>
      <c r="G120" s="102"/>
      <c r="H120" s="103"/>
      <c r="I120" s="102"/>
      <c r="J120" s="102"/>
      <c r="K120" s="103"/>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row>
    <row r="121" spans="1:32" x14ac:dyDescent="0.3">
      <c r="A121" s="102"/>
      <c r="B121" s="102"/>
      <c r="C121" s="102"/>
      <c r="D121" s="102"/>
      <c r="E121" s="102"/>
      <c r="F121" s="102"/>
      <c r="G121" s="102"/>
      <c r="H121" s="103"/>
      <c r="I121" s="102"/>
      <c r="J121" s="102"/>
      <c r="K121" s="103"/>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row>
    <row r="122" spans="1:32" x14ac:dyDescent="0.3">
      <c r="A122" s="102"/>
      <c r="B122" s="102"/>
      <c r="C122" s="102"/>
      <c r="D122" s="102"/>
      <c r="E122" s="102"/>
      <c r="F122" s="102"/>
      <c r="G122" s="102"/>
      <c r="H122" s="103"/>
      <c r="I122" s="102"/>
      <c r="J122" s="102"/>
      <c r="K122" s="103"/>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row>
    <row r="123" spans="1:32" x14ac:dyDescent="0.3">
      <c r="A123" s="102"/>
      <c r="B123" s="102"/>
      <c r="C123" s="102"/>
      <c r="D123" s="102"/>
      <c r="E123" s="102"/>
      <c r="F123" s="102"/>
      <c r="G123" s="102"/>
      <c r="H123" s="103"/>
      <c r="I123" s="102"/>
      <c r="J123" s="102"/>
      <c r="K123" s="103"/>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row>
    <row r="124" spans="1:32" x14ac:dyDescent="0.3">
      <c r="A124" s="102"/>
      <c r="B124" s="102"/>
      <c r="C124" s="102"/>
      <c r="D124" s="102"/>
      <c r="E124" s="102"/>
      <c r="F124" s="102"/>
      <c r="G124" s="102"/>
      <c r="H124" s="103"/>
      <c r="I124" s="102"/>
      <c r="J124" s="102"/>
      <c r="K124" s="103"/>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row>
    <row r="125" spans="1:32" x14ac:dyDescent="0.3">
      <c r="A125" s="102"/>
      <c r="B125" s="102"/>
      <c r="C125" s="102"/>
      <c r="D125" s="102"/>
      <c r="E125" s="102"/>
      <c r="F125" s="102"/>
      <c r="G125" s="102"/>
      <c r="H125" s="103"/>
      <c r="I125" s="102"/>
      <c r="J125" s="102"/>
      <c r="K125" s="103"/>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row>
    <row r="126" spans="1:32" x14ac:dyDescent="0.3">
      <c r="A126" s="102"/>
      <c r="B126" s="102"/>
      <c r="C126" s="102"/>
      <c r="D126" s="102"/>
      <c r="E126" s="102"/>
      <c r="F126" s="102"/>
      <c r="G126" s="102"/>
      <c r="H126" s="103"/>
      <c r="I126" s="102"/>
      <c r="J126" s="102"/>
      <c r="K126" s="103"/>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row>
    <row r="127" spans="1:32" x14ac:dyDescent="0.3">
      <c r="A127" s="102"/>
      <c r="B127" s="102"/>
      <c r="C127" s="102"/>
      <c r="D127" s="102"/>
      <c r="E127" s="102"/>
      <c r="F127" s="102"/>
      <c r="G127" s="102"/>
      <c r="H127" s="103"/>
      <c r="I127" s="102"/>
      <c r="J127" s="102"/>
      <c r="K127" s="103"/>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row>
    <row r="128" spans="1:32" x14ac:dyDescent="0.3">
      <c r="A128" s="102"/>
      <c r="B128" s="102"/>
      <c r="C128" s="102"/>
      <c r="D128" s="102"/>
      <c r="E128" s="102"/>
      <c r="F128" s="102"/>
      <c r="G128" s="102"/>
      <c r="H128" s="103"/>
      <c r="I128" s="102"/>
      <c r="J128" s="102"/>
      <c r="K128" s="103"/>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row>
    <row r="129" spans="1:32" x14ac:dyDescent="0.3">
      <c r="A129" s="102"/>
      <c r="B129" s="102"/>
      <c r="C129" s="102"/>
      <c r="D129" s="102"/>
      <c r="E129" s="102"/>
      <c r="F129" s="102"/>
      <c r="G129" s="102"/>
      <c r="H129" s="103"/>
      <c r="I129" s="102"/>
      <c r="J129" s="102"/>
      <c r="K129" s="103"/>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row>
    <row r="130" spans="1:32" x14ac:dyDescent="0.3">
      <c r="A130" s="102"/>
      <c r="B130" s="102"/>
      <c r="C130" s="102"/>
      <c r="D130" s="102"/>
      <c r="E130" s="102"/>
      <c r="F130" s="102"/>
      <c r="G130" s="102"/>
      <c r="H130" s="103"/>
      <c r="I130" s="102"/>
      <c r="J130" s="102"/>
      <c r="K130" s="103"/>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row>
    <row r="131" spans="1:32" x14ac:dyDescent="0.3">
      <c r="A131" s="102"/>
      <c r="B131" s="102"/>
      <c r="C131" s="102"/>
      <c r="D131" s="102"/>
      <c r="E131" s="102"/>
      <c r="F131" s="102"/>
      <c r="G131" s="102"/>
      <c r="H131" s="103"/>
      <c r="I131" s="102"/>
      <c r="J131" s="102"/>
      <c r="K131" s="103"/>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row>
    <row r="132" spans="1:32" x14ac:dyDescent="0.3">
      <c r="A132" s="102"/>
      <c r="B132" s="102"/>
      <c r="C132" s="102"/>
      <c r="D132" s="102"/>
      <c r="E132" s="102"/>
      <c r="F132" s="102"/>
      <c r="G132" s="102"/>
      <c r="H132" s="103"/>
      <c r="I132" s="102"/>
      <c r="J132" s="102"/>
      <c r="K132" s="103"/>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row>
    <row r="133" spans="1:32" x14ac:dyDescent="0.3">
      <c r="A133" s="102"/>
      <c r="B133" s="102"/>
      <c r="C133" s="102"/>
      <c r="D133" s="102"/>
      <c r="E133" s="102"/>
      <c r="F133" s="102"/>
      <c r="G133" s="102"/>
      <c r="H133" s="103"/>
      <c r="I133" s="102"/>
      <c r="J133" s="102"/>
      <c r="K133" s="103"/>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row>
    <row r="134" spans="1:32" x14ac:dyDescent="0.3">
      <c r="A134" s="102"/>
      <c r="B134" s="102"/>
      <c r="C134" s="102"/>
      <c r="D134" s="102"/>
      <c r="E134" s="102"/>
      <c r="F134" s="102"/>
      <c r="G134" s="102"/>
      <c r="H134" s="103"/>
      <c r="I134" s="102"/>
      <c r="J134" s="102"/>
      <c r="K134" s="103"/>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row>
    <row r="135" spans="1:32" x14ac:dyDescent="0.3">
      <c r="A135" s="102"/>
      <c r="B135" s="102"/>
      <c r="C135" s="102"/>
      <c r="D135" s="102"/>
      <c r="E135" s="102"/>
      <c r="F135" s="102"/>
      <c r="G135" s="102"/>
      <c r="H135" s="103"/>
      <c r="I135" s="102"/>
      <c r="J135" s="102"/>
      <c r="K135" s="103"/>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row>
    <row r="136" spans="1:32" x14ac:dyDescent="0.3">
      <c r="A136" s="102"/>
      <c r="B136" s="102"/>
      <c r="C136" s="102"/>
      <c r="D136" s="102"/>
      <c r="E136" s="102"/>
      <c r="F136" s="102"/>
      <c r="G136" s="102"/>
      <c r="H136" s="103"/>
      <c r="I136" s="102"/>
      <c r="J136" s="102"/>
      <c r="K136" s="103"/>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row>
    <row r="137" spans="1:32" x14ac:dyDescent="0.3">
      <c r="A137" s="102"/>
      <c r="B137" s="102"/>
      <c r="C137" s="102"/>
      <c r="D137" s="102"/>
      <c r="E137" s="102"/>
      <c r="F137" s="102"/>
      <c r="G137" s="102"/>
      <c r="H137" s="103"/>
      <c r="I137" s="102"/>
      <c r="J137" s="102"/>
      <c r="K137" s="103"/>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row>
    <row r="138" spans="1:32" x14ac:dyDescent="0.3">
      <c r="A138" s="102"/>
      <c r="B138" s="102"/>
      <c r="C138" s="102"/>
      <c r="D138" s="102"/>
      <c r="E138" s="102"/>
      <c r="F138" s="102"/>
      <c r="G138" s="102"/>
      <c r="H138" s="103"/>
      <c r="I138" s="102"/>
      <c r="J138" s="102"/>
      <c r="K138" s="103"/>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row>
    <row r="139" spans="1:32" x14ac:dyDescent="0.3">
      <c r="A139" s="102"/>
      <c r="B139" s="102"/>
      <c r="C139" s="102"/>
      <c r="D139" s="102"/>
      <c r="E139" s="102"/>
      <c r="F139" s="102"/>
      <c r="G139" s="102"/>
      <c r="H139" s="103"/>
      <c r="I139" s="102"/>
      <c r="J139" s="102"/>
      <c r="K139" s="103"/>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row>
    <row r="140" spans="1:32" x14ac:dyDescent="0.3">
      <c r="A140" s="102"/>
      <c r="B140" s="102"/>
      <c r="C140" s="102"/>
      <c r="D140" s="102"/>
      <c r="E140" s="102"/>
      <c r="F140" s="102"/>
      <c r="G140" s="102"/>
      <c r="H140" s="103"/>
      <c r="I140" s="102"/>
      <c r="J140" s="102"/>
      <c r="K140" s="103"/>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row>
    <row r="141" spans="1:32" x14ac:dyDescent="0.3">
      <c r="A141" s="102"/>
      <c r="B141" s="102"/>
      <c r="C141" s="102"/>
      <c r="D141" s="102"/>
      <c r="E141" s="102"/>
      <c r="F141" s="102"/>
      <c r="G141" s="102"/>
      <c r="H141" s="103"/>
      <c r="I141" s="102"/>
      <c r="J141" s="102"/>
      <c r="K141" s="103"/>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row>
    <row r="142" spans="1:32" x14ac:dyDescent="0.3">
      <c r="A142" s="102"/>
      <c r="B142" s="102"/>
      <c r="C142" s="102"/>
      <c r="D142" s="102"/>
      <c r="E142" s="102"/>
      <c r="F142" s="102"/>
      <c r="G142" s="102"/>
      <c r="H142" s="103"/>
      <c r="I142" s="102"/>
      <c r="J142" s="102"/>
      <c r="K142" s="103"/>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row>
    <row r="143" spans="1:32" x14ac:dyDescent="0.3">
      <c r="A143" s="102"/>
      <c r="B143" s="102"/>
      <c r="C143" s="102"/>
      <c r="D143" s="102"/>
      <c r="E143" s="102"/>
      <c r="F143" s="102"/>
      <c r="G143" s="102"/>
      <c r="H143" s="103"/>
      <c r="I143" s="102"/>
      <c r="J143" s="102"/>
      <c r="K143" s="103"/>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row>
    <row r="144" spans="1:32" x14ac:dyDescent="0.3">
      <c r="A144" s="102"/>
      <c r="B144" s="102"/>
      <c r="C144" s="102"/>
      <c r="D144" s="102"/>
      <c r="E144" s="102"/>
      <c r="F144" s="102"/>
      <c r="G144" s="102"/>
      <c r="H144" s="103"/>
      <c r="I144" s="102"/>
      <c r="J144" s="102"/>
      <c r="K144" s="103"/>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row>
    <row r="145" spans="1:32" x14ac:dyDescent="0.3">
      <c r="A145" s="102"/>
      <c r="B145" s="102"/>
      <c r="C145" s="102"/>
      <c r="D145" s="102"/>
      <c r="E145" s="102"/>
      <c r="F145" s="102"/>
      <c r="G145" s="102"/>
      <c r="H145" s="103"/>
      <c r="I145" s="102"/>
      <c r="J145" s="102"/>
      <c r="K145" s="103"/>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row>
    <row r="146" spans="1:32" x14ac:dyDescent="0.3">
      <c r="A146" s="102"/>
      <c r="B146" s="102"/>
      <c r="C146" s="102"/>
      <c r="D146" s="102"/>
      <c r="E146" s="102"/>
      <c r="F146" s="102"/>
      <c r="G146" s="102"/>
      <c r="H146" s="103"/>
      <c r="I146" s="102"/>
      <c r="J146" s="102"/>
      <c r="K146" s="103"/>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row>
    <row r="147" spans="1:32" x14ac:dyDescent="0.3">
      <c r="A147" s="100"/>
      <c r="B147" s="100"/>
      <c r="C147" s="100"/>
      <c r="D147" s="100"/>
      <c r="E147" s="100"/>
      <c r="F147" s="100"/>
      <c r="G147" s="100"/>
      <c r="H147" s="101"/>
      <c r="I147" s="100"/>
      <c r="J147" s="100"/>
      <c r="K147" s="101"/>
      <c r="L147" s="100"/>
      <c r="M147" s="100"/>
      <c r="N147" s="100"/>
      <c r="O147" s="100"/>
      <c r="P147" s="100"/>
      <c r="Q147" s="100"/>
      <c r="R147" s="100"/>
      <c r="S147" s="100"/>
      <c r="T147" s="100"/>
      <c r="U147" s="100"/>
      <c r="V147" s="100"/>
      <c r="W147" s="100"/>
      <c r="X147" s="100"/>
      <c r="Y147" s="100"/>
      <c r="Z147" s="100"/>
      <c r="AA147" s="100"/>
      <c r="AB147" s="100"/>
      <c r="AC147" s="100"/>
      <c r="AD147" s="100"/>
      <c r="AE147" s="100"/>
      <c r="AF147" s="81"/>
    </row>
    <row r="148" spans="1:32" x14ac:dyDescent="0.3">
      <c r="A148" s="100"/>
      <c r="B148" s="100"/>
      <c r="C148" s="100"/>
      <c r="D148" s="100"/>
      <c r="E148" s="100"/>
      <c r="F148" s="100"/>
      <c r="G148" s="100"/>
      <c r="H148" s="101"/>
      <c r="I148" s="100"/>
      <c r="J148" s="100"/>
      <c r="K148" s="101"/>
      <c r="L148" s="100"/>
      <c r="M148" s="100"/>
      <c r="N148" s="100"/>
      <c r="O148" s="100"/>
      <c r="P148" s="100"/>
      <c r="Q148" s="100"/>
      <c r="R148" s="100"/>
      <c r="S148" s="100"/>
      <c r="T148" s="100"/>
      <c r="U148" s="100"/>
      <c r="V148" s="100"/>
      <c r="W148" s="100"/>
      <c r="X148" s="100"/>
      <c r="Y148" s="100"/>
      <c r="Z148" s="100"/>
      <c r="AA148" s="100"/>
      <c r="AB148" s="100"/>
      <c r="AC148" s="100"/>
      <c r="AD148" s="100"/>
      <c r="AE148" s="100"/>
      <c r="AF148" s="81"/>
    </row>
    <row r="149" spans="1:32" x14ac:dyDescent="0.3">
      <c r="A149" s="100"/>
      <c r="B149" s="100"/>
      <c r="C149" s="100"/>
      <c r="D149" s="100"/>
      <c r="E149" s="100"/>
      <c r="F149" s="100"/>
      <c r="G149" s="100"/>
      <c r="H149" s="101"/>
      <c r="I149" s="100"/>
      <c r="J149" s="100"/>
      <c r="K149" s="101"/>
      <c r="L149" s="100"/>
      <c r="M149" s="100"/>
      <c r="N149" s="100"/>
      <c r="O149" s="100"/>
      <c r="P149" s="100"/>
      <c r="Q149" s="100"/>
      <c r="R149" s="100"/>
      <c r="S149" s="100"/>
      <c r="T149" s="100"/>
      <c r="U149" s="100"/>
      <c r="V149" s="100"/>
      <c r="W149" s="100"/>
      <c r="X149" s="100"/>
      <c r="Y149" s="100"/>
      <c r="Z149" s="100"/>
      <c r="AA149" s="100"/>
      <c r="AB149" s="100"/>
      <c r="AC149" s="100"/>
      <c r="AD149" s="100"/>
      <c r="AE149" s="100"/>
      <c r="AF149" s="81"/>
    </row>
    <row r="150" spans="1:32" x14ac:dyDescent="0.3">
      <c r="A150" s="100"/>
      <c r="B150" s="100"/>
      <c r="C150" s="100"/>
      <c r="D150" s="100"/>
      <c r="E150" s="100"/>
      <c r="F150" s="100"/>
      <c r="G150" s="100"/>
      <c r="H150" s="101"/>
      <c r="I150" s="100"/>
      <c r="J150" s="100"/>
      <c r="K150" s="101"/>
      <c r="L150" s="100"/>
      <c r="M150" s="100"/>
      <c r="N150" s="100"/>
      <c r="O150" s="100"/>
      <c r="P150" s="100"/>
      <c r="Q150" s="100"/>
      <c r="R150" s="100"/>
      <c r="S150" s="100"/>
      <c r="T150" s="100"/>
      <c r="U150" s="100"/>
      <c r="V150" s="100"/>
      <c r="W150" s="100"/>
      <c r="X150" s="100"/>
      <c r="Y150" s="100"/>
      <c r="Z150" s="100"/>
      <c r="AA150" s="100"/>
      <c r="AB150" s="100"/>
      <c r="AC150" s="100"/>
      <c r="AD150" s="100"/>
      <c r="AE150" s="100"/>
      <c r="AF150" s="81"/>
    </row>
    <row r="151" spans="1:32" x14ac:dyDescent="0.3">
      <c r="A151" s="100"/>
      <c r="B151" s="100"/>
      <c r="C151" s="100"/>
      <c r="D151" s="100"/>
      <c r="E151" s="100"/>
      <c r="F151" s="100"/>
      <c r="G151" s="100"/>
      <c r="H151" s="101"/>
      <c r="I151" s="100"/>
      <c r="J151" s="100"/>
      <c r="K151" s="101"/>
      <c r="L151" s="100"/>
      <c r="M151" s="100"/>
      <c r="N151" s="100"/>
      <c r="O151" s="100"/>
      <c r="P151" s="100"/>
      <c r="Q151" s="100"/>
      <c r="R151" s="100"/>
      <c r="S151" s="100"/>
      <c r="T151" s="100"/>
      <c r="U151" s="100"/>
      <c r="V151" s="100"/>
      <c r="W151" s="100"/>
      <c r="X151" s="100"/>
      <c r="Y151" s="100"/>
      <c r="Z151" s="100"/>
      <c r="AA151" s="100"/>
      <c r="AB151" s="100"/>
      <c r="AC151" s="100"/>
      <c r="AD151" s="100"/>
      <c r="AE151" s="100"/>
      <c r="AF151" s="81"/>
    </row>
    <row r="152" spans="1:32" x14ac:dyDescent="0.3">
      <c r="A152" s="100"/>
      <c r="B152" s="100"/>
      <c r="C152" s="100"/>
      <c r="D152" s="100"/>
      <c r="E152" s="100"/>
      <c r="F152" s="100"/>
      <c r="G152" s="100"/>
      <c r="H152" s="101"/>
      <c r="I152" s="100"/>
      <c r="J152" s="100"/>
      <c r="K152" s="101"/>
      <c r="L152" s="100"/>
      <c r="M152" s="100"/>
      <c r="N152" s="100"/>
      <c r="O152" s="100"/>
      <c r="P152" s="100"/>
      <c r="Q152" s="100"/>
      <c r="R152" s="100"/>
      <c r="S152" s="100"/>
      <c r="T152" s="100"/>
      <c r="U152" s="100"/>
      <c r="V152" s="100"/>
      <c r="W152" s="100"/>
      <c r="X152" s="100"/>
      <c r="Y152" s="100"/>
      <c r="Z152" s="100"/>
      <c r="AA152" s="100"/>
      <c r="AB152" s="100"/>
      <c r="AC152" s="100"/>
      <c r="AD152" s="100"/>
      <c r="AE152" s="100"/>
      <c r="AF152" s="81"/>
    </row>
    <row r="153" spans="1:32" x14ac:dyDescent="0.3">
      <c r="A153" s="100"/>
      <c r="B153" s="100"/>
      <c r="C153" s="100"/>
      <c r="D153" s="100"/>
      <c r="E153" s="100"/>
      <c r="F153" s="100"/>
      <c r="G153" s="100"/>
      <c r="H153" s="101"/>
      <c r="I153" s="100"/>
      <c r="J153" s="100"/>
      <c r="K153" s="101"/>
      <c r="L153" s="100"/>
      <c r="M153" s="100"/>
      <c r="N153" s="100"/>
      <c r="O153" s="100"/>
      <c r="P153" s="100"/>
      <c r="Q153" s="100"/>
      <c r="R153" s="100"/>
      <c r="S153" s="100"/>
      <c r="T153" s="100"/>
      <c r="U153" s="100"/>
      <c r="V153" s="100"/>
      <c r="W153" s="100"/>
      <c r="X153" s="100"/>
      <c r="Y153" s="100"/>
      <c r="Z153" s="100"/>
      <c r="AA153" s="100"/>
      <c r="AB153" s="100"/>
      <c r="AC153" s="100"/>
      <c r="AD153" s="100"/>
      <c r="AE153" s="100"/>
      <c r="AF153" s="81"/>
    </row>
    <row r="154" spans="1:32" x14ac:dyDescent="0.3">
      <c r="A154" s="100"/>
      <c r="B154" s="100"/>
      <c r="C154" s="100"/>
      <c r="D154" s="100"/>
      <c r="E154" s="100"/>
      <c r="F154" s="100"/>
      <c r="G154" s="100"/>
      <c r="H154" s="101"/>
      <c r="I154" s="100"/>
      <c r="J154" s="100"/>
      <c r="K154" s="101"/>
      <c r="L154" s="100"/>
      <c r="M154" s="100"/>
      <c r="N154" s="100"/>
      <c r="O154" s="100"/>
      <c r="P154" s="100"/>
      <c r="Q154" s="100"/>
      <c r="R154" s="100"/>
      <c r="S154" s="100"/>
      <c r="T154" s="100"/>
      <c r="U154" s="100"/>
      <c r="V154" s="100"/>
      <c r="W154" s="100"/>
      <c r="X154" s="100"/>
      <c r="Y154" s="100"/>
      <c r="Z154" s="100"/>
      <c r="AA154" s="100"/>
      <c r="AB154" s="100"/>
      <c r="AC154" s="100"/>
      <c r="AD154" s="100"/>
      <c r="AE154" s="100"/>
      <c r="AF154" s="81"/>
    </row>
    <row r="155" spans="1:32" x14ac:dyDescent="0.3">
      <c r="A155" s="100"/>
      <c r="B155" s="100"/>
      <c r="C155" s="100"/>
      <c r="D155" s="100"/>
      <c r="E155" s="100"/>
      <c r="F155" s="100"/>
      <c r="G155" s="100"/>
      <c r="H155" s="101"/>
      <c r="I155" s="100"/>
      <c r="J155" s="100"/>
      <c r="K155" s="101"/>
      <c r="L155" s="100"/>
      <c r="M155" s="100"/>
      <c r="N155" s="100"/>
      <c r="O155" s="100"/>
      <c r="P155" s="100"/>
      <c r="Q155" s="100"/>
      <c r="R155" s="100"/>
      <c r="S155" s="100"/>
      <c r="T155" s="100"/>
      <c r="U155" s="100"/>
      <c r="V155" s="100"/>
      <c r="W155" s="100"/>
      <c r="X155" s="100"/>
      <c r="Y155" s="100"/>
      <c r="Z155" s="100"/>
      <c r="AA155" s="100"/>
      <c r="AB155" s="100"/>
      <c r="AC155" s="100"/>
      <c r="AD155" s="100"/>
      <c r="AE155" s="100"/>
      <c r="AF155" s="81"/>
    </row>
    <row r="156" spans="1:32" x14ac:dyDescent="0.3">
      <c r="A156" s="100"/>
      <c r="B156" s="100"/>
      <c r="C156" s="100"/>
      <c r="D156" s="100"/>
      <c r="E156" s="100"/>
      <c r="F156" s="100"/>
      <c r="G156" s="100"/>
      <c r="H156" s="101"/>
      <c r="I156" s="100"/>
      <c r="J156" s="100"/>
      <c r="K156" s="101"/>
      <c r="L156" s="100"/>
      <c r="M156" s="100"/>
      <c r="N156" s="100"/>
      <c r="O156" s="100"/>
      <c r="P156" s="100"/>
      <c r="Q156" s="100"/>
      <c r="R156" s="100"/>
      <c r="S156" s="100"/>
      <c r="T156" s="100"/>
      <c r="U156" s="100"/>
      <c r="V156" s="100"/>
      <c r="W156" s="100"/>
      <c r="X156" s="100"/>
      <c r="Y156" s="100"/>
      <c r="Z156" s="100"/>
      <c r="AA156" s="100"/>
      <c r="AB156" s="100"/>
      <c r="AC156" s="100"/>
      <c r="AD156" s="100"/>
      <c r="AE156" s="100"/>
      <c r="AF156" s="81"/>
    </row>
    <row r="157" spans="1:32" x14ac:dyDescent="0.3">
      <c r="A157" s="100"/>
      <c r="B157" s="100"/>
      <c r="C157" s="100"/>
      <c r="D157" s="100"/>
      <c r="E157" s="100"/>
      <c r="F157" s="100"/>
      <c r="G157" s="100"/>
      <c r="H157" s="101"/>
      <c r="I157" s="100"/>
      <c r="J157" s="100"/>
      <c r="K157" s="101"/>
      <c r="L157" s="100"/>
      <c r="M157" s="100"/>
      <c r="N157" s="100"/>
      <c r="O157" s="100"/>
      <c r="P157" s="100"/>
      <c r="Q157" s="100"/>
      <c r="R157" s="100"/>
      <c r="S157" s="100"/>
      <c r="T157" s="100"/>
      <c r="U157" s="100"/>
      <c r="V157" s="100"/>
      <c r="W157" s="100"/>
      <c r="X157" s="100"/>
      <c r="Y157" s="100"/>
      <c r="Z157" s="100"/>
      <c r="AA157" s="100"/>
      <c r="AB157" s="100"/>
      <c r="AC157" s="100"/>
      <c r="AD157" s="100"/>
      <c r="AE157" s="100"/>
      <c r="AF157" s="81"/>
    </row>
    <row r="158" spans="1:32" x14ac:dyDescent="0.3">
      <c r="A158" s="100"/>
      <c r="B158" s="100"/>
      <c r="C158" s="100"/>
      <c r="D158" s="100"/>
      <c r="E158" s="100"/>
      <c r="F158" s="100"/>
      <c r="G158" s="100"/>
      <c r="H158" s="101"/>
      <c r="I158" s="100"/>
      <c r="J158" s="100"/>
      <c r="K158" s="101"/>
      <c r="L158" s="100"/>
      <c r="M158" s="100"/>
      <c r="N158" s="100"/>
      <c r="O158" s="100"/>
      <c r="P158" s="100"/>
      <c r="Q158" s="100"/>
      <c r="R158" s="100"/>
      <c r="S158" s="100"/>
      <c r="T158" s="100"/>
      <c r="U158" s="100"/>
      <c r="V158" s="100"/>
      <c r="W158" s="100"/>
      <c r="X158" s="100"/>
      <c r="Y158" s="100"/>
      <c r="Z158" s="100"/>
      <c r="AA158" s="100"/>
      <c r="AB158" s="100"/>
      <c r="AC158" s="100"/>
      <c r="AD158" s="100"/>
      <c r="AE158" s="100"/>
      <c r="AF158" s="81"/>
    </row>
    <row r="159" spans="1:32" x14ac:dyDescent="0.3">
      <c r="A159" s="100"/>
      <c r="B159" s="100"/>
      <c r="C159" s="100"/>
      <c r="D159" s="100"/>
      <c r="E159" s="100"/>
      <c r="F159" s="100"/>
      <c r="G159" s="100"/>
      <c r="H159" s="101"/>
      <c r="I159" s="100"/>
      <c r="J159" s="100"/>
      <c r="K159" s="101"/>
      <c r="L159" s="100"/>
      <c r="M159" s="100"/>
      <c r="N159" s="100"/>
      <c r="O159" s="100"/>
      <c r="P159" s="100"/>
      <c r="Q159" s="100"/>
      <c r="R159" s="100"/>
      <c r="S159" s="100"/>
      <c r="T159" s="100"/>
      <c r="U159" s="100"/>
      <c r="V159" s="100"/>
      <c r="W159" s="100"/>
      <c r="X159" s="100"/>
      <c r="Y159" s="100"/>
      <c r="Z159" s="100"/>
      <c r="AA159" s="100"/>
      <c r="AB159" s="100"/>
      <c r="AC159" s="100"/>
      <c r="AD159" s="100"/>
      <c r="AE159" s="100"/>
      <c r="AF159" s="81"/>
    </row>
    <row r="160" spans="1:32" x14ac:dyDescent="0.3">
      <c r="A160" s="100"/>
      <c r="B160" s="100"/>
      <c r="C160" s="100"/>
      <c r="D160" s="100"/>
      <c r="E160" s="100"/>
      <c r="F160" s="100"/>
      <c r="G160" s="100"/>
      <c r="H160" s="101"/>
      <c r="I160" s="100"/>
      <c r="J160" s="100"/>
      <c r="K160" s="101"/>
      <c r="L160" s="100"/>
      <c r="M160" s="100"/>
      <c r="N160" s="100"/>
      <c r="O160" s="100"/>
      <c r="P160" s="100"/>
      <c r="Q160" s="100"/>
      <c r="R160" s="100"/>
      <c r="S160" s="100"/>
      <c r="T160" s="100"/>
      <c r="U160" s="100"/>
      <c r="V160" s="100"/>
      <c r="W160" s="100"/>
      <c r="X160" s="100"/>
      <c r="Y160" s="100"/>
      <c r="Z160" s="100"/>
      <c r="AA160" s="100"/>
      <c r="AB160" s="100"/>
      <c r="AC160" s="100"/>
      <c r="AD160" s="100"/>
      <c r="AE160" s="100"/>
      <c r="AF160" s="81"/>
    </row>
    <row r="161" spans="1:32" x14ac:dyDescent="0.3">
      <c r="A161" s="100"/>
      <c r="B161" s="100"/>
      <c r="C161" s="100"/>
      <c r="D161" s="100"/>
      <c r="E161" s="100"/>
      <c r="F161" s="100"/>
      <c r="G161" s="100"/>
      <c r="H161" s="101"/>
      <c r="I161" s="100"/>
      <c r="J161" s="100"/>
      <c r="K161" s="101"/>
      <c r="L161" s="100"/>
      <c r="M161" s="100"/>
      <c r="N161" s="100"/>
      <c r="O161" s="100"/>
      <c r="P161" s="100"/>
      <c r="Q161" s="100"/>
      <c r="R161" s="100"/>
      <c r="S161" s="100"/>
      <c r="T161" s="100"/>
      <c r="U161" s="100"/>
      <c r="V161" s="100"/>
      <c r="W161" s="100"/>
      <c r="X161" s="100"/>
      <c r="Y161" s="100"/>
      <c r="Z161" s="100"/>
      <c r="AA161" s="100"/>
      <c r="AB161" s="100"/>
      <c r="AC161" s="100"/>
      <c r="AD161" s="100"/>
      <c r="AE161" s="100"/>
      <c r="AF161" s="100"/>
    </row>
    <row r="162" spans="1:32" x14ac:dyDescent="0.3">
      <c r="A162" s="100"/>
      <c r="B162" s="100"/>
      <c r="C162" s="100"/>
      <c r="D162" s="100"/>
      <c r="E162" s="100"/>
      <c r="F162" s="100"/>
      <c r="G162" s="100"/>
      <c r="H162" s="101"/>
      <c r="I162" s="100"/>
      <c r="J162" s="100"/>
      <c r="K162" s="101"/>
      <c r="L162" s="100"/>
      <c r="M162" s="100"/>
      <c r="N162" s="100"/>
      <c r="O162" s="100"/>
      <c r="P162" s="100"/>
      <c r="Q162" s="100"/>
      <c r="R162" s="100"/>
      <c r="S162" s="100"/>
      <c r="T162" s="100"/>
      <c r="U162" s="100"/>
      <c r="V162" s="100"/>
      <c r="W162" s="100"/>
      <c r="X162" s="100"/>
      <c r="Y162" s="100"/>
      <c r="Z162" s="100"/>
      <c r="AA162" s="100"/>
      <c r="AB162" s="100"/>
      <c r="AC162" s="100"/>
      <c r="AD162" s="100"/>
      <c r="AE162" s="100"/>
      <c r="AF162" s="100"/>
    </row>
    <row r="163" spans="1:32" x14ac:dyDescent="0.3">
      <c r="A163" s="100"/>
      <c r="B163" s="100"/>
      <c r="C163" s="100"/>
      <c r="D163" s="100"/>
      <c r="E163" s="100"/>
      <c r="F163" s="100"/>
      <c r="G163" s="100"/>
      <c r="H163" s="101"/>
      <c r="I163" s="100"/>
      <c r="J163" s="100"/>
      <c r="K163" s="101"/>
      <c r="L163" s="100"/>
      <c r="M163" s="100"/>
      <c r="N163" s="100"/>
      <c r="O163" s="100"/>
      <c r="P163" s="100"/>
      <c r="Q163" s="100"/>
      <c r="R163" s="100"/>
      <c r="S163" s="100"/>
      <c r="T163" s="100"/>
      <c r="U163" s="100"/>
      <c r="V163" s="100"/>
      <c r="W163" s="100"/>
      <c r="X163" s="100"/>
      <c r="Y163" s="100"/>
      <c r="Z163" s="100"/>
      <c r="AA163" s="100"/>
      <c r="AB163" s="100"/>
      <c r="AC163" s="100"/>
      <c r="AD163" s="100"/>
      <c r="AE163" s="100"/>
      <c r="AF163" s="100"/>
    </row>
    <row r="164" spans="1:32" x14ac:dyDescent="0.3">
      <c r="A164" s="100"/>
      <c r="B164" s="100"/>
      <c r="C164" s="100"/>
      <c r="D164" s="100"/>
      <c r="E164" s="100"/>
      <c r="F164" s="100"/>
      <c r="G164" s="100"/>
      <c r="H164" s="101"/>
      <c r="I164" s="100"/>
      <c r="J164" s="100"/>
      <c r="K164" s="101"/>
      <c r="L164" s="100"/>
      <c r="M164" s="100"/>
      <c r="N164" s="100"/>
      <c r="O164" s="100"/>
      <c r="P164" s="100"/>
      <c r="Q164" s="100"/>
      <c r="R164" s="100"/>
      <c r="S164" s="100"/>
      <c r="T164" s="100"/>
      <c r="U164" s="100"/>
      <c r="V164" s="100"/>
      <c r="W164" s="100"/>
      <c r="X164" s="100"/>
      <c r="Y164" s="100"/>
      <c r="Z164" s="100"/>
      <c r="AA164" s="100"/>
      <c r="AB164" s="100"/>
      <c r="AC164" s="100"/>
      <c r="AD164" s="100"/>
      <c r="AE164" s="100"/>
      <c r="AF164" s="100"/>
    </row>
    <row r="165" spans="1:32" x14ac:dyDescent="0.3">
      <c r="A165" s="100"/>
      <c r="B165" s="100"/>
      <c r="C165" s="100"/>
      <c r="D165" s="100"/>
      <c r="E165" s="100"/>
      <c r="F165" s="100"/>
      <c r="G165" s="100"/>
      <c r="H165" s="101"/>
      <c r="I165" s="100"/>
      <c r="J165" s="100"/>
      <c r="K165" s="101"/>
      <c r="L165" s="100"/>
      <c r="M165" s="100"/>
      <c r="N165" s="100"/>
      <c r="O165" s="100"/>
      <c r="P165" s="100"/>
      <c r="Q165" s="100"/>
      <c r="R165" s="100"/>
      <c r="S165" s="100"/>
      <c r="T165" s="100"/>
      <c r="U165" s="100"/>
      <c r="V165" s="100"/>
      <c r="W165" s="100"/>
      <c r="X165" s="100"/>
      <c r="Y165" s="100"/>
      <c r="Z165" s="100"/>
      <c r="AA165" s="100"/>
      <c r="AB165" s="100"/>
      <c r="AC165" s="100"/>
      <c r="AD165" s="100"/>
      <c r="AE165" s="100"/>
      <c r="AF165" s="100"/>
    </row>
    <row r="166" spans="1:32" x14ac:dyDescent="0.3">
      <c r="A166" s="100"/>
      <c r="B166" s="100"/>
      <c r="C166" s="100"/>
      <c r="D166" s="100"/>
      <c r="E166" s="100"/>
      <c r="F166" s="100"/>
      <c r="G166" s="100"/>
      <c r="H166" s="101"/>
      <c r="I166" s="100"/>
      <c r="J166" s="100"/>
      <c r="K166" s="101"/>
      <c r="L166" s="100"/>
      <c r="M166" s="100"/>
      <c r="N166" s="100"/>
      <c r="O166" s="100"/>
      <c r="P166" s="100"/>
      <c r="Q166" s="100"/>
      <c r="R166" s="100"/>
      <c r="S166" s="100"/>
      <c r="T166" s="100"/>
      <c r="U166" s="100"/>
      <c r="V166" s="100"/>
      <c r="W166" s="100"/>
      <c r="X166" s="100"/>
      <c r="Y166" s="100"/>
      <c r="Z166" s="100"/>
      <c r="AA166" s="100"/>
      <c r="AB166" s="100"/>
      <c r="AC166" s="100"/>
      <c r="AD166" s="100"/>
      <c r="AE166" s="100"/>
      <c r="AF166" s="100"/>
    </row>
    <row r="167" spans="1:32" x14ac:dyDescent="0.3">
      <c r="A167" s="100"/>
      <c r="B167" s="100"/>
      <c r="C167" s="100"/>
      <c r="D167" s="100"/>
      <c r="E167" s="100"/>
      <c r="F167" s="100"/>
      <c r="G167" s="100"/>
      <c r="H167" s="101"/>
      <c r="I167" s="100"/>
      <c r="J167" s="100"/>
      <c r="K167" s="101"/>
      <c r="L167" s="100"/>
      <c r="M167" s="100"/>
      <c r="N167" s="100"/>
      <c r="O167" s="100"/>
      <c r="P167" s="100"/>
      <c r="Q167" s="100"/>
      <c r="R167" s="100"/>
      <c r="S167" s="100"/>
      <c r="T167" s="100"/>
      <c r="U167" s="100"/>
      <c r="V167" s="100"/>
      <c r="W167" s="100"/>
      <c r="X167" s="100"/>
      <c r="Y167" s="100"/>
      <c r="Z167" s="100"/>
      <c r="AA167" s="100"/>
      <c r="AB167" s="100"/>
      <c r="AC167" s="100"/>
      <c r="AD167" s="100"/>
      <c r="AE167" s="100"/>
      <c r="AF167" s="100"/>
    </row>
    <row r="168" spans="1:32" x14ac:dyDescent="0.3">
      <c r="A168" s="100"/>
      <c r="B168" s="100"/>
      <c r="C168" s="100"/>
      <c r="D168" s="100"/>
      <c r="E168" s="100"/>
      <c r="F168" s="100"/>
      <c r="G168" s="100"/>
      <c r="H168" s="101"/>
      <c r="I168" s="100"/>
      <c r="J168" s="100"/>
      <c r="K168" s="101"/>
      <c r="L168" s="100"/>
      <c r="M168" s="100"/>
      <c r="N168" s="100"/>
      <c r="O168" s="100"/>
      <c r="P168" s="100"/>
      <c r="Q168" s="100"/>
      <c r="R168" s="100"/>
      <c r="S168" s="100"/>
      <c r="T168" s="100"/>
      <c r="U168" s="100"/>
      <c r="V168" s="100"/>
      <c r="W168" s="100"/>
      <c r="X168" s="100"/>
      <c r="Y168" s="100"/>
      <c r="Z168" s="100"/>
      <c r="AA168" s="100"/>
      <c r="AB168" s="100"/>
      <c r="AC168" s="100"/>
      <c r="AD168" s="100"/>
      <c r="AE168" s="100"/>
      <c r="AF168" s="100"/>
    </row>
    <row r="169" spans="1:32" x14ac:dyDescent="0.3">
      <c r="A169" s="100"/>
      <c r="B169" s="100"/>
      <c r="C169" s="100"/>
      <c r="D169" s="100"/>
      <c r="E169" s="100"/>
      <c r="F169" s="100"/>
      <c r="G169" s="100"/>
      <c r="H169" s="101"/>
      <c r="I169" s="100"/>
      <c r="J169" s="100"/>
      <c r="K169" s="101"/>
      <c r="L169" s="100"/>
      <c r="M169" s="100"/>
      <c r="N169" s="100"/>
      <c r="O169" s="100"/>
      <c r="P169" s="100"/>
      <c r="Q169" s="100"/>
      <c r="R169" s="100"/>
      <c r="S169" s="100"/>
      <c r="T169" s="100"/>
      <c r="U169" s="100"/>
      <c r="V169" s="100"/>
      <c r="W169" s="100"/>
      <c r="X169" s="100"/>
      <c r="Y169" s="100"/>
      <c r="Z169" s="100"/>
      <c r="AA169" s="100"/>
      <c r="AB169" s="100"/>
      <c r="AC169" s="100"/>
      <c r="AD169" s="100"/>
      <c r="AE169" s="100"/>
      <c r="AF169" s="100"/>
    </row>
    <row r="170" spans="1:32" x14ac:dyDescent="0.3">
      <c r="A170" s="100"/>
      <c r="B170" s="100"/>
      <c r="C170" s="100"/>
      <c r="D170" s="100"/>
      <c r="E170" s="100"/>
      <c r="F170" s="100"/>
      <c r="G170" s="100"/>
      <c r="H170" s="101"/>
      <c r="I170" s="100"/>
      <c r="J170" s="100"/>
      <c r="K170" s="101"/>
      <c r="L170" s="100"/>
      <c r="M170" s="100"/>
      <c r="N170" s="100"/>
      <c r="O170" s="100"/>
      <c r="P170" s="100"/>
      <c r="Q170" s="100"/>
      <c r="R170" s="100"/>
      <c r="S170" s="100"/>
      <c r="T170" s="100"/>
      <c r="U170" s="100"/>
      <c r="V170" s="100"/>
      <c r="W170" s="100"/>
      <c r="X170" s="100"/>
      <c r="Y170" s="100"/>
      <c r="Z170" s="100"/>
      <c r="AA170" s="100"/>
      <c r="AB170" s="100"/>
      <c r="AC170" s="100"/>
      <c r="AD170" s="100"/>
      <c r="AE170" s="100"/>
      <c r="AF170" s="100"/>
    </row>
    <row r="171" spans="1:32" x14ac:dyDescent="0.3">
      <c r="A171" s="81"/>
      <c r="B171" s="81"/>
      <c r="C171" s="81"/>
      <c r="D171" s="81"/>
      <c r="E171" s="81"/>
      <c r="F171" s="81"/>
      <c r="G171" s="81"/>
      <c r="H171" s="82"/>
      <c r="I171" s="81"/>
      <c r="J171" s="81"/>
      <c r="K171" s="82"/>
      <c r="L171" s="81"/>
      <c r="M171" s="81"/>
      <c r="N171" s="81"/>
      <c r="O171" s="81"/>
      <c r="P171" s="81"/>
      <c r="Q171" s="81"/>
      <c r="R171" s="81"/>
      <c r="S171" s="81"/>
      <c r="T171" s="81"/>
      <c r="U171" s="81"/>
      <c r="V171" s="81"/>
      <c r="W171" s="81"/>
      <c r="X171" s="81"/>
      <c r="Y171" s="81"/>
      <c r="Z171" s="81"/>
      <c r="AA171" s="81"/>
      <c r="AB171" s="81"/>
      <c r="AC171" s="81"/>
      <c r="AD171" s="81"/>
      <c r="AE171" s="81"/>
      <c r="AF171" s="81"/>
    </row>
    <row r="172" spans="1:32" x14ac:dyDescent="0.3">
      <c r="A172" s="81"/>
      <c r="B172" s="81"/>
      <c r="C172" s="81"/>
      <c r="D172" s="81"/>
      <c r="E172" s="81"/>
      <c r="F172" s="81"/>
      <c r="G172" s="81"/>
      <c r="H172" s="82"/>
      <c r="I172" s="81"/>
      <c r="J172" s="81"/>
      <c r="K172" s="82"/>
      <c r="L172" s="81"/>
      <c r="M172" s="81"/>
      <c r="N172" s="81"/>
      <c r="O172" s="81"/>
      <c r="P172" s="81"/>
      <c r="Q172" s="81"/>
      <c r="R172" s="81"/>
      <c r="S172" s="81"/>
      <c r="T172" s="81"/>
      <c r="U172" s="81"/>
      <c r="V172" s="81"/>
      <c r="W172" s="81"/>
      <c r="X172" s="81"/>
      <c r="Y172" s="81"/>
      <c r="Z172" s="81"/>
      <c r="AA172" s="81"/>
      <c r="AB172" s="81"/>
      <c r="AC172" s="81"/>
      <c r="AD172" s="81"/>
      <c r="AE172" s="81"/>
      <c r="AF172" s="81"/>
    </row>
    <row r="173" spans="1:32" x14ac:dyDescent="0.3">
      <c r="A173" s="81"/>
      <c r="B173" s="81"/>
      <c r="C173" s="81"/>
      <c r="D173" s="81"/>
      <c r="E173" s="81"/>
      <c r="F173" s="81"/>
      <c r="G173" s="81"/>
      <c r="H173" s="82"/>
      <c r="I173" s="81"/>
      <c r="J173" s="81"/>
      <c r="K173" s="82"/>
      <c r="L173" s="81"/>
      <c r="M173" s="81"/>
      <c r="N173" s="81"/>
      <c r="O173" s="81"/>
      <c r="P173" s="81"/>
      <c r="Q173" s="81"/>
      <c r="R173" s="81"/>
      <c r="S173" s="81"/>
      <c r="T173" s="81"/>
      <c r="U173" s="81"/>
      <c r="V173" s="81"/>
      <c r="W173" s="81"/>
      <c r="X173" s="81"/>
      <c r="Y173" s="81"/>
      <c r="Z173" s="81"/>
      <c r="AA173" s="81"/>
      <c r="AB173" s="81"/>
      <c r="AC173" s="81"/>
      <c r="AD173" s="81"/>
      <c r="AE173" s="81"/>
      <c r="AF173" s="81"/>
    </row>
    <row r="174" spans="1:32" x14ac:dyDescent="0.3">
      <c r="A174" s="81"/>
      <c r="B174" s="81"/>
      <c r="C174" s="81"/>
      <c r="D174" s="81"/>
      <c r="E174" s="81"/>
      <c r="F174" s="81"/>
      <c r="G174" s="81"/>
      <c r="H174" s="82"/>
      <c r="I174" s="81"/>
      <c r="J174" s="81"/>
      <c r="K174" s="82"/>
      <c r="L174" s="81"/>
      <c r="M174" s="81"/>
      <c r="N174" s="81"/>
      <c r="O174" s="81"/>
      <c r="P174" s="81"/>
      <c r="Q174" s="81"/>
      <c r="R174" s="81"/>
      <c r="S174" s="81"/>
      <c r="T174" s="81"/>
      <c r="U174" s="81"/>
      <c r="V174" s="81"/>
      <c r="W174" s="81"/>
      <c r="X174" s="81"/>
      <c r="Y174" s="81"/>
      <c r="Z174" s="81"/>
      <c r="AA174" s="81"/>
      <c r="AB174" s="81"/>
      <c r="AC174" s="81"/>
      <c r="AD174" s="81"/>
      <c r="AE174" s="81"/>
      <c r="AF174" s="81"/>
    </row>
    <row r="175" spans="1:32" x14ac:dyDescent="0.3">
      <c r="A175" s="81"/>
      <c r="B175" s="81"/>
      <c r="C175" s="81"/>
      <c r="D175" s="81"/>
      <c r="E175" s="81"/>
      <c r="F175" s="81"/>
      <c r="G175" s="81"/>
      <c r="H175" s="82"/>
      <c r="I175" s="81"/>
      <c r="J175" s="81"/>
      <c r="K175" s="82"/>
      <c r="L175" s="81"/>
      <c r="M175" s="81"/>
      <c r="N175" s="81"/>
      <c r="O175" s="81"/>
      <c r="P175" s="81"/>
      <c r="Q175" s="81"/>
      <c r="R175" s="81"/>
      <c r="S175" s="81"/>
      <c r="T175" s="81"/>
      <c r="U175" s="81"/>
      <c r="V175" s="81"/>
      <c r="W175" s="81"/>
      <c r="X175" s="81"/>
      <c r="Y175" s="81"/>
      <c r="Z175" s="81"/>
      <c r="AA175" s="81"/>
      <c r="AB175" s="81"/>
      <c r="AC175" s="81"/>
      <c r="AD175" s="81"/>
      <c r="AE175" s="81"/>
      <c r="AF175" s="81"/>
    </row>
    <row r="176" spans="1:32" x14ac:dyDescent="0.3">
      <c r="A176" s="81"/>
      <c r="B176" s="81"/>
      <c r="C176" s="81"/>
      <c r="D176" s="81"/>
      <c r="E176" s="81"/>
      <c r="F176" s="81"/>
      <c r="G176" s="81"/>
      <c r="H176" s="82"/>
      <c r="I176" s="81"/>
      <c r="J176" s="81"/>
      <c r="K176" s="82"/>
      <c r="L176" s="81"/>
      <c r="M176" s="81"/>
      <c r="N176" s="81"/>
      <c r="O176" s="81"/>
      <c r="P176" s="81"/>
      <c r="Q176" s="81"/>
      <c r="R176" s="81"/>
      <c r="S176" s="81"/>
      <c r="T176" s="81"/>
      <c r="U176" s="81"/>
      <c r="V176" s="81"/>
      <c r="W176" s="81"/>
      <c r="X176" s="81"/>
      <c r="Y176" s="81"/>
      <c r="Z176" s="81"/>
      <c r="AA176" s="81"/>
      <c r="AB176" s="81"/>
      <c r="AC176" s="81"/>
      <c r="AD176" s="81"/>
      <c r="AE176" s="81"/>
      <c r="AF176" s="81"/>
    </row>
    <row r="177" spans="1:32" x14ac:dyDescent="0.3">
      <c r="A177" s="81"/>
      <c r="B177" s="81"/>
      <c r="C177" s="81"/>
      <c r="D177" s="81"/>
      <c r="E177" s="81"/>
      <c r="F177" s="81"/>
      <c r="G177" s="81"/>
      <c r="H177" s="82"/>
      <c r="I177" s="81"/>
      <c r="J177" s="81"/>
      <c r="K177" s="82"/>
      <c r="L177" s="81"/>
      <c r="M177" s="81"/>
      <c r="N177" s="81"/>
      <c r="O177" s="81"/>
      <c r="P177" s="81"/>
      <c r="Q177" s="81"/>
      <c r="R177" s="81"/>
      <c r="S177" s="81"/>
      <c r="T177" s="81"/>
      <c r="U177" s="81"/>
      <c r="V177" s="81"/>
      <c r="W177" s="81"/>
      <c r="X177" s="81"/>
      <c r="Y177" s="81"/>
      <c r="Z177" s="81"/>
      <c r="AA177" s="81"/>
      <c r="AB177" s="81"/>
      <c r="AC177" s="81"/>
      <c r="AD177" s="81"/>
      <c r="AE177" s="81"/>
      <c r="AF177" s="81"/>
    </row>
    <row r="178" spans="1:32" x14ac:dyDescent="0.3">
      <c r="A178" s="81"/>
      <c r="B178" s="81"/>
      <c r="C178" s="81"/>
      <c r="D178" s="81"/>
      <c r="E178" s="81"/>
      <c r="F178" s="81"/>
      <c r="G178" s="81"/>
      <c r="H178" s="82"/>
      <c r="I178" s="81"/>
      <c r="J178" s="81"/>
      <c r="K178" s="82"/>
      <c r="L178" s="81"/>
      <c r="M178" s="81"/>
      <c r="N178" s="81"/>
      <c r="O178" s="81"/>
      <c r="P178" s="81"/>
      <c r="Q178" s="81"/>
      <c r="R178" s="81"/>
      <c r="S178" s="81"/>
      <c r="T178" s="81"/>
      <c r="U178" s="81"/>
      <c r="V178" s="81"/>
      <c r="W178" s="81"/>
      <c r="X178" s="81"/>
      <c r="Y178" s="81"/>
      <c r="Z178" s="81"/>
      <c r="AA178" s="81"/>
      <c r="AB178" s="81"/>
      <c r="AC178" s="81"/>
      <c r="AD178" s="81"/>
      <c r="AE178" s="81"/>
      <c r="AF178" s="81"/>
    </row>
    <row r="179" spans="1:32" x14ac:dyDescent="0.3">
      <c r="A179" s="81"/>
      <c r="B179" s="81"/>
      <c r="C179" s="81"/>
      <c r="D179" s="81"/>
      <c r="E179" s="81"/>
      <c r="F179" s="81"/>
      <c r="G179" s="81"/>
      <c r="H179" s="82"/>
      <c r="I179" s="81"/>
      <c r="J179" s="81"/>
      <c r="K179" s="82"/>
      <c r="L179" s="81"/>
      <c r="M179" s="81"/>
      <c r="N179" s="81"/>
      <c r="O179" s="81"/>
      <c r="P179" s="81"/>
      <c r="Q179" s="81"/>
      <c r="R179" s="81"/>
      <c r="S179" s="81"/>
      <c r="T179" s="81"/>
      <c r="U179" s="81"/>
      <c r="V179" s="81"/>
      <c r="W179" s="81"/>
      <c r="X179" s="81"/>
      <c r="Y179" s="81"/>
      <c r="Z179" s="81"/>
      <c r="AA179" s="81"/>
      <c r="AB179" s="81"/>
      <c r="AC179" s="81"/>
      <c r="AD179" s="81"/>
      <c r="AE179" s="81"/>
      <c r="AF179" s="81"/>
    </row>
    <row r="180" spans="1:32" x14ac:dyDescent="0.3">
      <c r="A180" s="81"/>
      <c r="B180" s="81"/>
      <c r="C180" s="81"/>
      <c r="D180" s="81"/>
      <c r="E180" s="81"/>
      <c r="F180" s="81"/>
      <c r="G180" s="81"/>
      <c r="H180" s="82"/>
      <c r="I180" s="81"/>
      <c r="J180" s="81"/>
      <c r="K180" s="82"/>
      <c r="L180" s="81"/>
      <c r="M180" s="81"/>
      <c r="N180" s="81"/>
      <c r="O180" s="81"/>
      <c r="P180" s="81"/>
      <c r="Q180" s="81"/>
      <c r="R180" s="81"/>
      <c r="S180" s="81"/>
      <c r="T180" s="81"/>
      <c r="U180" s="81"/>
      <c r="V180" s="81"/>
      <c r="W180" s="81"/>
      <c r="X180" s="81"/>
      <c r="Y180" s="81"/>
      <c r="Z180" s="81"/>
      <c r="AA180" s="81"/>
      <c r="AB180" s="81"/>
      <c r="AC180" s="81"/>
      <c r="AD180" s="81"/>
      <c r="AE180" s="81"/>
      <c r="AF180" s="81"/>
    </row>
    <row r="181" spans="1:32" x14ac:dyDescent="0.3">
      <c r="A181" s="81"/>
      <c r="B181" s="81"/>
      <c r="C181" s="81"/>
      <c r="D181" s="81"/>
      <c r="E181" s="81"/>
      <c r="F181" s="81"/>
      <c r="G181" s="81"/>
      <c r="H181" s="82"/>
      <c r="I181" s="81"/>
      <c r="J181" s="81"/>
      <c r="K181" s="82"/>
      <c r="L181" s="81"/>
      <c r="M181" s="81"/>
      <c r="N181" s="81"/>
      <c r="O181" s="81"/>
      <c r="P181" s="81"/>
      <c r="Q181" s="81"/>
      <c r="R181" s="81"/>
      <c r="S181" s="81"/>
      <c r="T181" s="81"/>
      <c r="U181" s="81"/>
      <c r="V181" s="81"/>
      <c r="W181" s="81"/>
      <c r="X181" s="81"/>
      <c r="Y181" s="81"/>
      <c r="Z181" s="81"/>
      <c r="AA181" s="81"/>
      <c r="AB181" s="81"/>
      <c r="AC181" s="81"/>
      <c r="AD181" s="81"/>
      <c r="AE181" s="81"/>
      <c r="AF181" s="81"/>
    </row>
    <row r="182" spans="1:32" x14ac:dyDescent="0.3">
      <c r="A182" s="81"/>
      <c r="B182" s="81"/>
      <c r="C182" s="81"/>
      <c r="D182" s="81"/>
      <c r="E182" s="81"/>
      <c r="F182" s="81"/>
      <c r="G182" s="81"/>
      <c r="H182" s="82"/>
      <c r="I182" s="81"/>
      <c r="J182" s="81"/>
      <c r="K182" s="82"/>
      <c r="L182" s="81"/>
      <c r="M182" s="81"/>
      <c r="N182" s="81"/>
      <c r="O182" s="81"/>
      <c r="P182" s="81"/>
      <c r="Q182" s="81"/>
      <c r="R182" s="81"/>
      <c r="S182" s="81"/>
      <c r="T182" s="81"/>
      <c r="U182" s="81"/>
      <c r="V182" s="81"/>
      <c r="W182" s="81"/>
      <c r="X182" s="81"/>
      <c r="Y182" s="81"/>
      <c r="Z182" s="81"/>
      <c r="AA182" s="81"/>
      <c r="AB182" s="81"/>
      <c r="AC182" s="81"/>
      <c r="AD182" s="81"/>
      <c r="AE182" s="81"/>
      <c r="AF182" s="81"/>
    </row>
    <row r="183" spans="1:32" x14ac:dyDescent="0.3">
      <c r="A183" s="81"/>
      <c r="B183" s="81"/>
      <c r="C183" s="81"/>
      <c r="D183" s="81"/>
      <c r="E183" s="81"/>
      <c r="F183" s="81"/>
      <c r="G183" s="81"/>
      <c r="H183" s="82"/>
      <c r="I183" s="81"/>
      <c r="J183" s="81"/>
      <c r="K183" s="82"/>
      <c r="L183" s="81"/>
      <c r="M183" s="81"/>
      <c r="N183" s="81"/>
      <c r="O183" s="81"/>
      <c r="P183" s="81"/>
      <c r="Q183" s="81"/>
      <c r="R183" s="81"/>
      <c r="S183" s="81"/>
      <c r="T183" s="81"/>
      <c r="U183" s="81"/>
      <c r="V183" s="81"/>
      <c r="W183" s="81"/>
      <c r="X183" s="81"/>
      <c r="Y183" s="81"/>
      <c r="Z183" s="81"/>
      <c r="AA183" s="81"/>
      <c r="AB183" s="81"/>
      <c r="AC183" s="81"/>
      <c r="AD183" s="81"/>
      <c r="AE183" s="81"/>
      <c r="AF183" s="81"/>
    </row>
    <row r="184" spans="1:32" x14ac:dyDescent="0.3">
      <c r="A184" s="81"/>
      <c r="B184" s="81"/>
      <c r="C184" s="81"/>
      <c r="D184" s="81"/>
      <c r="E184" s="81"/>
      <c r="F184" s="81"/>
      <c r="G184" s="81"/>
      <c r="H184" s="82"/>
      <c r="I184" s="81"/>
      <c r="J184" s="81"/>
      <c r="K184" s="82"/>
      <c r="L184" s="81"/>
      <c r="M184" s="81"/>
      <c r="N184" s="81"/>
      <c r="O184" s="81"/>
      <c r="P184" s="81"/>
      <c r="Q184" s="81"/>
      <c r="R184" s="81"/>
      <c r="S184" s="81"/>
      <c r="T184" s="81"/>
      <c r="U184" s="81"/>
      <c r="V184" s="81"/>
      <c r="W184" s="81"/>
      <c r="X184" s="81"/>
      <c r="Y184" s="81"/>
      <c r="Z184" s="81"/>
      <c r="AA184" s="81"/>
      <c r="AB184" s="81"/>
      <c r="AC184" s="81"/>
      <c r="AD184" s="81"/>
      <c r="AE184" s="81"/>
      <c r="AF184" s="81"/>
    </row>
    <row r="185" spans="1:32" x14ac:dyDescent="0.3">
      <c r="A185" s="81"/>
      <c r="B185" s="81"/>
      <c r="C185" s="81"/>
      <c r="D185" s="81"/>
      <c r="E185" s="81"/>
      <c r="F185" s="81"/>
      <c r="G185" s="81"/>
      <c r="H185" s="82"/>
      <c r="I185" s="81"/>
      <c r="J185" s="81"/>
      <c r="K185" s="82"/>
      <c r="L185" s="81"/>
      <c r="M185" s="81"/>
      <c r="N185" s="81"/>
      <c r="O185" s="81"/>
      <c r="P185" s="81"/>
      <c r="Q185" s="81"/>
      <c r="R185" s="81"/>
      <c r="S185" s="81"/>
      <c r="T185" s="81"/>
      <c r="U185" s="81"/>
      <c r="V185" s="81"/>
      <c r="W185" s="81"/>
      <c r="X185" s="81"/>
      <c r="Y185" s="81"/>
      <c r="Z185" s="81"/>
      <c r="AA185" s="81"/>
      <c r="AB185" s="81"/>
      <c r="AC185" s="81"/>
      <c r="AD185" s="81"/>
      <c r="AE185" s="81"/>
      <c r="AF185" s="81"/>
    </row>
    <row r="186" spans="1:32" x14ac:dyDescent="0.3">
      <c r="A186" s="81"/>
      <c r="B186" s="81"/>
      <c r="C186" s="81"/>
      <c r="D186" s="81"/>
      <c r="E186" s="81"/>
      <c r="F186" s="81"/>
      <c r="G186" s="81"/>
      <c r="H186" s="82"/>
      <c r="I186" s="81"/>
      <c r="J186" s="81"/>
      <c r="K186" s="82"/>
      <c r="L186" s="81"/>
      <c r="M186" s="81"/>
      <c r="N186" s="81"/>
      <c r="O186" s="81"/>
      <c r="P186" s="81"/>
      <c r="Q186" s="81"/>
      <c r="R186" s="81"/>
      <c r="S186" s="81"/>
      <c r="T186" s="81"/>
      <c r="U186" s="81"/>
      <c r="V186" s="81"/>
      <c r="W186" s="81"/>
      <c r="X186" s="81"/>
      <c r="Y186" s="81"/>
      <c r="Z186" s="81"/>
      <c r="AA186" s="81"/>
      <c r="AB186" s="81"/>
      <c r="AC186" s="81"/>
      <c r="AD186" s="81"/>
      <c r="AE186" s="81"/>
      <c r="AF186" s="81"/>
    </row>
    <row r="187" spans="1:32" x14ac:dyDescent="0.3">
      <c r="A187" s="81"/>
      <c r="B187" s="81"/>
      <c r="C187" s="81"/>
      <c r="D187" s="81"/>
      <c r="E187" s="81"/>
      <c r="F187" s="81"/>
      <c r="G187" s="81"/>
      <c r="H187" s="82"/>
      <c r="I187" s="81"/>
      <c r="J187" s="81"/>
      <c r="K187" s="82"/>
      <c r="L187" s="81"/>
      <c r="M187" s="81"/>
      <c r="N187" s="81"/>
      <c r="O187" s="81"/>
      <c r="P187" s="81"/>
      <c r="Q187" s="81"/>
      <c r="R187" s="81"/>
      <c r="S187" s="81"/>
      <c r="T187" s="81"/>
      <c r="U187" s="81"/>
      <c r="V187" s="81"/>
      <c r="W187" s="81"/>
      <c r="X187" s="81"/>
      <c r="Y187" s="81"/>
      <c r="Z187" s="81"/>
      <c r="AA187" s="81"/>
      <c r="AB187" s="81"/>
      <c r="AC187" s="81"/>
      <c r="AD187" s="81"/>
      <c r="AE187" s="81"/>
      <c r="AF187" s="81"/>
    </row>
    <row r="188" spans="1:32" x14ac:dyDescent="0.3">
      <c r="A188" s="81"/>
      <c r="B188" s="81"/>
      <c r="C188" s="81"/>
      <c r="D188" s="81"/>
      <c r="E188" s="81"/>
      <c r="F188" s="81"/>
      <c r="G188" s="81"/>
      <c r="H188" s="82"/>
      <c r="I188" s="81"/>
      <c r="J188" s="81"/>
      <c r="K188" s="82"/>
      <c r="L188" s="81"/>
      <c r="M188" s="81"/>
      <c r="N188" s="81"/>
      <c r="O188" s="81"/>
      <c r="P188" s="81"/>
      <c r="Q188" s="81"/>
      <c r="R188" s="81"/>
      <c r="S188" s="81"/>
      <c r="T188" s="81"/>
      <c r="U188" s="81"/>
      <c r="V188" s="81"/>
      <c r="W188" s="81"/>
      <c r="X188" s="81"/>
      <c r="Y188" s="81"/>
      <c r="Z188" s="81"/>
      <c r="AA188" s="81"/>
      <c r="AB188" s="81"/>
      <c r="AC188" s="81"/>
      <c r="AD188" s="81"/>
      <c r="AE188" s="81"/>
      <c r="AF188" s="81"/>
    </row>
    <row r="189" spans="1:32" x14ac:dyDescent="0.3">
      <c r="A189" s="81"/>
      <c r="B189" s="81"/>
      <c r="C189" s="81"/>
      <c r="D189" s="81"/>
      <c r="E189" s="81"/>
      <c r="F189" s="81"/>
      <c r="G189" s="81"/>
      <c r="H189" s="82"/>
      <c r="I189" s="81"/>
      <c r="J189" s="81"/>
      <c r="K189" s="82"/>
      <c r="L189" s="81"/>
      <c r="M189" s="81"/>
      <c r="N189" s="81"/>
      <c r="O189" s="81"/>
      <c r="P189" s="81"/>
      <c r="Q189" s="81"/>
      <c r="R189" s="81"/>
      <c r="S189" s="81"/>
      <c r="T189" s="81"/>
      <c r="U189" s="81"/>
      <c r="V189" s="81"/>
      <c r="W189" s="81"/>
      <c r="X189" s="81"/>
      <c r="Y189" s="81"/>
      <c r="Z189" s="81"/>
      <c r="AA189" s="81"/>
      <c r="AB189" s="81"/>
      <c r="AC189" s="81"/>
      <c r="AD189" s="81"/>
      <c r="AE189" s="81"/>
      <c r="AF189" s="81"/>
    </row>
    <row r="190" spans="1:32" x14ac:dyDescent="0.3">
      <c r="A190" s="81"/>
      <c r="B190" s="81"/>
      <c r="C190" s="81"/>
      <c r="D190" s="81"/>
      <c r="E190" s="81"/>
      <c r="F190" s="81"/>
      <c r="G190" s="81"/>
      <c r="H190" s="82"/>
      <c r="I190" s="81"/>
      <c r="J190" s="81"/>
      <c r="K190" s="82"/>
      <c r="L190" s="81"/>
      <c r="M190" s="81"/>
      <c r="N190" s="81"/>
      <c r="O190" s="81"/>
      <c r="P190" s="81"/>
      <c r="Q190" s="81"/>
      <c r="R190" s="81"/>
      <c r="S190" s="81"/>
      <c r="T190" s="81"/>
      <c r="U190" s="81"/>
      <c r="V190" s="81"/>
      <c r="W190" s="81"/>
      <c r="X190" s="81"/>
      <c r="Y190" s="81"/>
      <c r="Z190" s="81"/>
      <c r="AA190" s="81"/>
      <c r="AB190" s="81"/>
      <c r="AC190" s="81"/>
      <c r="AD190" s="81"/>
      <c r="AE190" s="81"/>
      <c r="AF190" s="81"/>
    </row>
    <row r="191" spans="1:32" x14ac:dyDescent="0.3">
      <c r="A191" s="81"/>
      <c r="B191" s="81"/>
      <c r="C191" s="81"/>
      <c r="D191" s="81"/>
      <c r="E191" s="81"/>
      <c r="F191" s="81"/>
      <c r="G191" s="81"/>
      <c r="H191" s="82"/>
      <c r="I191" s="81"/>
      <c r="J191" s="81"/>
      <c r="K191" s="82"/>
      <c r="L191" s="81"/>
      <c r="M191" s="81"/>
      <c r="N191" s="81"/>
      <c r="O191" s="81"/>
      <c r="P191" s="81"/>
      <c r="Q191" s="81"/>
      <c r="R191" s="81"/>
      <c r="S191" s="81"/>
      <c r="T191" s="81"/>
      <c r="U191" s="81"/>
      <c r="V191" s="81"/>
      <c r="W191" s="81"/>
      <c r="X191" s="81"/>
      <c r="Y191" s="81"/>
      <c r="Z191" s="81"/>
      <c r="AA191" s="81"/>
      <c r="AB191" s="81"/>
      <c r="AC191" s="81"/>
      <c r="AD191" s="81"/>
      <c r="AE191" s="81"/>
      <c r="AF191" s="81"/>
    </row>
    <row r="192" spans="1:32" x14ac:dyDescent="0.3">
      <c r="A192" s="81"/>
      <c r="B192" s="81"/>
      <c r="C192" s="81"/>
      <c r="D192" s="81"/>
      <c r="E192" s="81"/>
      <c r="F192" s="81"/>
      <c r="G192" s="81"/>
      <c r="H192" s="82"/>
      <c r="I192" s="81"/>
      <c r="J192" s="81"/>
      <c r="K192" s="82"/>
      <c r="L192" s="81"/>
      <c r="M192" s="81"/>
      <c r="N192" s="81"/>
      <c r="O192" s="81"/>
      <c r="P192" s="81"/>
      <c r="Q192" s="81"/>
      <c r="R192" s="81"/>
      <c r="S192" s="81"/>
      <c r="T192" s="81"/>
      <c r="U192" s="81"/>
      <c r="V192" s="81"/>
      <c r="W192" s="81"/>
      <c r="X192" s="81"/>
      <c r="Y192" s="81"/>
      <c r="Z192" s="81"/>
      <c r="AA192" s="81"/>
      <c r="AB192" s="81"/>
      <c r="AC192" s="81"/>
      <c r="AD192" s="81"/>
      <c r="AE192" s="81"/>
      <c r="AF192" s="81"/>
    </row>
    <row r="193" spans="1:32" x14ac:dyDescent="0.3">
      <c r="A193" s="81"/>
      <c r="B193" s="81"/>
      <c r="C193" s="81"/>
      <c r="D193" s="81"/>
      <c r="E193" s="81"/>
      <c r="F193" s="81"/>
      <c r="G193" s="81"/>
      <c r="H193" s="82"/>
      <c r="I193" s="81"/>
      <c r="J193" s="81"/>
      <c r="K193" s="82"/>
      <c r="L193" s="81"/>
      <c r="M193" s="81"/>
      <c r="N193" s="81"/>
      <c r="O193" s="81"/>
      <c r="P193" s="81"/>
      <c r="Q193" s="81"/>
      <c r="R193" s="81"/>
      <c r="S193" s="81"/>
      <c r="T193" s="81"/>
      <c r="U193" s="81"/>
      <c r="V193" s="81"/>
      <c r="W193" s="81"/>
      <c r="X193" s="81"/>
      <c r="Y193" s="81"/>
      <c r="Z193" s="81"/>
      <c r="AA193" s="81"/>
      <c r="AB193" s="81"/>
      <c r="AC193" s="81"/>
      <c r="AD193" s="81"/>
      <c r="AE193" s="81"/>
      <c r="AF193" s="81"/>
    </row>
    <row r="194" spans="1:32" x14ac:dyDescent="0.3">
      <c r="A194" s="81"/>
      <c r="B194" s="81"/>
      <c r="C194" s="81"/>
      <c r="D194" s="81"/>
      <c r="E194" s="81"/>
      <c r="F194" s="81"/>
      <c r="G194" s="81"/>
      <c r="H194" s="82"/>
      <c r="I194" s="81"/>
      <c r="J194" s="81"/>
      <c r="K194" s="82"/>
      <c r="L194" s="81"/>
      <c r="M194" s="81"/>
      <c r="N194" s="81"/>
      <c r="O194" s="81"/>
      <c r="P194" s="81"/>
      <c r="Q194" s="81"/>
      <c r="R194" s="81"/>
      <c r="S194" s="81"/>
      <c r="T194" s="81"/>
      <c r="U194" s="81"/>
      <c r="V194" s="81"/>
      <c r="W194" s="81"/>
      <c r="X194" s="81"/>
      <c r="Y194" s="81"/>
      <c r="Z194" s="81"/>
      <c r="AA194" s="81"/>
      <c r="AB194" s="81"/>
      <c r="AC194" s="81"/>
      <c r="AD194" s="81"/>
      <c r="AE194" s="81"/>
      <c r="AF194" s="81"/>
    </row>
    <row r="195" spans="1:32" x14ac:dyDescent="0.3">
      <c r="A195" s="81"/>
      <c r="B195" s="81"/>
      <c r="C195" s="81"/>
      <c r="D195" s="81"/>
      <c r="E195" s="81"/>
      <c r="F195" s="81"/>
      <c r="G195" s="81"/>
      <c r="H195" s="82"/>
      <c r="I195" s="81"/>
      <c r="J195" s="81"/>
      <c r="K195" s="82"/>
      <c r="L195" s="81"/>
      <c r="M195" s="81"/>
      <c r="N195" s="81"/>
      <c r="O195" s="81"/>
      <c r="P195" s="81"/>
      <c r="Q195" s="81"/>
      <c r="R195" s="81"/>
      <c r="S195" s="81"/>
      <c r="T195" s="81"/>
      <c r="U195" s="81"/>
      <c r="V195" s="81"/>
      <c r="W195" s="81"/>
      <c r="X195" s="81"/>
      <c r="Y195" s="81"/>
      <c r="Z195" s="81"/>
      <c r="AA195" s="81"/>
      <c r="AB195" s="81"/>
      <c r="AC195" s="81"/>
      <c r="AD195" s="81"/>
      <c r="AE195" s="81"/>
      <c r="AF195" s="81"/>
    </row>
    <row r="196" spans="1:32" x14ac:dyDescent="0.3">
      <c r="A196" s="81"/>
      <c r="B196" s="81"/>
      <c r="C196" s="81"/>
      <c r="D196" s="81"/>
      <c r="E196" s="81"/>
      <c r="F196" s="81"/>
      <c r="G196" s="81"/>
      <c r="H196" s="82"/>
      <c r="I196" s="81"/>
      <c r="J196" s="81"/>
      <c r="K196" s="82"/>
      <c r="L196" s="81"/>
      <c r="M196" s="81"/>
      <c r="N196" s="81"/>
      <c r="O196" s="81"/>
      <c r="P196" s="81"/>
      <c r="Q196" s="81"/>
      <c r="R196" s="81"/>
      <c r="S196" s="81"/>
      <c r="T196" s="81"/>
      <c r="U196" s="81"/>
      <c r="V196" s="81"/>
      <c r="W196" s="81"/>
      <c r="X196" s="81"/>
      <c r="Y196" s="81"/>
      <c r="Z196" s="81"/>
      <c r="AA196" s="81"/>
      <c r="AB196" s="81"/>
      <c r="AC196" s="81"/>
      <c r="AD196" s="81"/>
      <c r="AE196" s="81"/>
      <c r="AF196" s="81"/>
    </row>
    <row r="197" spans="1:32" x14ac:dyDescent="0.3">
      <c r="A197" s="81"/>
      <c r="B197" s="81"/>
      <c r="C197" s="81"/>
      <c r="D197" s="81"/>
      <c r="E197" s="81"/>
      <c r="F197" s="81"/>
      <c r="G197" s="81"/>
      <c r="H197" s="82"/>
      <c r="I197" s="81"/>
      <c r="J197" s="81"/>
      <c r="K197" s="82"/>
      <c r="L197" s="81"/>
      <c r="M197" s="81"/>
      <c r="N197" s="81"/>
      <c r="O197" s="81"/>
      <c r="P197" s="81"/>
      <c r="Q197" s="81"/>
      <c r="R197" s="81"/>
      <c r="S197" s="81"/>
      <c r="T197" s="81"/>
      <c r="U197" s="81"/>
      <c r="V197" s="81"/>
      <c r="W197" s="81"/>
      <c r="X197" s="81"/>
      <c r="Y197" s="81"/>
      <c r="Z197" s="81"/>
      <c r="AA197" s="81"/>
      <c r="AB197" s="81"/>
      <c r="AC197" s="81"/>
      <c r="AD197" s="81"/>
      <c r="AE197" s="81"/>
      <c r="AF197" s="81"/>
    </row>
    <row r="198" spans="1:32" x14ac:dyDescent="0.3">
      <c r="A198" s="81"/>
      <c r="B198" s="81"/>
      <c r="C198" s="81"/>
      <c r="D198" s="81"/>
      <c r="E198" s="81"/>
      <c r="F198" s="81"/>
      <c r="G198" s="81"/>
      <c r="H198" s="82"/>
      <c r="I198" s="81"/>
      <c r="J198" s="81"/>
      <c r="K198" s="82"/>
      <c r="L198" s="81"/>
      <c r="M198" s="81"/>
      <c r="N198" s="81"/>
      <c r="O198" s="81"/>
      <c r="P198" s="81"/>
      <c r="Q198" s="81"/>
      <c r="R198" s="81"/>
      <c r="S198" s="81"/>
      <c r="T198" s="81"/>
      <c r="U198" s="81"/>
      <c r="V198" s="81"/>
      <c r="W198" s="81"/>
      <c r="X198" s="81"/>
      <c r="Y198" s="81"/>
      <c r="Z198" s="81"/>
      <c r="AA198" s="81"/>
      <c r="AB198" s="81"/>
      <c r="AC198" s="81"/>
      <c r="AD198" s="81"/>
      <c r="AE198" s="81"/>
      <c r="AF198" s="81"/>
    </row>
    <row r="199" spans="1:32" x14ac:dyDescent="0.3">
      <c r="A199" s="81"/>
      <c r="B199" s="81"/>
      <c r="C199" s="81"/>
      <c r="D199" s="81"/>
      <c r="E199" s="81"/>
      <c r="F199" s="81"/>
      <c r="G199" s="81"/>
      <c r="H199" s="82"/>
      <c r="I199" s="81"/>
      <c r="J199" s="81"/>
      <c r="K199" s="82"/>
      <c r="L199" s="81"/>
      <c r="M199" s="81"/>
      <c r="N199" s="81"/>
      <c r="O199" s="81"/>
      <c r="P199" s="81"/>
      <c r="Q199" s="81"/>
      <c r="R199" s="81"/>
      <c r="S199" s="81"/>
      <c r="T199" s="81"/>
      <c r="U199" s="81"/>
      <c r="V199" s="81"/>
      <c r="W199" s="81"/>
      <c r="X199" s="81"/>
      <c r="Y199" s="81"/>
      <c r="Z199" s="81"/>
      <c r="AA199" s="81"/>
      <c r="AB199" s="81"/>
      <c r="AC199" s="81"/>
      <c r="AD199" s="81"/>
      <c r="AE199" s="81"/>
      <c r="AF199" s="81"/>
    </row>
    <row r="200" spans="1:32" x14ac:dyDescent="0.3">
      <c r="A200" s="81"/>
      <c r="B200" s="81"/>
      <c r="C200" s="81"/>
      <c r="D200" s="81"/>
      <c r="E200" s="81"/>
      <c r="F200" s="81"/>
      <c r="G200" s="81"/>
      <c r="H200" s="82"/>
      <c r="I200" s="81"/>
      <c r="J200" s="81"/>
      <c r="K200" s="82"/>
      <c r="L200" s="81"/>
      <c r="M200" s="81"/>
      <c r="N200" s="81"/>
      <c r="O200" s="81"/>
      <c r="P200" s="81"/>
      <c r="Q200" s="81"/>
      <c r="R200" s="81"/>
      <c r="S200" s="81"/>
      <c r="T200" s="81"/>
      <c r="U200" s="81"/>
      <c r="V200" s="81"/>
      <c r="W200" s="81"/>
      <c r="X200" s="81"/>
      <c r="Y200" s="81"/>
      <c r="Z200" s="81"/>
      <c r="AA200" s="81"/>
      <c r="AB200" s="81"/>
      <c r="AC200" s="81"/>
      <c r="AD200" s="81"/>
      <c r="AE200" s="81"/>
      <c r="AF200" s="81"/>
    </row>
    <row r="201" spans="1:32" x14ac:dyDescent="0.3">
      <c r="A201" s="81"/>
      <c r="B201" s="81"/>
      <c r="C201" s="81"/>
      <c r="D201" s="81"/>
      <c r="E201" s="81"/>
      <c r="F201" s="81"/>
      <c r="G201" s="81"/>
      <c r="H201" s="82"/>
      <c r="I201" s="81"/>
      <c r="J201" s="81"/>
      <c r="K201" s="82"/>
      <c r="L201" s="81"/>
      <c r="M201" s="81"/>
      <c r="N201" s="81"/>
      <c r="O201" s="81"/>
      <c r="P201" s="81"/>
      <c r="Q201" s="81"/>
      <c r="R201" s="81"/>
      <c r="S201" s="81"/>
      <c r="T201" s="81"/>
      <c r="U201" s="81"/>
      <c r="V201" s="81"/>
      <c r="W201" s="81"/>
      <c r="X201" s="81"/>
      <c r="Y201" s="81"/>
      <c r="Z201" s="81"/>
      <c r="AA201" s="81"/>
      <c r="AB201" s="81"/>
      <c r="AC201" s="81"/>
      <c r="AD201" s="81"/>
      <c r="AE201" s="81"/>
      <c r="AF201" s="81"/>
    </row>
    <row r="202" spans="1:32" x14ac:dyDescent="0.3">
      <c r="A202" s="81"/>
      <c r="B202" s="81"/>
      <c r="C202" s="81"/>
      <c r="D202" s="81"/>
      <c r="E202" s="81"/>
      <c r="F202" s="81"/>
      <c r="G202" s="81"/>
      <c r="H202" s="82"/>
      <c r="I202" s="81"/>
      <c r="J202" s="81"/>
      <c r="K202" s="82"/>
      <c r="L202" s="81"/>
      <c r="M202" s="81"/>
      <c r="N202" s="81"/>
      <c r="O202" s="81"/>
      <c r="P202" s="81"/>
      <c r="Q202" s="81"/>
      <c r="R202" s="81"/>
      <c r="S202" s="81"/>
      <c r="T202" s="81"/>
      <c r="U202" s="81"/>
      <c r="V202" s="81"/>
      <c r="W202" s="81"/>
      <c r="X202" s="81"/>
      <c r="Y202" s="81"/>
      <c r="Z202" s="81"/>
      <c r="AA202" s="81"/>
      <c r="AB202" s="81"/>
      <c r="AC202" s="81"/>
      <c r="AD202" s="81"/>
      <c r="AE202" s="81"/>
      <c r="AF202" s="81"/>
    </row>
    <row r="203" spans="1:32" x14ac:dyDescent="0.3">
      <c r="A203" s="81"/>
      <c r="B203" s="81"/>
      <c r="C203" s="81"/>
      <c r="D203" s="81"/>
      <c r="E203" s="81"/>
      <c r="F203" s="81"/>
      <c r="G203" s="81"/>
      <c r="H203" s="82"/>
      <c r="I203" s="81"/>
      <c r="J203" s="81"/>
      <c r="K203" s="82"/>
      <c r="L203" s="81"/>
      <c r="M203" s="81"/>
      <c r="N203" s="81"/>
      <c r="O203" s="81"/>
      <c r="P203" s="81"/>
      <c r="Q203" s="81"/>
      <c r="R203" s="81"/>
      <c r="S203" s="81"/>
      <c r="T203" s="81"/>
      <c r="U203" s="81"/>
      <c r="V203" s="81"/>
      <c r="W203" s="81"/>
      <c r="X203" s="81"/>
      <c r="Y203" s="81"/>
      <c r="Z203" s="81"/>
      <c r="AA203" s="81"/>
      <c r="AB203" s="81"/>
      <c r="AC203" s="81"/>
      <c r="AD203" s="81"/>
      <c r="AE203" s="81"/>
      <c r="AF203" s="81"/>
    </row>
    <row r="204" spans="1:32" x14ac:dyDescent="0.3">
      <c r="A204" s="81"/>
      <c r="B204" s="81"/>
      <c r="C204" s="81"/>
      <c r="D204" s="81"/>
      <c r="E204" s="81"/>
      <c r="F204" s="81"/>
      <c r="G204" s="81"/>
      <c r="H204" s="82"/>
      <c r="I204" s="81"/>
      <c r="J204" s="81"/>
      <c r="K204" s="82"/>
      <c r="L204" s="81"/>
      <c r="M204" s="81"/>
      <c r="N204" s="81"/>
      <c r="O204" s="81"/>
      <c r="P204" s="81"/>
      <c r="Q204" s="81"/>
      <c r="R204" s="81"/>
      <c r="S204" s="81"/>
      <c r="T204" s="81"/>
      <c r="U204" s="81"/>
      <c r="V204" s="81"/>
      <c r="W204" s="81"/>
      <c r="X204" s="81"/>
      <c r="Y204" s="81"/>
      <c r="Z204" s="81"/>
      <c r="AA204" s="81"/>
      <c r="AB204" s="81"/>
      <c r="AC204" s="81"/>
      <c r="AD204" s="81"/>
      <c r="AE204" s="81"/>
      <c r="AF204" s="81"/>
    </row>
    <row r="205" spans="1:32" x14ac:dyDescent="0.3">
      <c r="A205" s="81"/>
      <c r="B205" s="81"/>
      <c r="C205" s="81"/>
      <c r="D205" s="81"/>
      <c r="E205" s="81"/>
      <c r="F205" s="81"/>
      <c r="G205" s="81"/>
      <c r="H205" s="82"/>
      <c r="I205" s="81"/>
      <c r="J205" s="81"/>
      <c r="K205" s="82"/>
      <c r="L205" s="81"/>
      <c r="M205" s="81"/>
      <c r="N205" s="81"/>
      <c r="O205" s="81"/>
      <c r="P205" s="81"/>
      <c r="Q205" s="81"/>
      <c r="R205" s="81"/>
      <c r="S205" s="81"/>
      <c r="T205" s="81"/>
      <c r="U205" s="81"/>
      <c r="V205" s="81"/>
      <c r="W205" s="81"/>
      <c r="X205" s="81"/>
      <c r="Y205" s="81"/>
      <c r="Z205" s="81"/>
      <c r="AA205" s="81"/>
      <c r="AB205" s="81"/>
      <c r="AC205" s="81"/>
      <c r="AD205" s="81"/>
      <c r="AE205" s="81"/>
      <c r="AF205" s="81"/>
    </row>
    <row r="206" spans="1:32" x14ac:dyDescent="0.3">
      <c r="A206" s="81"/>
      <c r="B206" s="81"/>
      <c r="C206" s="81"/>
      <c r="D206" s="81"/>
      <c r="E206" s="81"/>
      <c r="F206" s="81"/>
      <c r="G206" s="81"/>
      <c r="H206" s="82"/>
      <c r="I206" s="81"/>
      <c r="J206" s="81"/>
      <c r="K206" s="82"/>
      <c r="L206" s="81"/>
      <c r="M206" s="81"/>
      <c r="N206" s="81"/>
      <c r="O206" s="81"/>
      <c r="P206" s="81"/>
      <c r="Q206" s="81"/>
      <c r="R206" s="81"/>
      <c r="S206" s="81"/>
      <c r="T206" s="81"/>
      <c r="U206" s="81"/>
      <c r="V206" s="81"/>
      <c r="W206" s="81"/>
      <c r="X206" s="81"/>
      <c r="Y206" s="81"/>
      <c r="Z206" s="81"/>
      <c r="AA206" s="81"/>
      <c r="AB206" s="81"/>
      <c r="AC206" s="81"/>
      <c r="AD206" s="81"/>
      <c r="AE206" s="81"/>
      <c r="AF206" s="81"/>
    </row>
    <row r="207" spans="1:32" x14ac:dyDescent="0.3">
      <c r="A207" s="81"/>
      <c r="B207" s="81"/>
      <c r="C207" s="81"/>
      <c r="D207" s="81"/>
      <c r="E207" s="81"/>
      <c r="F207" s="81"/>
      <c r="G207" s="81"/>
      <c r="H207" s="82"/>
      <c r="I207" s="81"/>
      <c r="J207" s="81"/>
      <c r="K207" s="82"/>
      <c r="L207" s="81"/>
      <c r="M207" s="81"/>
      <c r="N207" s="81"/>
      <c r="O207" s="81"/>
      <c r="P207" s="81"/>
      <c r="Q207" s="81"/>
      <c r="R207" s="81"/>
      <c r="S207" s="81"/>
      <c r="T207" s="81"/>
      <c r="U207" s="81"/>
      <c r="V207" s="81"/>
      <c r="W207" s="81"/>
      <c r="X207" s="81"/>
      <c r="Y207" s="81"/>
      <c r="Z207" s="81"/>
      <c r="AA207" s="81"/>
      <c r="AB207" s="81"/>
      <c r="AC207" s="81"/>
      <c r="AD207" s="81"/>
      <c r="AE207" s="81"/>
      <c r="AF207" s="81"/>
    </row>
    <row r="208" spans="1:32" x14ac:dyDescent="0.3">
      <c r="A208" s="81"/>
      <c r="B208" s="81"/>
      <c r="C208" s="81"/>
      <c r="D208" s="81"/>
      <c r="E208" s="81"/>
      <c r="F208" s="81"/>
      <c r="G208" s="81"/>
      <c r="H208" s="82"/>
      <c r="I208" s="81"/>
      <c r="J208" s="81"/>
      <c r="K208" s="82"/>
      <c r="L208" s="81"/>
      <c r="M208" s="81"/>
      <c r="N208" s="81"/>
      <c r="O208" s="81"/>
      <c r="P208" s="81"/>
      <c r="Q208" s="81"/>
      <c r="R208" s="81"/>
      <c r="S208" s="81"/>
      <c r="T208" s="81"/>
      <c r="U208" s="81"/>
      <c r="V208" s="81"/>
      <c r="W208" s="81"/>
      <c r="X208" s="81"/>
      <c r="Y208" s="81"/>
      <c r="Z208" s="81"/>
      <c r="AA208" s="81"/>
      <c r="AB208" s="81"/>
      <c r="AC208" s="81"/>
      <c r="AD208" s="81"/>
      <c r="AE208" s="81"/>
      <c r="AF208" s="81"/>
    </row>
    <row r="209" spans="1:32" x14ac:dyDescent="0.3">
      <c r="A209" s="81"/>
      <c r="B209" s="81"/>
      <c r="C209" s="81"/>
      <c r="D209" s="81"/>
      <c r="E209" s="81"/>
      <c r="F209" s="81"/>
      <c r="G209" s="81"/>
      <c r="H209" s="82"/>
      <c r="I209" s="81"/>
      <c r="J209" s="81"/>
      <c r="K209" s="82"/>
      <c r="L209" s="81"/>
      <c r="M209" s="81"/>
      <c r="N209" s="81"/>
      <c r="O209" s="81"/>
      <c r="P209" s="81"/>
      <c r="Q209" s="81"/>
      <c r="R209" s="81"/>
      <c r="S209" s="81"/>
      <c r="T209" s="81"/>
      <c r="U209" s="81"/>
      <c r="V209" s="81"/>
      <c r="W209" s="81"/>
      <c r="X209" s="81"/>
      <c r="Y209" s="81"/>
      <c r="Z209" s="81"/>
      <c r="AA209" s="81"/>
      <c r="AB209" s="81"/>
      <c r="AC209" s="81"/>
      <c r="AD209" s="81"/>
      <c r="AE209" s="81"/>
      <c r="AF209" s="81"/>
    </row>
    <row r="210" spans="1:32" x14ac:dyDescent="0.3">
      <c r="A210" s="81"/>
      <c r="B210" s="81"/>
      <c r="C210" s="81"/>
      <c r="D210" s="81"/>
      <c r="E210" s="81"/>
      <c r="F210" s="81"/>
      <c r="G210" s="81"/>
      <c r="H210" s="82"/>
      <c r="I210" s="81"/>
      <c r="J210" s="81"/>
      <c r="K210" s="82"/>
      <c r="L210" s="81"/>
      <c r="M210" s="81"/>
      <c r="N210" s="81"/>
      <c r="O210" s="81"/>
      <c r="P210" s="81"/>
      <c r="Q210" s="81"/>
      <c r="R210" s="81"/>
      <c r="S210" s="81"/>
      <c r="T210" s="81"/>
      <c r="U210" s="81"/>
      <c r="V210" s="81"/>
      <c r="W210" s="81"/>
      <c r="X210" s="81"/>
      <c r="Y210" s="81"/>
      <c r="Z210" s="81"/>
      <c r="AA210" s="81"/>
      <c r="AB210" s="81"/>
      <c r="AC210" s="81"/>
      <c r="AD210" s="81"/>
      <c r="AE210" s="81"/>
      <c r="AF210" s="81"/>
    </row>
    <row r="211" spans="1:32" x14ac:dyDescent="0.3">
      <c r="A211" s="81"/>
      <c r="B211" s="81"/>
      <c r="C211" s="81"/>
      <c r="D211" s="81"/>
      <c r="E211" s="81"/>
      <c r="F211" s="81"/>
      <c r="G211" s="81"/>
      <c r="H211" s="82"/>
      <c r="I211" s="81"/>
      <c r="J211" s="81"/>
      <c r="K211" s="82"/>
      <c r="L211" s="81"/>
      <c r="M211" s="81"/>
      <c r="N211" s="81"/>
      <c r="O211" s="81"/>
      <c r="P211" s="81"/>
      <c r="Q211" s="81"/>
      <c r="R211" s="81"/>
      <c r="S211" s="81"/>
      <c r="T211" s="81"/>
      <c r="U211" s="81"/>
      <c r="V211" s="81"/>
      <c r="W211" s="81"/>
      <c r="X211" s="81"/>
      <c r="Y211" s="81"/>
      <c r="Z211" s="81"/>
      <c r="AA211" s="81"/>
      <c r="AB211" s="81"/>
      <c r="AC211" s="81"/>
      <c r="AD211" s="81"/>
      <c r="AE211" s="81"/>
      <c r="AF211" s="81"/>
    </row>
    <row r="212" spans="1:32" x14ac:dyDescent="0.3">
      <c r="A212" s="81"/>
      <c r="B212" s="81"/>
      <c r="C212" s="81"/>
      <c r="D212" s="81"/>
      <c r="E212" s="81"/>
      <c r="F212" s="81"/>
      <c r="G212" s="81"/>
      <c r="H212" s="82"/>
      <c r="I212" s="81"/>
      <c r="J212" s="81"/>
      <c r="K212" s="82"/>
      <c r="L212" s="81"/>
      <c r="M212" s="81"/>
      <c r="N212" s="81"/>
      <c r="O212" s="81"/>
      <c r="P212" s="81"/>
      <c r="Q212" s="81"/>
      <c r="R212" s="81"/>
      <c r="S212" s="81"/>
      <c r="T212" s="81"/>
      <c r="U212" s="81"/>
      <c r="V212" s="81"/>
      <c r="W212" s="81"/>
      <c r="X212" s="81"/>
      <c r="Y212" s="81"/>
      <c r="Z212" s="81"/>
      <c r="AA212" s="81"/>
      <c r="AB212" s="81"/>
      <c r="AC212" s="81"/>
      <c r="AD212" s="81"/>
      <c r="AE212" s="81"/>
      <c r="AF212" s="81"/>
    </row>
    <row r="213" spans="1:32" x14ac:dyDescent="0.3">
      <c r="A213" s="81"/>
      <c r="B213" s="81"/>
      <c r="C213" s="81"/>
      <c r="D213" s="81"/>
      <c r="E213" s="81"/>
      <c r="F213" s="81"/>
      <c r="G213" s="81"/>
      <c r="H213" s="82"/>
      <c r="I213" s="81"/>
      <c r="J213" s="81"/>
      <c r="K213" s="82"/>
      <c r="L213" s="81"/>
      <c r="M213" s="81"/>
      <c r="N213" s="81"/>
      <c r="O213" s="81"/>
      <c r="P213" s="81"/>
      <c r="Q213" s="81"/>
      <c r="R213" s="81"/>
      <c r="S213" s="81"/>
      <c r="T213" s="81"/>
      <c r="U213" s="81"/>
      <c r="V213" s="81"/>
      <c r="W213" s="81"/>
      <c r="X213" s="81"/>
      <c r="Y213" s="81"/>
      <c r="Z213" s="81"/>
      <c r="AA213" s="81"/>
      <c r="AB213" s="81"/>
      <c r="AC213" s="81"/>
      <c r="AD213" s="81"/>
      <c r="AE213" s="81"/>
      <c r="AF213" s="81"/>
    </row>
    <row r="214" spans="1:32" x14ac:dyDescent="0.3">
      <c r="A214" s="81"/>
      <c r="B214" s="81"/>
      <c r="C214" s="81"/>
      <c r="D214" s="81"/>
      <c r="E214" s="81"/>
      <c r="F214" s="81"/>
      <c r="G214" s="81"/>
      <c r="H214" s="82"/>
      <c r="I214" s="81"/>
      <c r="J214" s="81"/>
      <c r="K214" s="82"/>
      <c r="L214" s="81"/>
      <c r="M214" s="81"/>
      <c r="N214" s="81"/>
      <c r="O214" s="81"/>
      <c r="P214" s="81"/>
      <c r="Q214" s="81"/>
      <c r="R214" s="81"/>
      <c r="S214" s="81"/>
      <c r="T214" s="81"/>
      <c r="U214" s="81"/>
      <c r="V214" s="81"/>
      <c r="W214" s="81"/>
      <c r="X214" s="81"/>
      <c r="Y214" s="81"/>
      <c r="Z214" s="81"/>
      <c r="AA214" s="81"/>
      <c r="AB214" s="81"/>
      <c r="AC214" s="81"/>
      <c r="AD214" s="81"/>
      <c r="AE214" s="81"/>
      <c r="AF214" s="81"/>
    </row>
    <row r="215" spans="1:32" x14ac:dyDescent="0.3">
      <c r="A215" s="81"/>
      <c r="B215" s="81"/>
      <c r="C215" s="81"/>
      <c r="D215" s="81"/>
      <c r="E215" s="81"/>
      <c r="F215" s="81"/>
      <c r="G215" s="81"/>
      <c r="H215" s="82"/>
      <c r="I215" s="81"/>
      <c r="J215" s="81"/>
      <c r="K215" s="82"/>
      <c r="L215" s="81"/>
      <c r="M215" s="81"/>
      <c r="N215" s="81"/>
      <c r="O215" s="81"/>
      <c r="P215" s="81"/>
      <c r="Q215" s="81"/>
      <c r="R215" s="81"/>
      <c r="S215" s="81"/>
      <c r="T215" s="81"/>
      <c r="U215" s="81"/>
      <c r="V215" s="81"/>
      <c r="W215" s="81"/>
      <c r="X215" s="81"/>
      <c r="Y215" s="81"/>
      <c r="Z215" s="81"/>
      <c r="AA215" s="81"/>
      <c r="AB215" s="81"/>
      <c r="AC215" s="81"/>
      <c r="AD215" s="81"/>
      <c r="AE215" s="81"/>
      <c r="AF215" s="81"/>
    </row>
    <row r="216" spans="1:32" x14ac:dyDescent="0.3">
      <c r="A216" s="81"/>
      <c r="B216" s="81"/>
      <c r="C216" s="81"/>
      <c r="D216" s="81"/>
      <c r="E216" s="81"/>
      <c r="F216" s="81"/>
      <c r="G216" s="81"/>
      <c r="H216" s="82"/>
      <c r="I216" s="81"/>
      <c r="J216" s="81"/>
      <c r="K216" s="82"/>
      <c r="L216" s="81"/>
      <c r="M216" s="81"/>
      <c r="N216" s="81"/>
      <c r="O216" s="81"/>
      <c r="P216" s="81"/>
      <c r="Q216" s="81"/>
      <c r="R216" s="81"/>
      <c r="S216" s="81"/>
      <c r="T216" s="81"/>
      <c r="U216" s="81"/>
      <c r="V216" s="81"/>
      <c r="W216" s="81"/>
      <c r="X216" s="81"/>
      <c r="Y216" s="81"/>
      <c r="Z216" s="81"/>
      <c r="AA216" s="81"/>
      <c r="AB216" s="81"/>
      <c r="AC216" s="81"/>
      <c r="AD216" s="81"/>
      <c r="AE216" s="81"/>
      <c r="AF216" s="81"/>
    </row>
    <row r="217" spans="1:32" x14ac:dyDescent="0.3">
      <c r="A217" s="81"/>
      <c r="B217" s="81"/>
      <c r="C217" s="81"/>
      <c r="D217" s="81"/>
      <c r="E217" s="81"/>
      <c r="F217" s="81"/>
      <c r="G217" s="81"/>
      <c r="H217" s="82"/>
      <c r="I217" s="81"/>
      <c r="J217" s="81"/>
      <c r="K217" s="82"/>
      <c r="L217" s="81"/>
      <c r="M217" s="81"/>
      <c r="N217" s="81"/>
      <c r="O217" s="81"/>
      <c r="P217" s="81"/>
      <c r="Q217" s="81"/>
      <c r="R217" s="81"/>
      <c r="S217" s="81"/>
      <c r="T217" s="81"/>
      <c r="U217" s="81"/>
      <c r="V217" s="81"/>
      <c r="W217" s="81"/>
      <c r="X217" s="81"/>
      <c r="Y217" s="81"/>
      <c r="Z217" s="81"/>
      <c r="AA217" s="81"/>
      <c r="AB217" s="81"/>
      <c r="AC217" s="81"/>
      <c r="AD217" s="81"/>
      <c r="AE217" s="81"/>
      <c r="AF217" s="81"/>
    </row>
    <row r="218" spans="1:32" x14ac:dyDescent="0.3">
      <c r="A218" s="81"/>
      <c r="B218" s="81"/>
      <c r="C218" s="81"/>
      <c r="D218" s="81"/>
      <c r="E218" s="81"/>
      <c r="F218" s="81"/>
      <c r="G218" s="81"/>
      <c r="H218" s="82"/>
      <c r="I218" s="81"/>
      <c r="J218" s="81"/>
      <c r="K218" s="82"/>
      <c r="L218" s="81"/>
      <c r="M218" s="81"/>
      <c r="N218" s="81"/>
      <c r="O218" s="81"/>
      <c r="P218" s="81"/>
      <c r="Q218" s="81"/>
      <c r="R218" s="81"/>
      <c r="S218" s="81"/>
      <c r="T218" s="81"/>
      <c r="U218" s="81"/>
      <c r="V218" s="81"/>
      <c r="W218" s="81"/>
      <c r="X218" s="81"/>
      <c r="Y218" s="81"/>
      <c r="Z218" s="81"/>
      <c r="AA218" s="81"/>
      <c r="AB218" s="81"/>
      <c r="AC218" s="81"/>
      <c r="AD218" s="81"/>
      <c r="AE218" s="81"/>
      <c r="AF218" s="81"/>
    </row>
    <row r="230" spans="3:3" x14ac:dyDescent="0.3">
      <c r="C230" s="94"/>
    </row>
    <row r="231" spans="3:3" x14ac:dyDescent="0.3">
      <c r="C231" s="95"/>
    </row>
    <row r="232" spans="3:3" x14ac:dyDescent="0.3">
      <c r="C232" s="95"/>
    </row>
    <row r="233" spans="3:3" x14ac:dyDescent="0.3">
      <c r="C233" s="94"/>
    </row>
    <row r="234" spans="3:3" x14ac:dyDescent="0.3">
      <c r="C234" s="94"/>
    </row>
    <row r="235" spans="3:3" x14ac:dyDescent="0.3">
      <c r="C235" s="95"/>
    </row>
    <row r="236" spans="3:3" x14ac:dyDescent="0.3">
      <c r="C236" s="95"/>
    </row>
    <row r="237" spans="3:3" x14ac:dyDescent="0.3">
      <c r="C237" s="94"/>
    </row>
    <row r="238" spans="3:3" x14ac:dyDescent="0.3">
      <c r="C238" s="94"/>
    </row>
    <row r="239" spans="3:3" x14ac:dyDescent="0.3">
      <c r="C239" s="95"/>
    </row>
    <row r="240" spans="3:3" x14ac:dyDescent="0.3">
      <c r="C240" s="95"/>
    </row>
    <row r="247" spans="1:3" x14ac:dyDescent="0.3">
      <c r="C247" s="107"/>
    </row>
    <row r="248" spans="1:3" x14ac:dyDescent="0.3">
      <c r="C248" s="106">
        <v>11</v>
      </c>
    </row>
    <row r="250" spans="1:3" x14ac:dyDescent="0.3">
      <c r="A250">
        <f ca="1">SUBTOTAL(3,A2:INDIRECT("a"&amp;A264))</f>
        <v>73</v>
      </c>
    </row>
    <row r="251" spans="1:3" ht="18" x14ac:dyDescent="0.35">
      <c r="B251" s="83" t="s">
        <v>1167</v>
      </c>
      <c r="C251" s="104" t="s">
        <v>1154</v>
      </c>
    </row>
    <row r="252" spans="1:3" ht="18" x14ac:dyDescent="0.35">
      <c r="A252" s="8">
        <f ca="1">COUNTA(A2:INDIRECT("a"&amp;A264))</f>
        <v>73</v>
      </c>
      <c r="B252" s="83" t="s">
        <v>1145</v>
      </c>
      <c r="C252" s="13" t="s">
        <v>1164</v>
      </c>
    </row>
    <row r="253" spans="1:3" x14ac:dyDescent="0.3">
      <c r="A253" s="96" t="s">
        <v>173</v>
      </c>
      <c r="B253" s="93" t="s">
        <v>1146</v>
      </c>
      <c r="C253" s="92" t="str">
        <f ca="1">CONCATENATE(TEXT(COUNTIFS(E2:INDIRECT("e"&amp;A264),INDIRECT("A"&amp;ROW()),W2:INDIRECT("w"&amp;A264),B288),"??????0"),"|",TEXT(COUNTIFS(E2:INDIRECT("e"&amp;A264),INDIRECT("A"&amp;ROW()),W2:INDIRECT("W"&amp;A264),B288,X2:INDIRECT("X"&amp;A264),B275),"?????????0"),"|",TEXT(COUNTIFS(E2:INDIRECT("e"&amp;A264),INDIRECT("A"&amp;ROW()),W2:INDIRECT("W"&amp;A264),B288,X2:INDIRECT("X"&amp;A264),B279),"??????0"),"|",TEXT(COUNTIFS(E2:INDIRECT("e"&amp;A264),INDIRECT("A"&amp;ROW()),W2:INDIRECT("W"&amp;A264),B288,X2:INDIRECT("X"&amp;A264),B276),"???????????0"),"|",TEXT(COUNTIFS(E2:INDIRECT("e"&amp;A264),INDIRECT("A"&amp;ROW()),W2:INDIRECT("W"&amp;A264),B288,X2:INDIRECT("X"&amp;A264),B277),"??????????0"),"|",TEXT(COUNTIFS(E2:INDIRECT("e"&amp;A264),INDIRECT("A"&amp;ROW()),W2:INDIRECT("W"&amp;A264),B288,X2:INDIRECT("X"&amp;A264),B278),"?????????0"),"|",TEXT(COUNTIFS(E2:INDIRECT("e"&amp;A264),INDIRECT("A"&amp;ROW()),W2:INDIRECT("W"&amp;A264),B288,X2:INDIRECT("X"&amp;A264),B280&amp;"*"),"???0"))</f>
        <v xml:space="preserve">     17|         9|      4|           1|          0|         2|   1</v>
      </c>
    </row>
    <row r="254" spans="1:3" x14ac:dyDescent="0.3">
      <c r="A254" s="84"/>
      <c r="B254" s="84" t="s">
        <v>1142</v>
      </c>
      <c r="C254" s="92"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7|         3|      0|           1|          1|         2|   0</v>
      </c>
    </row>
    <row r="255" spans="1:3" x14ac:dyDescent="0.3">
      <c r="A255" s="8" t="s">
        <v>48</v>
      </c>
      <c r="B255" s="8" t="s">
        <v>1165</v>
      </c>
      <c r="C255" s="13" t="str">
        <f ca="1">CONCATENATE(TEXT(COUNTIFS(E2:INDIRECT("e"&amp;A264),INDIRECT("A"&amp;ROW())&amp;"*",W2:INDIRECT("w"&amp;A264),B288),"???????0"),"|",TEXT(COUNTIFS(E2:INDIRECT("e"&amp;A264),INDIRECT("A"&amp;ROW())&amp;"*",W2:INDIRECT("W"&amp;A264),B288,X2:INDIRECT("X"&amp;A264),B275),"?????????0"),"|",TEXT(COUNTIFS(E2:INDIRECT("e"&amp;A264),INDIRECT("A"&amp;ROW())&amp;"*",W2:INDIRECT("W"&amp;A264),B288,X2:INDIRECT("X"&amp;A264),B279),"??????0"),"|",TEXT(COUNTIFS(E2:INDIRECT("e"&amp;A264),INDIRECT("A"&amp;ROW())&amp;"*",W2:INDIRECT("W"&amp;A264),B288,X2:INDIRECT("X"&amp;A264),B276),"???????????0"),"|",TEXT(COUNTIFS(E2:INDIRECT("e"&amp;A264),INDIRECT("A"&amp;ROW())&amp;"*",W2:INDIRECT("W"&amp;A264),B288,X2:INDIRECT("X"&amp;A264),B277),"??????????0"),"|",TEXT(COUNTIFS(E2:INDIRECT("e"&amp;A264),INDIRECT("A"&amp;ROW())&amp;"*",W2:INDIRECT("W"&amp;A264),B288,X2:INDIRECT("X"&amp;A264),B278),"?????????0"),"|",TEXT(COUNTIFS(E2:INDIRECT("e"&amp;A264),INDIRECT("A"&amp;ROW())&amp;"*",W2:INDIRECT("W"&amp;A264),B288,X2:INDIRECT("X"&amp;A264),B280&amp;"*"),"???0"))</f>
        <v xml:space="preserve">       0|         0|      0|           0|          0|         0|   0</v>
      </c>
    </row>
    <row r="256" spans="1:3" x14ac:dyDescent="0.3">
      <c r="A256" s="8"/>
      <c r="B256" s="24" t="s">
        <v>1166</v>
      </c>
      <c r="C256" s="13"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3|         0|      0|           0|          2|         1|   0</v>
      </c>
    </row>
    <row r="257" spans="1:3" x14ac:dyDescent="0.3">
      <c r="A257" s="84" t="s">
        <v>569</v>
      </c>
      <c r="B257" s="84" t="s">
        <v>1165</v>
      </c>
      <c r="C257" s="92" t="str">
        <f ca="1">CONCATENATE(TEXT(COUNTIFS(E2:INDIRECT("e"&amp;A264),INDIRECT("A"&amp;ROW())&amp;"*",W2:INDIRECT("w"&amp;A264),B288),"??????0"),"|",TEXT(COUNTIFS(E2:INDIRECT("e"&amp;A264),INDIRECT("A"&amp;ROW())&amp;"*",W2:INDIRECT("W"&amp;A264),B288,X2:INDIRECT("X"&amp;A264),B275),"?????????0"),"|",TEXT(COUNTIFS(E2:INDIRECT("e"&amp;A264),INDIRECT("A"&amp;ROW())&amp;"*",W2:INDIRECT("W"&amp;A264),B288,X2:INDIRECT("X"&amp;A264),B279),"??????0"),"|",TEXT(COUNTIFS(E2:INDIRECT("e"&amp;A264),INDIRECT("A"&amp;ROW())&amp;"*",W2:INDIRECT("W"&amp;A264),B288,X2:INDIRECT("X"&amp;A264),B276),"???????????0"),"|",TEXT(COUNTIFS(E2:INDIRECT("e"&amp;A264),INDIRECT("A"&amp;ROW())&amp;"*",W2:INDIRECT("W"&amp;A264),B288,X2:INDIRECT("X"&amp;A264),B277),"??????????0"),"|",TEXT(COUNTIFS(E2:INDIRECT("e"&amp;A264),INDIRECT("A"&amp;ROW())&amp;"*",W2:INDIRECT("W"&amp;A264),B288,X2:INDIRECT("X"&amp;A264),B278),"?????????0"),"|",TEXT(COUNTIFS(E2:INDIRECT("e"&amp;A264),INDIRECT("A"&amp;ROW())&amp;"*",W2:INDIRECT("W"&amp;A264),B288,X2:INDIRECT("X"&amp;A264),B280&amp;"*"),"???0"))</f>
        <v xml:space="preserve">      7|         4|      2|           0|          0|         0|   1</v>
      </c>
    </row>
    <row r="258" spans="1:3" x14ac:dyDescent="0.3">
      <c r="A258" s="84"/>
      <c r="B258" s="84" t="s">
        <v>1166</v>
      </c>
      <c r="C258" s="92"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6|         0|      0|           2|          2|         2|   0</v>
      </c>
    </row>
    <row r="259" spans="1:3" x14ac:dyDescent="0.3">
      <c r="A259" s="8" t="s">
        <v>999</v>
      </c>
      <c r="B259" s="8" t="s">
        <v>1165</v>
      </c>
      <c r="C259" s="13" t="str">
        <f ca="1">CONCATENATE(TEXT(COUNTIFS(E2:INDIRECT("e"&amp;A264),INDIRECT("A"&amp;ROW())&amp;"*",W2:INDIRECT("w"&amp;A264),B288),"??????0"),"|",TEXT(COUNTIFS(E2:INDIRECT("e"&amp;A264),INDIRECT("A"&amp;ROW())&amp;"*",W2:INDIRECT("W"&amp;A264),B288,X2:INDIRECT("X"&amp;A264),B275),"?????????0"),"|",TEXT(COUNTIFS(E2:INDIRECT("e"&amp;A264),INDIRECT("A"&amp;ROW())&amp;"*",W2:INDIRECT("W"&amp;A264),B288,X2:INDIRECT("X"&amp;A264),B279),"??????0"),"|",TEXT(COUNTIFS(E2:INDIRECT("e"&amp;A264),INDIRECT("A"&amp;ROW())&amp;"*",W2:INDIRECT("W"&amp;A264),B288,X2:INDIRECT("X"&amp;A264),B276),"???????????0"),"|",TEXT(COUNTIFS(E2:INDIRECT("e"&amp;A264),INDIRECT("A"&amp;ROW())&amp;"*",W2:INDIRECT("W"&amp;A264),B288,X2:INDIRECT("X"&amp;A264),B277),"??????????0"),"|",TEXT(COUNTIFS(E2:INDIRECT("e"&amp;A264),INDIRECT("A"&amp;ROW())&amp;"*",W2:INDIRECT("W"&amp;A264),B288,X2:INDIRECT("X"&amp;A264),B278),"?????????0"),"|",TEXT(COUNTIFS(E2:INDIRECT("e"&amp;A264),INDIRECT("A"&amp;ROW())&amp;"*",W2:INDIRECT("W"&amp;A264),B288,X2:INDIRECT("X"&amp;A264),B280&amp;"*"),"???0"))</f>
        <v xml:space="preserve">     19|        10|      3|           2|          0|         2|   2</v>
      </c>
    </row>
    <row r="260" spans="1:3" x14ac:dyDescent="0.3">
      <c r="A260" s="8"/>
      <c r="B260" s="24" t="s">
        <v>1166</v>
      </c>
      <c r="C260" s="13" t="str">
        <f ca="1">CONCATENATE(TEXT(COUNTIFS(E2:INDIRECT("e"&amp;A264),INDIRECT("A"&amp;(ROW()-1))&amp;"*",W2:INDIRECT("W"&amp;A264),"&lt;&gt;"&amp;B288),"???????0"),"|",TEXT(COUNTIFS(E2:INDIRECT("e"&amp;A264),INDIRECT("A"&amp;(ROW()-1))&amp;"*",W2:INDIRECT("W"&amp;A264),"&lt;&gt;"&amp;B288,X2:INDIRECT("X"&amp;A264),B275),"?????????0"),"|",TEXT(COUNTIFS(E2:INDIRECT("e"&amp;A264),INDIRECT("A"&amp;(ROW()-1))&amp;"*",W2:INDIRECT("W"&amp;A264),"&lt;&gt;"&amp;B288,X2:INDIRECT("X"&amp;A264),B279),"??????0"),"|",TEXT(COUNTIFS(E2:INDIRECT("e"&amp;A264),INDIRECT("A"&amp;(ROW()-1))&amp;"*",W2:INDIRECT("W"&amp;A264),"&lt;&gt;"&amp;B288,X2:INDIRECT("X"&amp;A264),B276),"???????????0"),"|",TEXT(COUNTIFS(E2:INDIRECT("e"&amp;A264),INDIRECT("A"&amp;(ROW()-1))&amp;"*",W2:INDIRECT("W"&amp;A264),"&lt;&gt;"&amp;B288,X2:INDIRECT("X"&amp;A264),B277),"??????????0"),"|",TEXT(COUNTIFS(E2:INDIRECT("e"&amp;A264),INDIRECT("A"&amp;(ROW()-1))&amp;"*",W2:INDIRECT("W"&amp;A264),"&lt;&gt;"&amp;B288,X2:INDIRECT("X"&amp;A264),B278),"?????????0"),"|",TEXT(COUNTIFS(E2:INDIRECT("e"&amp;A264),INDIRECT("A"&amp;(ROW()-1))&amp;"*",W2:INDIRECT("W"&amp;A264),"&lt;&gt;"&amp;B288,X2:INDIRECT("X"&amp;A264),B280&amp;"*"),"???0"))</f>
        <v xml:space="preserve">       6|         3|      0|           1|          0|         2|   0</v>
      </c>
    </row>
    <row r="261" spans="1:3" x14ac:dyDescent="0.3">
      <c r="A261" s="84" t="s">
        <v>113</v>
      </c>
      <c r="B261" s="84" t="s">
        <v>1165</v>
      </c>
      <c r="C261" s="92">
        <f ca="1">COUNTIFS(E2:INDIRECT("e"&amp;A264),B286,W2:INDIRECT("W"&amp;A264),B288,W2:INDIRECT("W"&amp;A264),"&lt;&gt;")+COUNTIFS(E2:INDIRECT("e"&amp;A264),B285,W2:INDIRECT("W"&amp;A264),B288,W2:INDIRECT("W"&amp;A264),"&lt;&gt;")+COUNTIFS(E2:INDIRECT("e"&amp;A264),B283,W2:INDIRECT("W"&amp;A264),B288,W2:INDIRECT("W"&amp;A264),"&lt;&gt;")+COUNTIFS(E2:INDIRECT("e"&amp;A264),B284,W2:INDIRECT("W"&amp;A264),B288,W2:INDIRECT("W"&amp;A264),"&lt;&gt;")</f>
        <v>1</v>
      </c>
    </row>
    <row r="262" spans="1:3" x14ac:dyDescent="0.3">
      <c r="A262" s="84"/>
      <c r="B262" s="84" t="s">
        <v>1166</v>
      </c>
      <c r="C262" s="92">
        <f ca="1">COUNTIFS(E2:INDIRECT("e"&amp;A264),B286,W2:INDIRECT("W"&amp;A264),"&lt;&gt;"&amp;B288,W2:INDIRECT("W"&amp;A264),"&lt;&gt;")+COUNTIFS(E2:INDIRECT("e"&amp;A264),B285,W2:INDIRECT("W"&amp;A264),"&lt;&gt;"&amp;B288,W2:INDIRECT("W"&amp;A264),"&lt;&gt;")+COUNTIFS(E2:INDIRECT("e"&amp;A264),B283,W2:INDIRECT("W"&amp;A264),"&lt;&gt;"&amp;B288,W2:INDIRECT("W"&amp;A264),"&lt;&gt;")+COUNTIFS(E2:INDIRECT("e"&amp;A264),B284,W2:INDIRECT("W"&amp;A264),"&lt;&gt;"&amp;B288,W2:INDIRECT("W"&amp;A264),"&lt;&gt;")</f>
        <v>4</v>
      </c>
    </row>
    <row r="264" spans="1:3" x14ac:dyDescent="0.3">
      <c r="A264">
        <f>COUNTA(A1:A240)</f>
        <v>74</v>
      </c>
      <c r="B264" t="s">
        <v>1179</v>
      </c>
      <c r="C264" s="2">
        <f ca="1">COUNTIFS(E2:INDIRECT("e"&amp;A264),A253,W2:INDIRECT("w"&amp;A264),B288)+COUNTIFS(E2:INDIRECT("e"&amp;A264),A253,W2:INDIRECT("W"&amp;A264),"&lt;&gt;"&amp;B288)+COUNTIFS(E2:INDIRECT("e"&amp;A264),A255&amp;"*",W2:INDIRECT("w"&amp;A264),B288)+COUNTIFS(E2:INDIRECT("e"&amp;A264),A255&amp;"*",W2:INDIRECT("W"&amp;A264),"&lt;&gt;"&amp;B288)+COUNTIFS(E2:INDIRECT("e"&amp;A264),A257&amp;"*",W2:INDIRECT("w"&amp;A264),B288)+COUNTIFS(E2:INDIRECT("e"&amp;A264),A257&amp;"*",W2:INDIRECT("W"&amp;A264),"&lt;&gt;"&amp;B288)+COUNTIFS(E2:INDIRECT("e"&amp;A264),A259&amp;"*",W2:INDIRECT("w"&amp;A264),B288)+COUNTIFS(E2:INDIRECT("e"&amp;A264),A259&amp;"*",W2:INDIRECT("W"&amp;A264),"&lt;&gt;"&amp;B288)+C261+C262</f>
        <v>70</v>
      </c>
    </row>
    <row r="266" spans="1:3" x14ac:dyDescent="0.3">
      <c r="A266" s="19" t="s">
        <v>1168</v>
      </c>
    </row>
    <row r="267" spans="1:3" x14ac:dyDescent="0.3">
      <c r="B267" s="19" t="s">
        <v>1160</v>
      </c>
    </row>
    <row r="268" spans="1:3" x14ac:dyDescent="0.3">
      <c r="A268" t="s">
        <v>837</v>
      </c>
      <c r="B268" t="s">
        <v>1156</v>
      </c>
    </row>
    <row r="269" spans="1:3" x14ac:dyDescent="0.3">
      <c r="A269" t="s">
        <v>298</v>
      </c>
      <c r="B269" t="s">
        <v>1157</v>
      </c>
    </row>
    <row r="270" spans="1:3" x14ac:dyDescent="0.3">
      <c r="A270" t="s">
        <v>1158</v>
      </c>
      <c r="B270" t="s">
        <v>1159</v>
      </c>
    </row>
    <row r="274" spans="2:3" x14ac:dyDescent="0.3">
      <c r="B274" s="97" t="s">
        <v>1170</v>
      </c>
    </row>
    <row r="275" spans="2:3" x14ac:dyDescent="0.3">
      <c r="B275" s="81" t="s">
        <v>1134</v>
      </c>
    </row>
    <row r="276" spans="2:3" x14ac:dyDescent="0.3">
      <c r="B276" s="81" t="s">
        <v>1136</v>
      </c>
    </row>
    <row r="277" spans="2:3" x14ac:dyDescent="0.3">
      <c r="B277" s="81" t="s">
        <v>1138</v>
      </c>
    </row>
    <row r="278" spans="2:3" x14ac:dyDescent="0.3">
      <c r="B278" s="81" t="s">
        <v>1155</v>
      </c>
    </row>
    <row r="279" spans="2:3" x14ac:dyDescent="0.3">
      <c r="B279" s="81" t="s">
        <v>1137</v>
      </c>
    </row>
    <row r="280" spans="2:3" x14ac:dyDescent="0.3">
      <c r="B280" s="81" t="s">
        <v>1176</v>
      </c>
      <c r="C280" t="s">
        <v>1177</v>
      </c>
    </row>
    <row r="282" spans="2:3" x14ac:dyDescent="0.3">
      <c r="B282" s="97" t="s">
        <v>1171</v>
      </c>
    </row>
    <row r="283" spans="2:3" x14ac:dyDescent="0.3">
      <c r="B283" t="s">
        <v>1172</v>
      </c>
    </row>
    <row r="284" spans="2:3" x14ac:dyDescent="0.3">
      <c r="B284" t="s">
        <v>1173</v>
      </c>
    </row>
    <row r="285" spans="2:3" x14ac:dyDescent="0.3">
      <c r="B285" t="s">
        <v>1174</v>
      </c>
    </row>
    <row r="286" spans="2:3" x14ac:dyDescent="0.3">
      <c r="B286" t="s">
        <v>1175</v>
      </c>
    </row>
    <row r="288" spans="2:3" x14ac:dyDescent="0.3">
      <c r="B288" s="97" t="s">
        <v>82</v>
      </c>
      <c r="C288" t="s">
        <v>1178</v>
      </c>
    </row>
  </sheetData>
  <autoFilter ref="A1:AF214"/>
  <hyperlinks>
    <hyperlink ref="B267" location="'2weekResolved'!A2" display="top"/>
    <hyperlink ref="A266" r:id="rId1"/>
    <hyperlink ref="C251" location="'2weekResolved'!A2" display="Top"/>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F172"/>
  <sheetViews>
    <sheetView zoomScale="80" zoomScaleNormal="80" workbookViewId="0">
      <pane ySplit="1" topLeftCell="A132" activePane="bottomLeft" state="frozen"/>
      <selection pane="bottomLeft" activeCell="A151" sqref="A151:C157"/>
    </sheetView>
  </sheetViews>
  <sheetFormatPr defaultRowHeight="14.4" x14ac:dyDescent="0.3"/>
  <cols>
    <col min="1" max="1" width="9" style="81" bestFit="1" customWidth="1"/>
    <col min="2" max="2" width="33.88671875" style="81" bestFit="1" customWidth="1"/>
    <col min="3" max="3" width="147.5546875" style="81" bestFit="1" customWidth="1"/>
    <col min="4" max="4" width="10.44140625" style="81" bestFit="1" customWidth="1"/>
    <col min="5" max="5" width="18.21875" style="81" bestFit="1" customWidth="1"/>
    <col min="6" max="6" width="33.33203125" style="81" bestFit="1" customWidth="1"/>
    <col min="7" max="7" width="13.77734375" style="81" bestFit="1" customWidth="1"/>
    <col min="8" max="8" width="16.33203125" style="81" bestFit="1" customWidth="1"/>
    <col min="9" max="9" width="9.88671875" style="81" bestFit="1" customWidth="1"/>
    <col min="10" max="10" width="11.6640625" style="81" bestFit="1" customWidth="1"/>
    <col min="11" max="11" width="16.33203125" style="81" bestFit="1" customWidth="1"/>
    <col min="12" max="12" width="31.33203125" style="81" bestFit="1" customWidth="1"/>
    <col min="13" max="13" width="14.33203125" style="81" bestFit="1" customWidth="1"/>
    <col min="14" max="14" width="12.44140625" style="81" bestFit="1" customWidth="1"/>
    <col min="15" max="15" width="20.44140625" style="81" bestFit="1" customWidth="1"/>
    <col min="16" max="16" width="13.77734375" style="81" bestFit="1" customWidth="1"/>
    <col min="17" max="17" width="15.6640625" style="81" bestFit="1" customWidth="1"/>
    <col min="18" max="18" width="23.88671875" style="81" bestFit="1" customWidth="1"/>
    <col min="19" max="19" width="11" style="81" bestFit="1" customWidth="1"/>
    <col min="20" max="20" width="21.6640625" style="81" bestFit="1" customWidth="1"/>
    <col min="21" max="21" width="10" style="81" bestFit="1" customWidth="1"/>
    <col min="22" max="22" width="24.6640625" style="81" bestFit="1" customWidth="1"/>
    <col min="23" max="23" width="15.77734375" style="81" bestFit="1" customWidth="1"/>
    <col min="24" max="24" width="12.6640625" style="81" bestFit="1" customWidth="1"/>
    <col min="25" max="25" width="14.21875" style="81" bestFit="1" customWidth="1"/>
    <col min="26" max="26" width="14.33203125" style="81" bestFit="1" customWidth="1"/>
    <col min="27" max="27" width="34.5546875" style="81" bestFit="1" customWidth="1"/>
    <col min="28" max="28" width="24.88671875" style="81" bestFit="1" customWidth="1"/>
    <col min="29" max="29" width="9.44140625" style="81" bestFit="1" customWidth="1"/>
    <col min="30" max="30" width="10.44140625" style="81" bestFit="1" customWidth="1"/>
    <col min="31" max="31" width="15.6640625" style="81" bestFit="1" customWidth="1"/>
    <col min="32" max="32" width="6.6640625" style="81" bestFit="1" customWidth="1"/>
    <col min="33" max="16384" width="8.88671875" style="81"/>
  </cols>
  <sheetData>
    <row r="1" spans="1:32" x14ac:dyDescent="0.3">
      <c r="A1" s="118" t="s">
        <v>145</v>
      </c>
      <c r="B1" s="118" t="s">
        <v>57</v>
      </c>
      <c r="C1" s="118" t="s">
        <v>58</v>
      </c>
      <c r="D1" s="118" t="s">
        <v>59</v>
      </c>
      <c r="E1" s="118" t="s">
        <v>60</v>
      </c>
      <c r="F1" s="118" t="s">
        <v>61</v>
      </c>
      <c r="G1" s="118" t="s">
        <v>62</v>
      </c>
      <c r="H1" s="118" t="s">
        <v>63</v>
      </c>
      <c r="I1" s="118" t="s">
        <v>64</v>
      </c>
      <c r="J1" s="118" t="s">
        <v>65</v>
      </c>
      <c r="K1" s="118" t="s">
        <v>66</v>
      </c>
      <c r="L1" s="118" t="s">
        <v>67</v>
      </c>
      <c r="M1" s="118" t="s">
        <v>68</v>
      </c>
      <c r="N1" s="118" t="s">
        <v>69</v>
      </c>
      <c r="O1" s="118" t="s">
        <v>70</v>
      </c>
      <c r="P1" s="118" t="s">
        <v>71</v>
      </c>
      <c r="Q1" s="118" t="s">
        <v>72</v>
      </c>
      <c r="R1" s="118" t="s">
        <v>73</v>
      </c>
      <c r="S1" s="118" t="s">
        <v>74</v>
      </c>
      <c r="T1" s="118" t="s">
        <v>75</v>
      </c>
      <c r="U1" s="118" t="s">
        <v>76</v>
      </c>
      <c r="V1" s="118" t="s">
        <v>1244</v>
      </c>
      <c r="W1" s="118" t="s">
        <v>78</v>
      </c>
      <c r="X1" s="118" t="s">
        <v>157</v>
      </c>
      <c r="Y1" s="118" t="s">
        <v>307</v>
      </c>
      <c r="Z1" s="118" t="s">
        <v>308</v>
      </c>
      <c r="AA1" s="118" t="s">
        <v>615</v>
      </c>
      <c r="AB1" s="118" t="s">
        <v>79</v>
      </c>
      <c r="AC1" s="118" t="s">
        <v>621</v>
      </c>
      <c r="AD1" s="118" t="s">
        <v>622</v>
      </c>
      <c r="AE1" s="118" t="s">
        <v>1084</v>
      </c>
      <c r="AF1" s="118" t="s">
        <v>580</v>
      </c>
    </row>
    <row r="2" spans="1:32" x14ac:dyDescent="0.3">
      <c r="A2" s="118">
        <v>87427</v>
      </c>
      <c r="B2" s="118" t="s">
        <v>374</v>
      </c>
      <c r="C2" s="118" t="s">
        <v>1314</v>
      </c>
      <c r="D2" s="118" t="s">
        <v>2</v>
      </c>
      <c r="E2" s="118" t="s">
        <v>173</v>
      </c>
      <c r="F2" s="118" t="s">
        <v>1315</v>
      </c>
      <c r="G2" s="118" t="s">
        <v>1218</v>
      </c>
      <c r="H2" s="119">
        <v>42594.652627314812</v>
      </c>
      <c r="I2" s="118" t="s">
        <v>20</v>
      </c>
      <c r="J2" s="118" t="s">
        <v>1300</v>
      </c>
      <c r="K2" s="119">
        <v>42593.02721064815</v>
      </c>
      <c r="L2" s="118" t="s">
        <v>1316</v>
      </c>
      <c r="M2" s="118" t="s">
        <v>1317</v>
      </c>
      <c r="N2" s="118"/>
      <c r="O2" s="118" t="s">
        <v>12</v>
      </c>
      <c r="P2" s="118" t="s">
        <v>30</v>
      </c>
      <c r="Q2" s="118" t="s">
        <v>13</v>
      </c>
      <c r="R2" s="118" t="s">
        <v>19</v>
      </c>
      <c r="S2" s="118"/>
      <c r="T2" s="118" t="s">
        <v>7</v>
      </c>
      <c r="U2" s="118" t="s">
        <v>10</v>
      </c>
      <c r="V2" s="118" t="s">
        <v>7</v>
      </c>
      <c r="W2" s="118" t="s">
        <v>82</v>
      </c>
      <c r="X2" s="118" t="s">
        <v>7</v>
      </c>
      <c r="Y2" s="118" t="s">
        <v>7</v>
      </c>
      <c r="Z2" s="118" t="s">
        <v>7</v>
      </c>
      <c r="AA2" s="118" t="s">
        <v>7</v>
      </c>
      <c r="AB2" s="118" t="s">
        <v>7</v>
      </c>
      <c r="AC2" s="118" t="s">
        <v>7</v>
      </c>
      <c r="AD2" s="118" t="s">
        <v>7</v>
      </c>
      <c r="AE2" s="118" t="s">
        <v>7</v>
      </c>
      <c r="AF2" s="118"/>
    </row>
    <row r="3" spans="1:32" x14ac:dyDescent="0.3">
      <c r="A3" s="118">
        <v>87437</v>
      </c>
      <c r="B3" s="118" t="s">
        <v>374</v>
      </c>
      <c r="C3" s="118" t="s">
        <v>1318</v>
      </c>
      <c r="D3" s="118" t="s">
        <v>11</v>
      </c>
      <c r="E3" s="118" t="s">
        <v>1227</v>
      </c>
      <c r="F3" s="118" t="s">
        <v>1319</v>
      </c>
      <c r="G3" s="118"/>
      <c r="H3" s="119">
        <v>42593.124791666669</v>
      </c>
      <c r="I3" s="118" t="s">
        <v>20</v>
      </c>
      <c r="J3" s="118" t="s">
        <v>1221</v>
      </c>
      <c r="K3" s="119">
        <v>42593.124791666669</v>
      </c>
      <c r="L3" s="118" t="s">
        <v>16</v>
      </c>
      <c r="M3" s="118"/>
      <c r="N3" s="118"/>
      <c r="O3" s="118" t="s">
        <v>6</v>
      </c>
      <c r="P3" s="118" t="s">
        <v>30</v>
      </c>
      <c r="Q3" s="118" t="s">
        <v>13</v>
      </c>
      <c r="R3" s="118" t="s">
        <v>19</v>
      </c>
      <c r="S3" s="118"/>
      <c r="T3" s="118" t="s">
        <v>7</v>
      </c>
      <c r="U3" s="118" t="s">
        <v>10</v>
      </c>
      <c r="V3" s="118" t="s">
        <v>7</v>
      </c>
      <c r="W3" s="118" t="s">
        <v>114</v>
      </c>
      <c r="X3" s="118" t="s">
        <v>7</v>
      </c>
      <c r="Y3" s="118" t="s">
        <v>7</v>
      </c>
      <c r="Z3" s="118" t="s">
        <v>7</v>
      </c>
      <c r="AA3" s="118" t="s">
        <v>7</v>
      </c>
      <c r="AB3" s="118" t="s">
        <v>7</v>
      </c>
      <c r="AC3" s="118" t="s">
        <v>7</v>
      </c>
      <c r="AD3" s="118" t="s">
        <v>7</v>
      </c>
      <c r="AE3" s="118" t="s">
        <v>7</v>
      </c>
      <c r="AF3" s="118">
        <v>87060</v>
      </c>
    </row>
    <row r="4" spans="1:32" x14ac:dyDescent="0.3">
      <c r="A4" s="118">
        <v>87441</v>
      </c>
      <c r="B4" s="118" t="s">
        <v>1259</v>
      </c>
      <c r="C4" s="118" t="s">
        <v>1373</v>
      </c>
      <c r="D4" s="118" t="s">
        <v>11</v>
      </c>
      <c r="E4" s="118" t="s">
        <v>999</v>
      </c>
      <c r="F4" s="118" t="s">
        <v>1259</v>
      </c>
      <c r="G4" s="118" t="s">
        <v>1374</v>
      </c>
      <c r="H4" s="119">
        <v>42606.293344907404</v>
      </c>
      <c r="I4" s="118" t="s">
        <v>4</v>
      </c>
      <c r="J4" s="118" t="s">
        <v>1228</v>
      </c>
      <c r="K4" s="119">
        <v>42593.163842592592</v>
      </c>
      <c r="L4" s="118" t="s">
        <v>315</v>
      </c>
      <c r="M4" s="118"/>
      <c r="N4" s="118"/>
      <c r="O4" s="118" t="s">
        <v>6</v>
      </c>
      <c r="P4" s="118" t="s">
        <v>30</v>
      </c>
      <c r="Q4" s="118" t="s">
        <v>8</v>
      </c>
      <c r="R4" s="118" t="s">
        <v>38</v>
      </c>
      <c r="S4" s="118"/>
      <c r="T4" s="118" t="s">
        <v>7</v>
      </c>
      <c r="U4" s="118" t="s">
        <v>10</v>
      </c>
      <c r="V4" s="118" t="s">
        <v>7</v>
      </c>
      <c r="W4" s="118" t="s">
        <v>114</v>
      </c>
      <c r="X4" s="118" t="s">
        <v>7</v>
      </c>
      <c r="Y4" s="118" t="s">
        <v>7</v>
      </c>
      <c r="Z4" s="118" t="s">
        <v>7</v>
      </c>
      <c r="AA4" s="118" t="s">
        <v>7</v>
      </c>
      <c r="AB4" s="118" t="s">
        <v>7</v>
      </c>
      <c r="AC4" s="118" t="s">
        <v>7</v>
      </c>
      <c r="AD4" s="118" t="s">
        <v>7</v>
      </c>
      <c r="AE4" s="118" t="s">
        <v>7</v>
      </c>
      <c r="AF4" s="118"/>
    </row>
    <row r="5" spans="1:32" x14ac:dyDescent="0.3">
      <c r="A5" s="118">
        <v>87449</v>
      </c>
      <c r="B5" s="118" t="s">
        <v>1083</v>
      </c>
      <c r="C5" s="118" t="s">
        <v>1304</v>
      </c>
      <c r="D5" s="118" t="s">
        <v>11</v>
      </c>
      <c r="E5" s="118" t="s">
        <v>173</v>
      </c>
      <c r="F5" s="118" t="s">
        <v>1305</v>
      </c>
      <c r="G5" s="118"/>
      <c r="H5" s="119">
        <v>42600.349247685182</v>
      </c>
      <c r="I5" s="118" t="s">
        <v>1135</v>
      </c>
      <c r="J5" s="118" t="s">
        <v>999</v>
      </c>
      <c r="K5" s="119">
        <v>42593.211192129631</v>
      </c>
      <c r="L5" s="118" t="s">
        <v>40</v>
      </c>
      <c r="M5" s="118"/>
      <c r="N5" s="118"/>
      <c r="O5" s="118" t="s">
        <v>12</v>
      </c>
      <c r="P5" s="118" t="s">
        <v>30</v>
      </c>
      <c r="Q5" s="118" t="s">
        <v>8</v>
      </c>
      <c r="R5" s="118" t="s">
        <v>122</v>
      </c>
      <c r="S5" s="118"/>
      <c r="T5" s="118" t="s">
        <v>7</v>
      </c>
      <c r="U5" s="118" t="s">
        <v>10</v>
      </c>
      <c r="V5" s="118" t="s">
        <v>7</v>
      </c>
      <c r="W5" s="118" t="s">
        <v>82</v>
      </c>
      <c r="X5" s="118" t="s">
        <v>1306</v>
      </c>
      <c r="Y5" s="118" t="s">
        <v>7</v>
      </c>
      <c r="Z5" s="118" t="s">
        <v>7</v>
      </c>
      <c r="AA5" s="118" t="s">
        <v>7</v>
      </c>
      <c r="AB5" s="118" t="s">
        <v>7</v>
      </c>
      <c r="AC5" s="118" t="s">
        <v>7</v>
      </c>
      <c r="AD5" s="118" t="s">
        <v>7</v>
      </c>
      <c r="AE5" s="118" t="s">
        <v>7</v>
      </c>
      <c r="AF5" s="118"/>
    </row>
    <row r="6" spans="1:32" x14ac:dyDescent="0.3">
      <c r="A6" s="118">
        <v>87451</v>
      </c>
      <c r="B6" s="118" t="s">
        <v>1068</v>
      </c>
      <c r="C6" s="118" t="s">
        <v>1320</v>
      </c>
      <c r="D6" s="118" t="s">
        <v>11</v>
      </c>
      <c r="E6" s="118" t="s">
        <v>173</v>
      </c>
      <c r="F6" s="118" t="s">
        <v>1321</v>
      </c>
      <c r="G6" s="118"/>
      <c r="H6" s="119">
        <v>42605.576527777775</v>
      </c>
      <c r="I6" s="118" t="s">
        <v>4</v>
      </c>
      <c r="J6" s="118" t="s">
        <v>999</v>
      </c>
      <c r="K6" s="119">
        <v>42593.224409722221</v>
      </c>
      <c r="L6" s="118" t="s">
        <v>628</v>
      </c>
      <c r="M6" s="118"/>
      <c r="N6" s="118"/>
      <c r="O6" s="118" t="s">
        <v>12</v>
      </c>
      <c r="P6" s="118" t="s">
        <v>30</v>
      </c>
      <c r="Q6" s="118" t="s">
        <v>8</v>
      </c>
      <c r="R6" s="118" t="s">
        <v>27</v>
      </c>
      <c r="S6" s="118"/>
      <c r="T6" s="118" t="s">
        <v>7</v>
      </c>
      <c r="U6" s="118" t="s">
        <v>10</v>
      </c>
      <c r="V6" s="118" t="s">
        <v>7</v>
      </c>
      <c r="W6" s="118" t="s">
        <v>82</v>
      </c>
      <c r="X6" s="118" t="s">
        <v>7</v>
      </c>
      <c r="Y6" s="118" t="s">
        <v>7</v>
      </c>
      <c r="Z6" s="118" t="s">
        <v>7</v>
      </c>
      <c r="AA6" s="118" t="s">
        <v>7</v>
      </c>
      <c r="AB6" s="118" t="s">
        <v>7</v>
      </c>
      <c r="AC6" s="118" t="s">
        <v>7</v>
      </c>
      <c r="AD6" s="118" t="s">
        <v>7</v>
      </c>
      <c r="AE6" s="118" t="s">
        <v>7</v>
      </c>
      <c r="AF6" s="118"/>
    </row>
    <row r="7" spans="1:32" x14ac:dyDescent="0.3">
      <c r="A7" s="118">
        <v>87458</v>
      </c>
      <c r="B7" s="118" t="s">
        <v>1083</v>
      </c>
      <c r="C7" s="118" t="s">
        <v>1246</v>
      </c>
      <c r="D7" s="118" t="s">
        <v>11</v>
      </c>
      <c r="E7" s="118" t="s">
        <v>999</v>
      </c>
      <c r="F7" s="118" t="s">
        <v>81</v>
      </c>
      <c r="G7" s="118"/>
      <c r="H7" s="119">
        <v>42600.349293981482</v>
      </c>
      <c r="I7" s="118" t="s">
        <v>1135</v>
      </c>
      <c r="J7" s="118" t="s">
        <v>999</v>
      </c>
      <c r="K7" s="119">
        <v>42593.304398148146</v>
      </c>
      <c r="L7" s="118" t="s">
        <v>40</v>
      </c>
      <c r="M7" s="118"/>
      <c r="N7" s="118" t="s">
        <v>1252</v>
      </c>
      <c r="O7" s="118" t="s">
        <v>12</v>
      </c>
      <c r="P7" s="118" t="s">
        <v>30</v>
      </c>
      <c r="Q7" s="118" t="s">
        <v>8</v>
      </c>
      <c r="R7" s="118" t="s">
        <v>122</v>
      </c>
      <c r="S7" s="118"/>
      <c r="T7" s="118" t="s">
        <v>7</v>
      </c>
      <c r="U7" s="118" t="s">
        <v>10</v>
      </c>
      <c r="V7" s="118" t="s">
        <v>7</v>
      </c>
      <c r="W7" s="118" t="s">
        <v>82</v>
      </c>
      <c r="X7" s="118" t="s">
        <v>1306</v>
      </c>
      <c r="Y7" s="118" t="s">
        <v>7</v>
      </c>
      <c r="Z7" s="118" t="s">
        <v>7</v>
      </c>
      <c r="AA7" s="118" t="s">
        <v>7</v>
      </c>
      <c r="AB7" s="118" t="s">
        <v>7</v>
      </c>
      <c r="AC7" s="118" t="s">
        <v>7</v>
      </c>
      <c r="AD7" s="118" t="s">
        <v>7</v>
      </c>
      <c r="AE7" s="118" t="s">
        <v>7</v>
      </c>
      <c r="AF7" s="118"/>
    </row>
    <row r="8" spans="1:32" x14ac:dyDescent="0.3">
      <c r="A8" s="118">
        <v>87459</v>
      </c>
      <c r="B8" s="118" t="s">
        <v>1068</v>
      </c>
      <c r="C8" s="118" t="s">
        <v>1247</v>
      </c>
      <c r="D8" s="118" t="s">
        <v>11</v>
      </c>
      <c r="E8" s="118" t="s">
        <v>999</v>
      </c>
      <c r="F8" s="118" t="s">
        <v>81</v>
      </c>
      <c r="G8" s="118"/>
      <c r="H8" s="119">
        <v>42606.2890162037</v>
      </c>
      <c r="I8" s="118" t="s">
        <v>4</v>
      </c>
      <c r="J8" s="118" t="s">
        <v>999</v>
      </c>
      <c r="K8" s="119">
        <v>42593.304780092592</v>
      </c>
      <c r="L8" s="118" t="s">
        <v>628</v>
      </c>
      <c r="M8" s="118"/>
      <c r="N8" s="118" t="s">
        <v>1252</v>
      </c>
      <c r="O8" s="118" t="s">
        <v>12</v>
      </c>
      <c r="P8" s="118" t="s">
        <v>30</v>
      </c>
      <c r="Q8" s="118" t="s">
        <v>8</v>
      </c>
      <c r="R8" s="118" t="s">
        <v>27</v>
      </c>
      <c r="S8" s="118"/>
      <c r="T8" s="118" t="s">
        <v>7</v>
      </c>
      <c r="U8" s="118" t="s">
        <v>10</v>
      </c>
      <c r="V8" s="118" t="s">
        <v>7</v>
      </c>
      <c r="W8" s="118" t="s">
        <v>82</v>
      </c>
      <c r="X8" s="118" t="s">
        <v>7</v>
      </c>
      <c r="Y8" s="118" t="s">
        <v>7</v>
      </c>
      <c r="Z8" s="118" t="s">
        <v>7</v>
      </c>
      <c r="AA8" s="118" t="s">
        <v>7</v>
      </c>
      <c r="AB8" s="118" t="s">
        <v>7</v>
      </c>
      <c r="AC8" s="118" t="s">
        <v>7</v>
      </c>
      <c r="AD8" s="118" t="s">
        <v>7</v>
      </c>
      <c r="AE8" s="118" t="s">
        <v>7</v>
      </c>
      <c r="AF8" s="118"/>
    </row>
    <row r="9" spans="1:32" x14ac:dyDescent="0.3">
      <c r="A9" s="118">
        <v>87491</v>
      </c>
      <c r="B9" s="118" t="s">
        <v>339</v>
      </c>
      <c r="C9" s="118" t="s">
        <v>1307</v>
      </c>
      <c r="D9" s="118" t="s">
        <v>11</v>
      </c>
      <c r="E9" s="118" t="s">
        <v>1208</v>
      </c>
      <c r="F9" s="118" t="s">
        <v>1308</v>
      </c>
      <c r="G9" s="118"/>
      <c r="H9" s="119">
        <v>42593.620810185188</v>
      </c>
      <c r="I9" s="118" t="s">
        <v>1135</v>
      </c>
      <c r="J9" s="118" t="s">
        <v>569</v>
      </c>
      <c r="K9" s="119">
        <v>42593.497812499998</v>
      </c>
      <c r="L9" s="118" t="s">
        <v>168</v>
      </c>
      <c r="M9" s="118"/>
      <c r="N9" s="118"/>
      <c r="O9" s="118" t="s">
        <v>12</v>
      </c>
      <c r="P9" s="118" t="s">
        <v>30</v>
      </c>
      <c r="Q9" s="118" t="s">
        <v>24</v>
      </c>
      <c r="R9" s="118" t="s">
        <v>47</v>
      </c>
      <c r="S9" s="118"/>
      <c r="T9" s="118" t="s">
        <v>7</v>
      </c>
      <c r="U9" s="118" t="s">
        <v>10</v>
      </c>
      <c r="V9" s="118" t="s">
        <v>7</v>
      </c>
      <c r="W9" s="118" t="s">
        <v>82</v>
      </c>
      <c r="X9" s="118" t="s">
        <v>1137</v>
      </c>
      <c r="Y9" s="118" t="s">
        <v>7</v>
      </c>
      <c r="Z9" s="118" t="s">
        <v>7</v>
      </c>
      <c r="AA9" s="118" t="s">
        <v>7</v>
      </c>
      <c r="AB9" s="118" t="s">
        <v>7</v>
      </c>
      <c r="AC9" s="118" t="s">
        <v>7</v>
      </c>
      <c r="AD9" s="118" t="s">
        <v>7</v>
      </c>
      <c r="AE9" s="118" t="s">
        <v>7</v>
      </c>
      <c r="AF9" s="118"/>
    </row>
    <row r="10" spans="1:32" x14ac:dyDescent="0.3">
      <c r="A10" s="118">
        <v>87573</v>
      </c>
      <c r="B10" s="118" t="s">
        <v>597</v>
      </c>
      <c r="C10" s="118" t="s">
        <v>1309</v>
      </c>
      <c r="D10" s="118" t="s">
        <v>2</v>
      </c>
      <c r="E10" s="118" t="s">
        <v>999</v>
      </c>
      <c r="F10" s="118" t="s">
        <v>1310</v>
      </c>
      <c r="G10" s="118"/>
      <c r="H10" s="119">
        <v>42605.481319444443</v>
      </c>
      <c r="I10" s="118" t="s">
        <v>1135</v>
      </c>
      <c r="J10" s="118" t="s">
        <v>999</v>
      </c>
      <c r="K10" s="119">
        <v>42594.549571759257</v>
      </c>
      <c r="L10" s="118" t="s">
        <v>628</v>
      </c>
      <c r="M10" s="118"/>
      <c r="N10" s="118" t="s">
        <v>616</v>
      </c>
      <c r="O10" s="118" t="s">
        <v>12</v>
      </c>
      <c r="P10" s="118" t="s">
        <v>30</v>
      </c>
      <c r="Q10" s="118" t="s">
        <v>13</v>
      </c>
      <c r="R10" s="118" t="s">
        <v>236</v>
      </c>
      <c r="S10" s="118"/>
      <c r="T10" s="118" t="s">
        <v>7</v>
      </c>
      <c r="U10" s="118" t="s">
        <v>10</v>
      </c>
      <c r="V10" s="118" t="s">
        <v>7</v>
      </c>
      <c r="W10" s="118" t="s">
        <v>82</v>
      </c>
      <c r="X10" s="118" t="s">
        <v>1134</v>
      </c>
      <c r="Y10" s="118" t="s">
        <v>7</v>
      </c>
      <c r="Z10" s="118" t="s">
        <v>7</v>
      </c>
      <c r="AA10" s="118" t="s">
        <v>7</v>
      </c>
      <c r="AB10" s="118" t="s">
        <v>7</v>
      </c>
      <c r="AC10" s="118" t="s">
        <v>7</v>
      </c>
      <c r="AD10" s="118" t="s">
        <v>7</v>
      </c>
      <c r="AE10" s="118" t="s">
        <v>7</v>
      </c>
      <c r="AF10" s="118"/>
    </row>
    <row r="11" spans="1:32" x14ac:dyDescent="0.3">
      <c r="A11" s="118">
        <v>87634</v>
      </c>
      <c r="B11" s="118" t="s">
        <v>339</v>
      </c>
      <c r="C11" s="118" t="s">
        <v>1254</v>
      </c>
      <c r="D11" s="118" t="s">
        <v>11</v>
      </c>
      <c r="E11" s="118" t="s">
        <v>999</v>
      </c>
      <c r="F11" s="118" t="s">
        <v>316</v>
      </c>
      <c r="G11" s="118"/>
      <c r="H11" s="119">
        <v>42597.98814814815</v>
      </c>
      <c r="I11" s="118" t="s">
        <v>20</v>
      </c>
      <c r="J11" s="118" t="s">
        <v>48</v>
      </c>
      <c r="K11" s="119">
        <v>42597.987395833334</v>
      </c>
      <c r="L11" s="118" t="s">
        <v>628</v>
      </c>
      <c r="M11" s="118"/>
      <c r="N11" s="118" t="s">
        <v>347</v>
      </c>
      <c r="O11" s="118" t="s">
        <v>17</v>
      </c>
      <c r="P11" s="118" t="s">
        <v>30</v>
      </c>
      <c r="Q11" s="118" t="s">
        <v>24</v>
      </c>
      <c r="R11" s="118" t="s">
        <v>46</v>
      </c>
      <c r="S11" s="118"/>
      <c r="T11" s="118" t="s">
        <v>7</v>
      </c>
      <c r="U11" s="118" t="s">
        <v>10</v>
      </c>
      <c r="V11" s="118" t="s">
        <v>7</v>
      </c>
      <c r="W11" s="118" t="s">
        <v>82</v>
      </c>
      <c r="X11" s="118" t="s">
        <v>7</v>
      </c>
      <c r="Y11" s="118" t="s">
        <v>7</v>
      </c>
      <c r="Z11" s="118" t="s">
        <v>7</v>
      </c>
      <c r="AA11" s="118" t="s">
        <v>7</v>
      </c>
      <c r="AB11" s="118" t="s">
        <v>7</v>
      </c>
      <c r="AC11" s="118" t="s">
        <v>7</v>
      </c>
      <c r="AD11" s="118" t="s">
        <v>7</v>
      </c>
      <c r="AE11" s="118" t="s">
        <v>7</v>
      </c>
      <c r="AF11" s="118"/>
    </row>
    <row r="12" spans="1:32" x14ac:dyDescent="0.3">
      <c r="A12" s="118">
        <v>87635</v>
      </c>
      <c r="B12" s="118" t="s">
        <v>1259</v>
      </c>
      <c r="C12" s="118" t="s">
        <v>1255</v>
      </c>
      <c r="D12" s="118" t="s">
        <v>2</v>
      </c>
      <c r="E12" s="118" t="s">
        <v>999</v>
      </c>
      <c r="F12" s="118" t="s">
        <v>316</v>
      </c>
      <c r="G12" s="118"/>
      <c r="H12" s="119">
        <v>42605.299074074072</v>
      </c>
      <c r="I12" s="118" t="s">
        <v>4</v>
      </c>
      <c r="J12" s="118" t="s">
        <v>80</v>
      </c>
      <c r="K12" s="119">
        <v>42598.010752314818</v>
      </c>
      <c r="L12" s="118" t="s">
        <v>16</v>
      </c>
      <c r="M12" s="118"/>
      <c r="N12" s="118" t="s">
        <v>1252</v>
      </c>
      <c r="O12" s="118" t="s">
        <v>17</v>
      </c>
      <c r="P12" s="118" t="s">
        <v>30</v>
      </c>
      <c r="Q12" s="118" t="s">
        <v>13</v>
      </c>
      <c r="R12" s="118" t="s">
        <v>19</v>
      </c>
      <c r="S12" s="118"/>
      <c r="T12" s="118" t="s">
        <v>7</v>
      </c>
      <c r="U12" s="118" t="s">
        <v>10</v>
      </c>
      <c r="V12" s="118" t="s">
        <v>7</v>
      </c>
      <c r="W12" s="118" t="s">
        <v>82</v>
      </c>
      <c r="X12" s="118" t="s">
        <v>7</v>
      </c>
      <c r="Y12" s="118" t="s">
        <v>309</v>
      </c>
      <c r="Z12" s="118" t="s">
        <v>7</v>
      </c>
      <c r="AA12" s="118" t="s">
        <v>7</v>
      </c>
      <c r="AB12" s="118" t="s">
        <v>7</v>
      </c>
      <c r="AC12" s="118" t="s">
        <v>7</v>
      </c>
      <c r="AD12" s="118" t="s">
        <v>7</v>
      </c>
      <c r="AE12" s="118" t="s">
        <v>1085</v>
      </c>
      <c r="AF12" s="118"/>
    </row>
    <row r="13" spans="1:32" x14ac:dyDescent="0.3">
      <c r="A13" s="118">
        <v>87652</v>
      </c>
      <c r="B13" s="118" t="s">
        <v>695</v>
      </c>
      <c r="C13" s="118" t="s">
        <v>1322</v>
      </c>
      <c r="D13" s="118" t="s">
        <v>11</v>
      </c>
      <c r="E13" s="118" t="s">
        <v>173</v>
      </c>
      <c r="F13" s="118" t="s">
        <v>1296</v>
      </c>
      <c r="G13" s="118" t="s">
        <v>1338</v>
      </c>
      <c r="H13" s="119">
        <v>42606.385439814818</v>
      </c>
      <c r="I13" s="118" t="s">
        <v>4</v>
      </c>
      <c r="J13" s="118" t="s">
        <v>999</v>
      </c>
      <c r="K13" s="119">
        <v>42598.252962962964</v>
      </c>
      <c r="L13" s="118" t="s">
        <v>628</v>
      </c>
      <c r="M13" s="118"/>
      <c r="N13" s="118"/>
      <c r="O13" s="118" t="s">
        <v>6</v>
      </c>
      <c r="P13" s="118" t="s">
        <v>30</v>
      </c>
      <c r="Q13" s="118" t="s">
        <v>8</v>
      </c>
      <c r="R13" s="118" t="s">
        <v>122</v>
      </c>
      <c r="S13" s="118"/>
      <c r="T13" s="118" t="s">
        <v>7</v>
      </c>
      <c r="U13" s="118" t="s">
        <v>10</v>
      </c>
      <c r="V13" s="118" t="s">
        <v>7</v>
      </c>
      <c r="W13" s="118" t="s">
        <v>114</v>
      </c>
      <c r="X13" s="118" t="s">
        <v>7</v>
      </c>
      <c r="Y13" s="118" t="s">
        <v>7</v>
      </c>
      <c r="Z13" s="118" t="s">
        <v>7</v>
      </c>
      <c r="AA13" s="118" t="s">
        <v>7</v>
      </c>
      <c r="AB13" s="118" t="s">
        <v>7</v>
      </c>
      <c r="AC13" s="118" t="s">
        <v>7</v>
      </c>
      <c r="AD13" s="118" t="s">
        <v>7</v>
      </c>
      <c r="AE13" s="118" t="s">
        <v>7</v>
      </c>
      <c r="AF13" s="118"/>
    </row>
    <row r="14" spans="1:32" x14ac:dyDescent="0.3">
      <c r="A14" s="118">
        <v>87658</v>
      </c>
      <c r="B14" s="118" t="s">
        <v>995</v>
      </c>
      <c r="C14" s="118" t="s">
        <v>1323</v>
      </c>
      <c r="D14" s="118" t="s">
        <v>11</v>
      </c>
      <c r="E14" s="118" t="s">
        <v>173</v>
      </c>
      <c r="F14" s="118" t="s">
        <v>1206</v>
      </c>
      <c r="G14" s="118" t="s">
        <v>1074</v>
      </c>
      <c r="H14" s="119">
        <v>42606.018217592595</v>
      </c>
      <c r="I14" s="118" t="s">
        <v>1135</v>
      </c>
      <c r="J14" s="118" t="s">
        <v>569</v>
      </c>
      <c r="K14" s="119">
        <v>42598.29859953704</v>
      </c>
      <c r="L14" s="118" t="s">
        <v>84</v>
      </c>
      <c r="M14" s="118"/>
      <c r="N14" s="118"/>
      <c r="O14" s="118" t="s">
        <v>12</v>
      </c>
      <c r="P14" s="118" t="s">
        <v>30</v>
      </c>
      <c r="Q14" s="118" t="s">
        <v>8</v>
      </c>
      <c r="R14" s="118" t="s">
        <v>27</v>
      </c>
      <c r="S14" s="118"/>
      <c r="T14" s="118" t="s">
        <v>7</v>
      </c>
      <c r="U14" s="118" t="s">
        <v>10</v>
      </c>
      <c r="V14" s="118" t="s">
        <v>7</v>
      </c>
      <c r="W14" s="118" t="s">
        <v>82</v>
      </c>
      <c r="X14" s="118" t="s">
        <v>1134</v>
      </c>
      <c r="Y14" s="118" t="s">
        <v>7</v>
      </c>
      <c r="Z14" s="118" t="s">
        <v>363</v>
      </c>
      <c r="AA14" s="118" t="s">
        <v>7</v>
      </c>
      <c r="AB14" s="118" t="s">
        <v>7</v>
      </c>
      <c r="AC14" s="118" t="s">
        <v>7</v>
      </c>
      <c r="AD14" s="118" t="s">
        <v>7</v>
      </c>
      <c r="AE14" s="118" t="s">
        <v>7</v>
      </c>
      <c r="AF14" s="118"/>
    </row>
    <row r="15" spans="1:32" x14ac:dyDescent="0.3">
      <c r="A15" s="118">
        <v>87660</v>
      </c>
      <c r="B15" s="118" t="s">
        <v>695</v>
      </c>
      <c r="C15" s="118" t="s">
        <v>1256</v>
      </c>
      <c r="D15" s="118" t="s">
        <v>11</v>
      </c>
      <c r="E15" s="118" t="s">
        <v>999</v>
      </c>
      <c r="F15" s="118" t="s">
        <v>81</v>
      </c>
      <c r="G15" s="118"/>
      <c r="H15" s="119">
        <v>42605.445960648147</v>
      </c>
      <c r="I15" s="118" t="s">
        <v>4</v>
      </c>
      <c r="J15" s="118" t="s">
        <v>999</v>
      </c>
      <c r="K15" s="119">
        <v>42598.310243055559</v>
      </c>
      <c r="L15" s="118" t="s">
        <v>628</v>
      </c>
      <c r="M15" s="118"/>
      <c r="N15" s="118" t="s">
        <v>1252</v>
      </c>
      <c r="O15" s="118" t="s">
        <v>6</v>
      </c>
      <c r="P15" s="118" t="s">
        <v>30</v>
      </c>
      <c r="Q15" s="118" t="s">
        <v>8</v>
      </c>
      <c r="R15" s="118" t="s">
        <v>122</v>
      </c>
      <c r="S15" s="118"/>
      <c r="T15" s="118" t="s">
        <v>7</v>
      </c>
      <c r="U15" s="118" t="s">
        <v>10</v>
      </c>
      <c r="V15" s="118" t="s">
        <v>7</v>
      </c>
      <c r="W15" s="118" t="s">
        <v>114</v>
      </c>
      <c r="X15" s="118" t="s">
        <v>7</v>
      </c>
      <c r="Y15" s="118" t="s">
        <v>7</v>
      </c>
      <c r="Z15" s="118" t="s">
        <v>7</v>
      </c>
      <c r="AA15" s="118" t="s">
        <v>7</v>
      </c>
      <c r="AB15" s="118" t="s">
        <v>7</v>
      </c>
      <c r="AC15" s="118" t="s">
        <v>7</v>
      </c>
      <c r="AD15" s="118" t="s">
        <v>7</v>
      </c>
      <c r="AE15" s="118" t="s">
        <v>7</v>
      </c>
      <c r="AF15" s="118"/>
    </row>
    <row r="16" spans="1:32" x14ac:dyDescent="0.3">
      <c r="A16" s="118">
        <v>87661</v>
      </c>
      <c r="B16" s="118" t="s">
        <v>995</v>
      </c>
      <c r="C16" s="118" t="s">
        <v>1248</v>
      </c>
      <c r="D16" s="118" t="s">
        <v>652</v>
      </c>
      <c r="E16" s="118" t="s">
        <v>569</v>
      </c>
      <c r="F16" s="118" t="s">
        <v>81</v>
      </c>
      <c r="G16" s="118" t="s">
        <v>1074</v>
      </c>
      <c r="H16" s="119">
        <v>42604.984305555554</v>
      </c>
      <c r="I16" s="118" t="s">
        <v>1135</v>
      </c>
      <c r="J16" s="118" t="s">
        <v>569</v>
      </c>
      <c r="K16" s="119">
        <v>42598.315254629626</v>
      </c>
      <c r="L16" s="118" t="s">
        <v>84</v>
      </c>
      <c r="M16" s="118"/>
      <c r="N16" s="118" t="s">
        <v>717</v>
      </c>
      <c r="O16" s="118" t="s">
        <v>12</v>
      </c>
      <c r="P16" s="118" t="s">
        <v>30</v>
      </c>
      <c r="Q16" s="118" t="s">
        <v>8</v>
      </c>
      <c r="R16" s="118" t="s">
        <v>27</v>
      </c>
      <c r="S16" s="118"/>
      <c r="T16" s="118" t="s">
        <v>7</v>
      </c>
      <c r="U16" s="118" t="s">
        <v>10</v>
      </c>
      <c r="V16" s="118" t="s">
        <v>7</v>
      </c>
      <c r="W16" s="118" t="s">
        <v>82</v>
      </c>
      <c r="X16" s="118" t="s">
        <v>1134</v>
      </c>
      <c r="Y16" s="118" t="s">
        <v>7</v>
      </c>
      <c r="Z16" s="118" t="s">
        <v>363</v>
      </c>
      <c r="AA16" s="118" t="s">
        <v>7</v>
      </c>
      <c r="AB16" s="118" t="s">
        <v>1235</v>
      </c>
      <c r="AC16" s="118" t="s">
        <v>217</v>
      </c>
      <c r="AD16" s="118" t="s">
        <v>7</v>
      </c>
      <c r="AE16" s="118" t="s">
        <v>7</v>
      </c>
      <c r="AF16" s="118"/>
    </row>
    <row r="17" spans="1:32" x14ac:dyDescent="0.3">
      <c r="A17" s="118">
        <v>87662</v>
      </c>
      <c r="B17" s="118" t="s">
        <v>995</v>
      </c>
      <c r="C17" s="118" t="s">
        <v>1257</v>
      </c>
      <c r="D17" s="118" t="s">
        <v>652</v>
      </c>
      <c r="E17" s="118" t="s">
        <v>999</v>
      </c>
      <c r="F17" s="118" t="s">
        <v>81</v>
      </c>
      <c r="G17" s="118" t="s">
        <v>1074</v>
      </c>
      <c r="H17" s="119">
        <v>42606.016053240739</v>
      </c>
      <c r="I17" s="118" t="s">
        <v>1135</v>
      </c>
      <c r="J17" s="118" t="s">
        <v>569</v>
      </c>
      <c r="K17" s="119">
        <v>42598.315300925926</v>
      </c>
      <c r="L17" s="118" t="s">
        <v>84</v>
      </c>
      <c r="M17" s="118"/>
      <c r="N17" s="118" t="s">
        <v>1252</v>
      </c>
      <c r="O17" s="118" t="s">
        <v>12</v>
      </c>
      <c r="P17" s="118" t="s">
        <v>30</v>
      </c>
      <c r="Q17" s="118" t="s">
        <v>8</v>
      </c>
      <c r="R17" s="118" t="s">
        <v>27</v>
      </c>
      <c r="S17" s="118"/>
      <c r="T17" s="118" t="s">
        <v>7</v>
      </c>
      <c r="U17" s="118" t="s">
        <v>10</v>
      </c>
      <c r="V17" s="118" t="s">
        <v>7</v>
      </c>
      <c r="W17" s="118" t="s">
        <v>82</v>
      </c>
      <c r="X17" s="118" t="s">
        <v>1134</v>
      </c>
      <c r="Y17" s="118" t="s">
        <v>7</v>
      </c>
      <c r="Z17" s="118" t="s">
        <v>363</v>
      </c>
      <c r="AA17" s="118" t="s">
        <v>7</v>
      </c>
      <c r="AB17" s="118" t="s">
        <v>1363</v>
      </c>
      <c r="AC17" s="118" t="s">
        <v>7</v>
      </c>
      <c r="AD17" s="118" t="s">
        <v>7</v>
      </c>
      <c r="AE17" s="118" t="s">
        <v>7</v>
      </c>
      <c r="AF17" s="118"/>
    </row>
    <row r="18" spans="1:32" x14ac:dyDescent="0.3">
      <c r="A18" s="118">
        <v>87672</v>
      </c>
      <c r="B18" s="118" t="s">
        <v>1083</v>
      </c>
      <c r="C18" s="118" t="s">
        <v>1311</v>
      </c>
      <c r="D18" s="118" t="s">
        <v>11</v>
      </c>
      <c r="E18" s="118" t="s">
        <v>569</v>
      </c>
      <c r="F18" s="118" t="s">
        <v>316</v>
      </c>
      <c r="G18" s="118" t="s">
        <v>1312</v>
      </c>
      <c r="H18" s="119">
        <v>42600.349363425928</v>
      </c>
      <c r="I18" s="118" t="s">
        <v>1135</v>
      </c>
      <c r="J18" s="118" t="s">
        <v>999</v>
      </c>
      <c r="K18" s="119">
        <v>42598.50277777778</v>
      </c>
      <c r="L18" s="118" t="s">
        <v>40</v>
      </c>
      <c r="M18" s="118"/>
      <c r="N18" s="118" t="s">
        <v>717</v>
      </c>
      <c r="O18" s="118" t="s">
        <v>12</v>
      </c>
      <c r="P18" s="118" t="s">
        <v>30</v>
      </c>
      <c r="Q18" s="118" t="s">
        <v>8</v>
      </c>
      <c r="R18" s="118" t="s">
        <v>122</v>
      </c>
      <c r="S18" s="118"/>
      <c r="T18" s="118" t="s">
        <v>7</v>
      </c>
      <c r="U18" s="118" t="s">
        <v>10</v>
      </c>
      <c r="V18" s="118" t="s">
        <v>7</v>
      </c>
      <c r="W18" s="118" t="s">
        <v>82</v>
      </c>
      <c r="X18" s="118" t="s">
        <v>1306</v>
      </c>
      <c r="Y18" s="118" t="s">
        <v>7</v>
      </c>
      <c r="Z18" s="118" t="s">
        <v>7</v>
      </c>
      <c r="AA18" s="118" t="s">
        <v>7</v>
      </c>
      <c r="AB18" s="118" t="s">
        <v>7</v>
      </c>
      <c r="AC18" s="118" t="s">
        <v>7</v>
      </c>
      <c r="AD18" s="118" t="s">
        <v>7</v>
      </c>
      <c r="AE18" s="118" t="s">
        <v>7</v>
      </c>
      <c r="AF18" s="118"/>
    </row>
    <row r="19" spans="1:32" x14ac:dyDescent="0.3">
      <c r="A19" s="118">
        <v>87706</v>
      </c>
      <c r="B19" s="118" t="s">
        <v>1259</v>
      </c>
      <c r="C19" s="118" t="s">
        <v>1324</v>
      </c>
      <c r="D19" s="118" t="s">
        <v>146</v>
      </c>
      <c r="E19" s="118" t="s">
        <v>999</v>
      </c>
      <c r="F19" s="118" t="s">
        <v>1259</v>
      </c>
      <c r="G19" s="118" t="s">
        <v>1374</v>
      </c>
      <c r="H19" s="119">
        <v>42601.17591435185</v>
      </c>
      <c r="I19" s="118" t="s">
        <v>4</v>
      </c>
      <c r="J19" s="118" t="s">
        <v>999</v>
      </c>
      <c r="K19" s="119">
        <v>42599.055173611108</v>
      </c>
      <c r="L19" s="118" t="s">
        <v>115</v>
      </c>
      <c r="M19" s="118"/>
      <c r="N19" s="118"/>
      <c r="O19" s="118" t="s">
        <v>17</v>
      </c>
      <c r="P19" s="118" t="s">
        <v>30</v>
      </c>
      <c r="Q19" s="118" t="s">
        <v>13</v>
      </c>
      <c r="R19" s="118" t="s">
        <v>19</v>
      </c>
      <c r="S19" s="118"/>
      <c r="T19" s="118" t="s">
        <v>7</v>
      </c>
      <c r="U19" s="118" t="s">
        <v>10</v>
      </c>
      <c r="V19" s="118" t="s">
        <v>7</v>
      </c>
      <c r="W19" s="118" t="s">
        <v>114</v>
      </c>
      <c r="X19" s="118" t="s">
        <v>7</v>
      </c>
      <c r="Y19" s="118" t="s">
        <v>7</v>
      </c>
      <c r="Z19" s="118" t="s">
        <v>7</v>
      </c>
      <c r="AA19" s="118" t="s">
        <v>7</v>
      </c>
      <c r="AB19" s="118" t="s">
        <v>7</v>
      </c>
      <c r="AC19" s="118" t="s">
        <v>7</v>
      </c>
      <c r="AD19" s="118" t="s">
        <v>7</v>
      </c>
      <c r="AE19" s="118" t="s">
        <v>7</v>
      </c>
      <c r="AF19" s="118"/>
    </row>
    <row r="20" spans="1:32" x14ac:dyDescent="0.3">
      <c r="A20" s="118">
        <v>87707</v>
      </c>
      <c r="B20" s="118" t="s">
        <v>1068</v>
      </c>
      <c r="C20" s="118" t="s">
        <v>1325</v>
      </c>
      <c r="D20" s="118" t="s">
        <v>146</v>
      </c>
      <c r="E20" s="118" t="s">
        <v>999</v>
      </c>
      <c r="F20" s="118" t="s">
        <v>1259</v>
      </c>
      <c r="G20" s="118" t="s">
        <v>1326</v>
      </c>
      <c r="H20" s="119">
        <v>42600.24114583333</v>
      </c>
      <c r="I20" s="118" t="s">
        <v>4</v>
      </c>
      <c r="J20" s="118" t="s">
        <v>999</v>
      </c>
      <c r="K20" s="119">
        <v>42599.063437500001</v>
      </c>
      <c r="L20" s="118" t="s">
        <v>115</v>
      </c>
      <c r="M20" s="118"/>
      <c r="N20" s="118"/>
      <c r="O20" s="118" t="s">
        <v>17</v>
      </c>
      <c r="P20" s="118" t="s">
        <v>30</v>
      </c>
      <c r="Q20" s="118" t="s">
        <v>13</v>
      </c>
      <c r="R20" s="118" t="s">
        <v>19</v>
      </c>
      <c r="S20" s="118"/>
      <c r="T20" s="118" t="s">
        <v>7</v>
      </c>
      <c r="U20" s="118" t="s">
        <v>10</v>
      </c>
      <c r="V20" s="118" t="s">
        <v>7</v>
      </c>
      <c r="W20" s="118" t="s">
        <v>114</v>
      </c>
      <c r="X20" s="118" t="s">
        <v>7</v>
      </c>
      <c r="Y20" s="118" t="s">
        <v>7</v>
      </c>
      <c r="Z20" s="118" t="s">
        <v>7</v>
      </c>
      <c r="AA20" s="118" t="s">
        <v>7</v>
      </c>
      <c r="AB20" s="118" t="s">
        <v>7</v>
      </c>
      <c r="AC20" s="118" t="s">
        <v>7</v>
      </c>
      <c r="AD20" s="118" t="s">
        <v>7</v>
      </c>
      <c r="AE20" s="118" t="s">
        <v>7</v>
      </c>
      <c r="AF20" s="118"/>
    </row>
    <row r="21" spans="1:32" x14ac:dyDescent="0.3">
      <c r="A21" s="118">
        <v>87717</v>
      </c>
      <c r="B21" s="118" t="s">
        <v>695</v>
      </c>
      <c r="C21" s="118" t="s">
        <v>1250</v>
      </c>
      <c r="D21" s="118" t="s">
        <v>11</v>
      </c>
      <c r="E21" s="118" t="s">
        <v>569</v>
      </c>
      <c r="F21" s="118" t="s">
        <v>81</v>
      </c>
      <c r="G21" s="118" t="s">
        <v>1375</v>
      </c>
      <c r="H21" s="119">
        <v>42606.220196759263</v>
      </c>
      <c r="I21" s="118" t="s">
        <v>4</v>
      </c>
      <c r="J21" s="118" t="s">
        <v>999</v>
      </c>
      <c r="K21" s="119">
        <v>42599.283912037034</v>
      </c>
      <c r="L21" s="118" t="s">
        <v>628</v>
      </c>
      <c r="M21" s="118"/>
      <c r="N21" s="118" t="s">
        <v>366</v>
      </c>
      <c r="O21" s="118" t="s">
        <v>6</v>
      </c>
      <c r="P21" s="118" t="s">
        <v>30</v>
      </c>
      <c r="Q21" s="118" t="s">
        <v>8</v>
      </c>
      <c r="R21" s="118" t="s">
        <v>122</v>
      </c>
      <c r="S21" s="118"/>
      <c r="T21" s="118" t="s">
        <v>7</v>
      </c>
      <c r="U21" s="118" t="s">
        <v>10</v>
      </c>
      <c r="V21" s="118" t="s">
        <v>7</v>
      </c>
      <c r="W21" s="118" t="s">
        <v>114</v>
      </c>
      <c r="X21" s="118" t="s">
        <v>7</v>
      </c>
      <c r="Y21" s="118" t="s">
        <v>7</v>
      </c>
      <c r="Z21" s="118" t="s">
        <v>7</v>
      </c>
      <c r="AA21" s="118" t="s">
        <v>7</v>
      </c>
      <c r="AB21" s="118" t="s">
        <v>1336</v>
      </c>
      <c r="AC21" s="118" t="s">
        <v>7</v>
      </c>
      <c r="AD21" s="118" t="s">
        <v>7</v>
      </c>
      <c r="AE21" s="118" t="s">
        <v>7</v>
      </c>
      <c r="AF21" s="118"/>
    </row>
    <row r="22" spans="1:32" x14ac:dyDescent="0.3">
      <c r="A22" s="118">
        <v>87719</v>
      </c>
      <c r="B22" s="118" t="s">
        <v>1079</v>
      </c>
      <c r="C22" s="118" t="s">
        <v>1258</v>
      </c>
      <c r="D22" s="118" t="s">
        <v>2</v>
      </c>
      <c r="E22" s="118" t="s">
        <v>999</v>
      </c>
      <c r="F22" s="118" t="s">
        <v>81</v>
      </c>
      <c r="G22" s="118"/>
      <c r="H22" s="119">
        <v>42606.482523148145</v>
      </c>
      <c r="I22" s="118" t="s">
        <v>1135</v>
      </c>
      <c r="J22" s="118" t="s">
        <v>999</v>
      </c>
      <c r="K22" s="119">
        <v>42599.304236111115</v>
      </c>
      <c r="L22" s="118" t="s">
        <v>43</v>
      </c>
      <c r="M22" s="118"/>
      <c r="N22" s="118" t="s">
        <v>717</v>
      </c>
      <c r="O22" s="118" t="s">
        <v>12</v>
      </c>
      <c r="P22" s="118" t="s">
        <v>30</v>
      </c>
      <c r="Q22" s="118" t="s">
        <v>13</v>
      </c>
      <c r="R22" s="118" t="s">
        <v>587</v>
      </c>
      <c r="S22" s="118"/>
      <c r="T22" s="118" t="s">
        <v>7</v>
      </c>
      <c r="U22" s="118" t="s">
        <v>10</v>
      </c>
      <c r="V22" s="118" t="s">
        <v>7</v>
      </c>
      <c r="W22" s="118" t="s">
        <v>82</v>
      </c>
      <c r="X22" s="118" t="s">
        <v>1134</v>
      </c>
      <c r="Y22" s="118" t="s">
        <v>7</v>
      </c>
      <c r="Z22" s="118" t="s">
        <v>7</v>
      </c>
      <c r="AA22" s="118" t="s">
        <v>7</v>
      </c>
      <c r="AB22" s="118" t="s">
        <v>7</v>
      </c>
      <c r="AC22" s="118" t="s">
        <v>7</v>
      </c>
      <c r="AD22" s="118" t="s">
        <v>7</v>
      </c>
      <c r="AE22" s="118" t="s">
        <v>7</v>
      </c>
      <c r="AF22" s="118"/>
    </row>
    <row r="23" spans="1:32" x14ac:dyDescent="0.3">
      <c r="A23" s="118">
        <v>87735</v>
      </c>
      <c r="B23" s="118" t="s">
        <v>564</v>
      </c>
      <c r="C23" s="118" t="s">
        <v>1327</v>
      </c>
      <c r="D23" s="118" t="s">
        <v>11</v>
      </c>
      <c r="E23" s="118" t="s">
        <v>173</v>
      </c>
      <c r="F23" s="118" t="s">
        <v>815</v>
      </c>
      <c r="G23" s="118"/>
      <c r="H23" s="119">
        <v>42600.322048611109</v>
      </c>
      <c r="I23" s="118" t="s">
        <v>20</v>
      </c>
      <c r="J23" s="118" t="s">
        <v>1328</v>
      </c>
      <c r="K23" s="119">
        <v>42599.414907407408</v>
      </c>
      <c r="L23" s="118" t="s">
        <v>16</v>
      </c>
      <c r="M23" s="118"/>
      <c r="N23" s="118"/>
      <c r="O23" s="118" t="s">
        <v>17</v>
      </c>
      <c r="P23" s="118" t="s">
        <v>30</v>
      </c>
      <c r="Q23" s="118" t="s">
        <v>13</v>
      </c>
      <c r="R23" s="118" t="s">
        <v>19</v>
      </c>
      <c r="S23" s="118"/>
      <c r="T23" s="118" t="s">
        <v>7</v>
      </c>
      <c r="U23" s="118" t="s">
        <v>10</v>
      </c>
      <c r="V23" s="118" t="s">
        <v>7</v>
      </c>
      <c r="W23" s="118" t="s">
        <v>82</v>
      </c>
      <c r="X23" s="118" t="s">
        <v>7</v>
      </c>
      <c r="Y23" s="118" t="s">
        <v>7</v>
      </c>
      <c r="Z23" s="118" t="s">
        <v>7</v>
      </c>
      <c r="AA23" s="118" t="s">
        <v>7</v>
      </c>
      <c r="AB23" s="118" t="s">
        <v>7</v>
      </c>
      <c r="AC23" s="118" t="s">
        <v>7</v>
      </c>
      <c r="AD23" s="118" t="s">
        <v>7</v>
      </c>
      <c r="AE23" s="118" t="s">
        <v>7</v>
      </c>
      <c r="AF23" s="118"/>
    </row>
    <row r="24" spans="1:32" x14ac:dyDescent="0.3">
      <c r="A24" s="118">
        <v>87761</v>
      </c>
      <c r="B24" s="118" t="s">
        <v>374</v>
      </c>
      <c r="C24" s="118" t="s">
        <v>1376</v>
      </c>
      <c r="D24" s="118" t="s">
        <v>146</v>
      </c>
      <c r="E24" s="118" t="s">
        <v>1208</v>
      </c>
      <c r="F24" s="118" t="s">
        <v>382</v>
      </c>
      <c r="G24" s="118"/>
      <c r="H24" s="119">
        <v>42601.580833333333</v>
      </c>
      <c r="I24" s="118" t="s">
        <v>20</v>
      </c>
      <c r="J24" s="118" t="s">
        <v>999</v>
      </c>
      <c r="K24" s="119">
        <v>42599.660451388889</v>
      </c>
      <c r="L24" s="118" t="s">
        <v>84</v>
      </c>
      <c r="M24" s="118"/>
      <c r="N24" s="118"/>
      <c r="O24" s="118" t="s">
        <v>6</v>
      </c>
      <c r="P24" s="118" t="s">
        <v>30</v>
      </c>
      <c r="Q24" s="118" t="s">
        <v>13</v>
      </c>
      <c r="R24" s="118" t="s">
        <v>19</v>
      </c>
      <c r="S24" s="118"/>
      <c r="T24" s="118" t="s">
        <v>7</v>
      </c>
      <c r="U24" s="118" t="s">
        <v>10</v>
      </c>
      <c r="V24" s="118" t="s">
        <v>7</v>
      </c>
      <c r="W24" s="118" t="s">
        <v>697</v>
      </c>
      <c r="X24" s="118" t="s">
        <v>7</v>
      </c>
      <c r="Y24" s="118" t="s">
        <v>309</v>
      </c>
      <c r="Z24" s="118" t="s">
        <v>7</v>
      </c>
      <c r="AA24" s="118" t="s">
        <v>7</v>
      </c>
      <c r="AB24" s="118" t="s">
        <v>7</v>
      </c>
      <c r="AC24" s="118" t="s">
        <v>7</v>
      </c>
      <c r="AD24" s="118" t="s">
        <v>7</v>
      </c>
      <c r="AE24" s="118" t="s">
        <v>7</v>
      </c>
      <c r="AF24" s="118"/>
    </row>
    <row r="25" spans="1:32" x14ac:dyDescent="0.3">
      <c r="A25" s="118">
        <v>87765</v>
      </c>
      <c r="B25" s="118" t="s">
        <v>564</v>
      </c>
      <c r="C25" s="118" t="s">
        <v>1329</v>
      </c>
      <c r="D25" s="118" t="s">
        <v>11</v>
      </c>
      <c r="E25" s="118" t="s">
        <v>1328</v>
      </c>
      <c r="F25" s="118" t="s">
        <v>81</v>
      </c>
      <c r="G25" s="118"/>
      <c r="H25" s="119">
        <v>42599.675509259258</v>
      </c>
      <c r="I25" s="118" t="s">
        <v>20</v>
      </c>
      <c r="J25" s="118" t="s">
        <v>1328</v>
      </c>
      <c r="K25" s="119">
        <v>42599.675509259258</v>
      </c>
      <c r="L25" s="118" t="s">
        <v>16</v>
      </c>
      <c r="M25" s="118"/>
      <c r="N25" s="118"/>
      <c r="O25" s="118" t="s">
        <v>17</v>
      </c>
      <c r="P25" s="118" t="s">
        <v>30</v>
      </c>
      <c r="Q25" s="118" t="s">
        <v>13</v>
      </c>
      <c r="R25" s="118" t="s">
        <v>19</v>
      </c>
      <c r="S25" s="118"/>
      <c r="T25" s="118" t="s">
        <v>7</v>
      </c>
      <c r="U25" s="118" t="s">
        <v>10</v>
      </c>
      <c r="V25" s="118" t="s">
        <v>7</v>
      </c>
      <c r="W25" s="118" t="s">
        <v>82</v>
      </c>
      <c r="X25" s="118" t="s">
        <v>7</v>
      </c>
      <c r="Y25" s="118" t="s">
        <v>7</v>
      </c>
      <c r="Z25" s="118" t="s">
        <v>7</v>
      </c>
      <c r="AA25" s="118" t="s">
        <v>7</v>
      </c>
      <c r="AB25" s="118" t="s">
        <v>7</v>
      </c>
      <c r="AC25" s="118" t="s">
        <v>7</v>
      </c>
      <c r="AD25" s="118" t="s">
        <v>7</v>
      </c>
      <c r="AE25" s="118" t="s">
        <v>7</v>
      </c>
      <c r="AF25" s="118"/>
    </row>
    <row r="26" spans="1:32" x14ac:dyDescent="0.3">
      <c r="A26" s="118">
        <v>87871</v>
      </c>
      <c r="B26" s="118" t="s">
        <v>374</v>
      </c>
      <c r="C26" s="118" t="s">
        <v>1377</v>
      </c>
      <c r="D26" s="118" t="s">
        <v>146</v>
      </c>
      <c r="E26" s="118" t="s">
        <v>1208</v>
      </c>
      <c r="F26" s="118" t="s">
        <v>382</v>
      </c>
      <c r="G26" s="118"/>
      <c r="H26" s="119">
        <v>42601.593599537038</v>
      </c>
      <c r="I26" s="118" t="s">
        <v>20</v>
      </c>
      <c r="J26" s="118" t="s">
        <v>999</v>
      </c>
      <c r="K26" s="119">
        <v>42601.593599537038</v>
      </c>
      <c r="L26" s="118" t="s">
        <v>84</v>
      </c>
      <c r="M26" s="118"/>
      <c r="N26" s="118"/>
      <c r="O26" s="118" t="s">
        <v>6</v>
      </c>
      <c r="P26" s="118" t="s">
        <v>30</v>
      </c>
      <c r="Q26" s="118" t="s">
        <v>13</v>
      </c>
      <c r="R26" s="118" t="s">
        <v>19</v>
      </c>
      <c r="S26" s="118"/>
      <c r="T26" s="118" t="s">
        <v>7</v>
      </c>
      <c r="U26" s="118" t="s">
        <v>10</v>
      </c>
      <c r="V26" s="118" t="s">
        <v>7</v>
      </c>
      <c r="W26" s="118" t="s">
        <v>697</v>
      </c>
      <c r="X26" s="118" t="s">
        <v>7</v>
      </c>
      <c r="Y26" s="118" t="s">
        <v>309</v>
      </c>
      <c r="Z26" s="118" t="s">
        <v>7</v>
      </c>
      <c r="AA26" s="118" t="s">
        <v>7</v>
      </c>
      <c r="AB26" s="118" t="s">
        <v>7</v>
      </c>
      <c r="AC26" s="118" t="s">
        <v>7</v>
      </c>
      <c r="AD26" s="118" t="s">
        <v>7</v>
      </c>
      <c r="AE26" s="118" t="s">
        <v>7</v>
      </c>
      <c r="AF26" s="118"/>
    </row>
    <row r="27" spans="1:32" x14ac:dyDescent="0.3">
      <c r="A27" s="118">
        <v>87873</v>
      </c>
      <c r="B27" s="118" t="s">
        <v>332</v>
      </c>
      <c r="C27" s="118" t="s">
        <v>1378</v>
      </c>
      <c r="D27" s="118" t="s">
        <v>11</v>
      </c>
      <c r="E27" s="118" t="s">
        <v>173</v>
      </c>
      <c r="F27" s="118" t="s">
        <v>1015</v>
      </c>
      <c r="G27" s="118" t="s">
        <v>1379</v>
      </c>
      <c r="H27" s="119">
        <v>42604.519212962965</v>
      </c>
      <c r="I27" s="118" t="s">
        <v>4</v>
      </c>
      <c r="J27" s="118" t="s">
        <v>569</v>
      </c>
      <c r="K27" s="119">
        <v>42601.810312499998</v>
      </c>
      <c r="L27" s="118" t="s">
        <v>600</v>
      </c>
      <c r="M27" s="118"/>
      <c r="N27" s="118"/>
      <c r="O27" s="118" t="s">
        <v>17</v>
      </c>
      <c r="P27" s="118" t="s">
        <v>30</v>
      </c>
      <c r="Q27" s="118" t="s">
        <v>24</v>
      </c>
      <c r="R27" s="118" t="s">
        <v>47</v>
      </c>
      <c r="S27" s="118"/>
      <c r="T27" s="118" t="s">
        <v>7</v>
      </c>
      <c r="U27" s="118" t="s">
        <v>10</v>
      </c>
      <c r="V27" s="118" t="s">
        <v>7</v>
      </c>
      <c r="W27" s="118" t="s">
        <v>82</v>
      </c>
      <c r="X27" s="118" t="s">
        <v>7</v>
      </c>
      <c r="Y27" s="118" t="s">
        <v>7</v>
      </c>
      <c r="Z27" s="118" t="s">
        <v>7</v>
      </c>
      <c r="AA27" s="118" t="s">
        <v>7</v>
      </c>
      <c r="AB27" s="118" t="s">
        <v>7</v>
      </c>
      <c r="AC27" s="118" t="s">
        <v>7</v>
      </c>
      <c r="AD27" s="118" t="s">
        <v>7</v>
      </c>
      <c r="AE27" s="118" t="s">
        <v>7</v>
      </c>
      <c r="AF27" s="118"/>
    </row>
    <row r="28" spans="1:32" x14ac:dyDescent="0.3">
      <c r="A28" s="118">
        <v>87904</v>
      </c>
      <c r="B28" s="118" t="s">
        <v>332</v>
      </c>
      <c r="C28" s="118" t="s">
        <v>1332</v>
      </c>
      <c r="D28" s="118" t="s">
        <v>11</v>
      </c>
      <c r="E28" s="118" t="s">
        <v>569</v>
      </c>
      <c r="F28" s="118" t="s">
        <v>81</v>
      </c>
      <c r="G28" s="118" t="s">
        <v>1333</v>
      </c>
      <c r="H28" s="119">
        <v>42605.481273148151</v>
      </c>
      <c r="I28" s="118" t="s">
        <v>4</v>
      </c>
      <c r="J28" s="118" t="s">
        <v>569</v>
      </c>
      <c r="K28" s="119">
        <v>42604.302476851852</v>
      </c>
      <c r="L28" s="118" t="s">
        <v>600</v>
      </c>
      <c r="M28" s="118"/>
      <c r="N28" s="118" t="s">
        <v>366</v>
      </c>
      <c r="O28" s="118" t="s">
        <v>17</v>
      </c>
      <c r="P28" s="118" t="s">
        <v>30</v>
      </c>
      <c r="Q28" s="118" t="s">
        <v>24</v>
      </c>
      <c r="R28" s="118" t="s">
        <v>47</v>
      </c>
      <c r="S28" s="118"/>
      <c r="T28" s="118" t="s">
        <v>7</v>
      </c>
      <c r="U28" s="118" t="s">
        <v>10</v>
      </c>
      <c r="V28" s="118" t="s">
        <v>7</v>
      </c>
      <c r="W28" s="118" t="s">
        <v>82</v>
      </c>
      <c r="X28" s="118" t="s">
        <v>7</v>
      </c>
      <c r="Y28" s="118" t="s">
        <v>7</v>
      </c>
      <c r="Z28" s="118" t="s">
        <v>7</v>
      </c>
      <c r="AA28" s="118" t="s">
        <v>7</v>
      </c>
      <c r="AB28" s="118" t="s">
        <v>1336</v>
      </c>
      <c r="AC28" s="118" t="s">
        <v>7</v>
      </c>
      <c r="AD28" s="118" t="s">
        <v>7</v>
      </c>
      <c r="AE28" s="118" t="s">
        <v>7</v>
      </c>
      <c r="AF28" s="118"/>
    </row>
    <row r="29" spans="1:32" x14ac:dyDescent="0.3">
      <c r="A29" s="118">
        <v>87905</v>
      </c>
      <c r="B29" s="118" t="s">
        <v>332</v>
      </c>
      <c r="C29" s="118" t="s">
        <v>1334</v>
      </c>
      <c r="D29" s="118" t="s">
        <v>11</v>
      </c>
      <c r="E29" s="118" t="s">
        <v>999</v>
      </c>
      <c r="F29" s="118" t="s">
        <v>81</v>
      </c>
      <c r="G29" s="118"/>
      <c r="H29" s="119">
        <v>42604.483449074076</v>
      </c>
      <c r="I29" s="118" t="s">
        <v>20</v>
      </c>
      <c r="J29" s="118" t="s">
        <v>569</v>
      </c>
      <c r="K29" s="119">
        <v>42604.302557870367</v>
      </c>
      <c r="L29" s="118" t="s">
        <v>600</v>
      </c>
      <c r="M29" s="118"/>
      <c r="N29" s="118" t="s">
        <v>1252</v>
      </c>
      <c r="O29" s="118" t="s">
        <v>17</v>
      </c>
      <c r="P29" s="118" t="s">
        <v>30</v>
      </c>
      <c r="Q29" s="118" t="s">
        <v>24</v>
      </c>
      <c r="R29" s="118" t="s">
        <v>47</v>
      </c>
      <c r="S29" s="118"/>
      <c r="T29" s="118" t="s">
        <v>7</v>
      </c>
      <c r="U29" s="118" t="s">
        <v>10</v>
      </c>
      <c r="V29" s="118" t="s">
        <v>7</v>
      </c>
      <c r="W29" s="118" t="s">
        <v>82</v>
      </c>
      <c r="X29" s="118" t="s">
        <v>7</v>
      </c>
      <c r="Y29" s="118" t="s">
        <v>7</v>
      </c>
      <c r="Z29" s="118" t="s">
        <v>7</v>
      </c>
      <c r="AA29" s="118" t="s">
        <v>7</v>
      </c>
      <c r="AB29" s="118" t="s">
        <v>7</v>
      </c>
      <c r="AC29" s="118" t="s">
        <v>7</v>
      </c>
      <c r="AD29" s="118" t="s">
        <v>7</v>
      </c>
      <c r="AE29" s="118" t="s">
        <v>7</v>
      </c>
      <c r="AF29" s="118"/>
    </row>
    <row r="30" spans="1:32" x14ac:dyDescent="0.3">
      <c r="A30" s="118">
        <v>87962</v>
      </c>
      <c r="B30" s="118" t="s">
        <v>1044</v>
      </c>
      <c r="C30" s="118" t="s">
        <v>1380</v>
      </c>
      <c r="D30" s="118" t="s">
        <v>11</v>
      </c>
      <c r="E30" s="118" t="s">
        <v>1208</v>
      </c>
      <c r="F30" s="118" t="s">
        <v>1044</v>
      </c>
      <c r="G30" s="118"/>
      <c r="H30" s="119">
        <v>42606.254837962966</v>
      </c>
      <c r="I30" s="118" t="s">
        <v>20</v>
      </c>
      <c r="J30" s="118" t="s">
        <v>569</v>
      </c>
      <c r="K30" s="119">
        <v>42605.07309027778</v>
      </c>
      <c r="L30" s="118" t="s">
        <v>600</v>
      </c>
      <c r="M30" s="118"/>
      <c r="N30" s="118"/>
      <c r="O30" s="118" t="s">
        <v>6</v>
      </c>
      <c r="P30" s="118" t="s">
        <v>30</v>
      </c>
      <c r="Q30" s="118" t="s">
        <v>8</v>
      </c>
      <c r="R30" s="118" t="s">
        <v>153</v>
      </c>
      <c r="S30" s="118"/>
      <c r="T30" s="118" t="s">
        <v>7</v>
      </c>
      <c r="U30" s="118" t="s">
        <v>10</v>
      </c>
      <c r="V30" s="118" t="s">
        <v>7</v>
      </c>
      <c r="W30" s="118" t="s">
        <v>114</v>
      </c>
      <c r="X30" s="118" t="s">
        <v>7</v>
      </c>
      <c r="Y30" s="118" t="s">
        <v>7</v>
      </c>
      <c r="Z30" s="118" t="s">
        <v>7</v>
      </c>
      <c r="AA30" s="118" t="s">
        <v>7</v>
      </c>
      <c r="AB30" s="118" t="s">
        <v>7</v>
      </c>
      <c r="AC30" s="118" t="s">
        <v>7</v>
      </c>
      <c r="AD30" s="118" t="s">
        <v>7</v>
      </c>
      <c r="AE30" s="118" t="s">
        <v>7</v>
      </c>
      <c r="AF30" s="118"/>
    </row>
    <row r="31" spans="1:32" x14ac:dyDescent="0.3">
      <c r="A31" s="118">
        <v>87973</v>
      </c>
      <c r="B31" s="118" t="s">
        <v>338</v>
      </c>
      <c r="C31" s="118" t="s">
        <v>1381</v>
      </c>
      <c r="D31" s="118" t="s">
        <v>652</v>
      </c>
      <c r="E31" s="118" t="s">
        <v>173</v>
      </c>
      <c r="F31" s="118" t="s">
        <v>1382</v>
      </c>
      <c r="G31" s="118"/>
      <c r="H31" s="119">
        <v>42606.537048611113</v>
      </c>
      <c r="I31" s="118" t="s">
        <v>4</v>
      </c>
      <c r="J31" s="118" t="s">
        <v>569</v>
      </c>
      <c r="K31" s="119">
        <v>42605.184351851851</v>
      </c>
      <c r="L31" s="118" t="s">
        <v>600</v>
      </c>
      <c r="M31" s="118"/>
      <c r="N31" s="118"/>
      <c r="O31" s="118" t="s">
        <v>17</v>
      </c>
      <c r="P31" s="118" t="s">
        <v>30</v>
      </c>
      <c r="Q31" s="118" t="s">
        <v>8</v>
      </c>
      <c r="R31" s="118" t="s">
        <v>153</v>
      </c>
      <c r="S31" s="118"/>
      <c r="T31" s="118" t="s">
        <v>7</v>
      </c>
      <c r="U31" s="118" t="s">
        <v>10</v>
      </c>
      <c r="V31" s="118" t="s">
        <v>7</v>
      </c>
      <c r="W31" s="118" t="s">
        <v>82</v>
      </c>
      <c r="X31" s="118" t="s">
        <v>7</v>
      </c>
      <c r="Y31" s="118" t="s">
        <v>7</v>
      </c>
      <c r="Z31" s="118" t="s">
        <v>7</v>
      </c>
      <c r="AA31" s="118" t="s">
        <v>7</v>
      </c>
      <c r="AB31" s="118" t="s">
        <v>7</v>
      </c>
      <c r="AC31" s="118" t="s">
        <v>7</v>
      </c>
      <c r="AD31" s="118" t="s">
        <v>7</v>
      </c>
      <c r="AE31" s="118" t="s">
        <v>7</v>
      </c>
      <c r="AF31" s="118"/>
    </row>
    <row r="32" spans="1:32" x14ac:dyDescent="0.3">
      <c r="A32" s="118">
        <v>87978</v>
      </c>
      <c r="B32" s="118" t="s">
        <v>1383</v>
      </c>
      <c r="C32" s="118" t="s">
        <v>1384</v>
      </c>
      <c r="D32" s="118" t="s">
        <v>11</v>
      </c>
      <c r="E32" s="118" t="s">
        <v>173</v>
      </c>
      <c r="F32" s="118" t="s">
        <v>1383</v>
      </c>
      <c r="G32" s="118" t="s">
        <v>1337</v>
      </c>
      <c r="H32" s="119">
        <v>42606.500451388885</v>
      </c>
      <c r="I32" s="118" t="s">
        <v>4</v>
      </c>
      <c r="J32" s="118" t="s">
        <v>569</v>
      </c>
      <c r="K32" s="119">
        <v>42605.230671296296</v>
      </c>
      <c r="L32" s="118" t="s">
        <v>992</v>
      </c>
      <c r="M32" s="118"/>
      <c r="N32" s="118"/>
      <c r="O32" s="118" t="s">
        <v>17</v>
      </c>
      <c r="P32" s="118" t="s">
        <v>30</v>
      </c>
      <c r="Q32" s="118" t="s">
        <v>8</v>
      </c>
      <c r="R32" s="118" t="s">
        <v>38</v>
      </c>
      <c r="S32" s="118"/>
      <c r="T32" s="118" t="s">
        <v>7</v>
      </c>
      <c r="U32" s="118" t="s">
        <v>10</v>
      </c>
      <c r="V32" s="118" t="s">
        <v>7</v>
      </c>
      <c r="W32" s="118" t="s">
        <v>1031</v>
      </c>
      <c r="X32" s="118" t="s">
        <v>7</v>
      </c>
      <c r="Y32" s="118" t="s">
        <v>7</v>
      </c>
      <c r="Z32" s="118" t="s">
        <v>7</v>
      </c>
      <c r="AA32" s="118" t="s">
        <v>7</v>
      </c>
      <c r="AB32" s="118" t="s">
        <v>7</v>
      </c>
      <c r="AC32" s="118" t="s">
        <v>7</v>
      </c>
      <c r="AD32" s="118" t="s">
        <v>7</v>
      </c>
      <c r="AE32" s="118" t="s">
        <v>7</v>
      </c>
      <c r="AF32" s="118"/>
    </row>
    <row r="33" spans="1:32" x14ac:dyDescent="0.3">
      <c r="A33" s="118">
        <v>87981</v>
      </c>
      <c r="B33" s="118" t="s">
        <v>597</v>
      </c>
      <c r="C33" s="118" t="s">
        <v>1368</v>
      </c>
      <c r="D33" s="118" t="s">
        <v>11</v>
      </c>
      <c r="E33" s="118" t="s">
        <v>173</v>
      </c>
      <c r="F33" s="118" t="s">
        <v>1369</v>
      </c>
      <c r="G33" s="118"/>
      <c r="H33" s="119">
        <v>42605.48027777778</v>
      </c>
      <c r="I33" s="118" t="s">
        <v>1135</v>
      </c>
      <c r="J33" s="118" t="s">
        <v>999</v>
      </c>
      <c r="K33" s="119">
        <v>42605.245520833334</v>
      </c>
      <c r="L33" s="118" t="s">
        <v>1370</v>
      </c>
      <c r="M33" s="118"/>
      <c r="N33" s="118"/>
      <c r="O33" s="118" t="s">
        <v>17</v>
      </c>
      <c r="P33" s="118" t="s">
        <v>30</v>
      </c>
      <c r="Q33" s="118" t="s">
        <v>13</v>
      </c>
      <c r="R33" s="118" t="s">
        <v>236</v>
      </c>
      <c r="S33" s="118"/>
      <c r="T33" s="118" t="s">
        <v>7</v>
      </c>
      <c r="U33" s="118" t="s">
        <v>10</v>
      </c>
      <c r="V33" s="118" t="s">
        <v>7</v>
      </c>
      <c r="W33" s="118" t="s">
        <v>82</v>
      </c>
      <c r="X33" s="118" t="s">
        <v>1137</v>
      </c>
      <c r="Y33" s="118" t="s">
        <v>7</v>
      </c>
      <c r="Z33" s="118" t="s">
        <v>7</v>
      </c>
      <c r="AA33" s="118" t="s">
        <v>7</v>
      </c>
      <c r="AB33" s="118" t="s">
        <v>7</v>
      </c>
      <c r="AC33" s="118" t="s">
        <v>7</v>
      </c>
      <c r="AD33" s="118" t="s">
        <v>7</v>
      </c>
      <c r="AE33" s="118" t="s">
        <v>7</v>
      </c>
      <c r="AF33" s="118"/>
    </row>
    <row r="34" spans="1:32" x14ac:dyDescent="0.3">
      <c r="A34" s="118">
        <v>87982</v>
      </c>
      <c r="B34" s="118" t="s">
        <v>695</v>
      </c>
      <c r="C34" s="118" t="s">
        <v>1385</v>
      </c>
      <c r="D34" s="118" t="s">
        <v>652</v>
      </c>
      <c r="E34" s="118" t="s">
        <v>173</v>
      </c>
      <c r="F34" s="118" t="s">
        <v>1044</v>
      </c>
      <c r="G34" s="118" t="s">
        <v>1338</v>
      </c>
      <c r="H34" s="119">
        <v>42606.534594907411</v>
      </c>
      <c r="I34" s="118" t="s">
        <v>4</v>
      </c>
      <c r="J34" s="118" t="s">
        <v>569</v>
      </c>
      <c r="K34" s="119">
        <v>42605.260069444441</v>
      </c>
      <c r="L34" s="118" t="s">
        <v>600</v>
      </c>
      <c r="M34" s="118"/>
      <c r="N34" s="118"/>
      <c r="O34" s="118" t="s">
        <v>17</v>
      </c>
      <c r="P34" s="118" t="s">
        <v>30</v>
      </c>
      <c r="Q34" s="118" t="s">
        <v>13</v>
      </c>
      <c r="R34" s="118" t="s">
        <v>292</v>
      </c>
      <c r="S34" s="118"/>
      <c r="T34" s="118" t="s">
        <v>7</v>
      </c>
      <c r="U34" s="118" t="s">
        <v>10</v>
      </c>
      <c r="V34" s="118" t="s">
        <v>7</v>
      </c>
      <c r="W34" s="118" t="s">
        <v>82</v>
      </c>
      <c r="X34" s="118" t="s">
        <v>7</v>
      </c>
      <c r="Y34" s="118" t="s">
        <v>7</v>
      </c>
      <c r="Z34" s="118" t="s">
        <v>7</v>
      </c>
      <c r="AA34" s="118" t="s">
        <v>7</v>
      </c>
      <c r="AB34" s="118" t="s">
        <v>7</v>
      </c>
      <c r="AC34" s="118" t="s">
        <v>7</v>
      </c>
      <c r="AD34" s="118" t="s">
        <v>7</v>
      </c>
      <c r="AE34" s="118" t="s">
        <v>7</v>
      </c>
      <c r="AF34" s="118"/>
    </row>
    <row r="35" spans="1:32" x14ac:dyDescent="0.3">
      <c r="A35" s="118">
        <v>87986</v>
      </c>
      <c r="B35" s="118" t="s">
        <v>339</v>
      </c>
      <c r="C35" s="118" t="s">
        <v>1371</v>
      </c>
      <c r="D35" s="118" t="s">
        <v>2</v>
      </c>
      <c r="E35" s="118" t="s">
        <v>1208</v>
      </c>
      <c r="F35" s="118" t="s">
        <v>1226</v>
      </c>
      <c r="G35" s="118"/>
      <c r="H35" s="119">
        <v>42605.335416666669</v>
      </c>
      <c r="I35" s="118" t="s">
        <v>1135</v>
      </c>
      <c r="J35" s="118" t="s">
        <v>569</v>
      </c>
      <c r="K35" s="119">
        <v>42605.279108796298</v>
      </c>
      <c r="L35" s="118" t="s">
        <v>600</v>
      </c>
      <c r="M35" s="118"/>
      <c r="N35" s="118"/>
      <c r="O35" s="118" t="s">
        <v>17</v>
      </c>
      <c r="P35" s="118" t="s">
        <v>30</v>
      </c>
      <c r="Q35" s="118" t="s">
        <v>13</v>
      </c>
      <c r="R35" s="118" t="s">
        <v>292</v>
      </c>
      <c r="S35" s="118"/>
      <c r="T35" s="118" t="s">
        <v>7</v>
      </c>
      <c r="U35" s="118" t="s">
        <v>10</v>
      </c>
      <c r="V35" s="118" t="s">
        <v>7</v>
      </c>
      <c r="W35" s="118" t="s">
        <v>82</v>
      </c>
      <c r="X35" s="118" t="s">
        <v>1137</v>
      </c>
      <c r="Y35" s="118" t="s">
        <v>7</v>
      </c>
      <c r="Z35" s="118" t="s">
        <v>7</v>
      </c>
      <c r="AA35" s="118" t="s">
        <v>7</v>
      </c>
      <c r="AB35" s="118" t="s">
        <v>7</v>
      </c>
      <c r="AC35" s="118" t="s">
        <v>7</v>
      </c>
      <c r="AD35" s="118" t="s">
        <v>7</v>
      </c>
      <c r="AE35" s="118" t="s">
        <v>7</v>
      </c>
      <c r="AF35" s="118"/>
    </row>
    <row r="36" spans="1:32" x14ac:dyDescent="0.3">
      <c r="A36" s="118">
        <v>87996</v>
      </c>
      <c r="B36" s="118" t="s">
        <v>1068</v>
      </c>
      <c r="C36" s="118" t="s">
        <v>1335</v>
      </c>
      <c r="D36" s="118" t="s">
        <v>11</v>
      </c>
      <c r="E36" s="118" t="s">
        <v>999</v>
      </c>
      <c r="F36" s="118" t="s">
        <v>1068</v>
      </c>
      <c r="G36" s="118"/>
      <c r="H36" s="119">
        <v>42606.28979166667</v>
      </c>
      <c r="I36" s="118" t="s">
        <v>4</v>
      </c>
      <c r="J36" s="118" t="s">
        <v>569</v>
      </c>
      <c r="K36" s="119">
        <v>42605.333703703705</v>
      </c>
      <c r="L36" s="118" t="s">
        <v>5</v>
      </c>
      <c r="M36" s="118"/>
      <c r="N36" s="118" t="s">
        <v>717</v>
      </c>
      <c r="O36" s="118" t="s">
        <v>12</v>
      </c>
      <c r="P36" s="118" t="s">
        <v>30</v>
      </c>
      <c r="Q36" s="118" t="s">
        <v>13</v>
      </c>
      <c r="R36" s="118" t="s">
        <v>587</v>
      </c>
      <c r="S36" s="118"/>
      <c r="T36" s="118" t="s">
        <v>7</v>
      </c>
      <c r="U36" s="118" t="s">
        <v>10</v>
      </c>
      <c r="V36" s="118" t="s">
        <v>7</v>
      </c>
      <c r="W36" s="118" t="s">
        <v>82</v>
      </c>
      <c r="X36" s="118" t="s">
        <v>7</v>
      </c>
      <c r="Y36" s="118" t="s">
        <v>7</v>
      </c>
      <c r="Z36" s="118" t="s">
        <v>7</v>
      </c>
      <c r="AA36" s="118" t="s">
        <v>7</v>
      </c>
      <c r="AB36" s="118" t="s">
        <v>7</v>
      </c>
      <c r="AC36" s="118" t="s">
        <v>7</v>
      </c>
      <c r="AD36" s="118" t="s">
        <v>7</v>
      </c>
      <c r="AE36" s="118" t="s">
        <v>7</v>
      </c>
      <c r="AF36" s="118"/>
    </row>
    <row r="37" spans="1:32" x14ac:dyDescent="0.3">
      <c r="A37" s="118">
        <v>87999</v>
      </c>
      <c r="B37" s="118" t="s">
        <v>336</v>
      </c>
      <c r="C37" s="118" t="s">
        <v>1346</v>
      </c>
      <c r="D37" s="118" t="s">
        <v>2</v>
      </c>
      <c r="E37" s="118" t="s">
        <v>1208</v>
      </c>
      <c r="F37" s="118" t="s">
        <v>1347</v>
      </c>
      <c r="G37" s="118" t="s">
        <v>380</v>
      </c>
      <c r="H37" s="119">
        <v>42606.574548611112</v>
      </c>
      <c r="I37" s="118" t="s">
        <v>20</v>
      </c>
      <c r="J37" s="118" t="s">
        <v>569</v>
      </c>
      <c r="K37" s="119">
        <v>42605.34615740741</v>
      </c>
      <c r="L37" s="118" t="s">
        <v>600</v>
      </c>
      <c r="M37" s="118"/>
      <c r="N37" s="118" t="s">
        <v>616</v>
      </c>
      <c r="O37" s="118" t="s">
        <v>6</v>
      </c>
      <c r="P37" s="118" t="s">
        <v>30</v>
      </c>
      <c r="Q37" s="118" t="s">
        <v>13</v>
      </c>
      <c r="R37" s="118" t="s">
        <v>292</v>
      </c>
      <c r="S37" s="118"/>
      <c r="T37" s="118" t="s">
        <v>7</v>
      </c>
      <c r="U37" s="118" t="s">
        <v>10</v>
      </c>
      <c r="V37" s="118" t="s">
        <v>7</v>
      </c>
      <c r="W37" s="118" t="s">
        <v>82</v>
      </c>
      <c r="X37" s="118" t="s">
        <v>7</v>
      </c>
      <c r="Y37" s="118" t="s">
        <v>7</v>
      </c>
      <c r="Z37" s="118" t="s">
        <v>7</v>
      </c>
      <c r="AA37" s="118" t="s">
        <v>7</v>
      </c>
      <c r="AB37" s="118" t="s">
        <v>7</v>
      </c>
      <c r="AC37" s="118" t="s">
        <v>7</v>
      </c>
      <c r="AD37" s="118" t="s">
        <v>7</v>
      </c>
      <c r="AE37" s="118" t="s">
        <v>7</v>
      </c>
      <c r="AF37" s="118"/>
    </row>
    <row r="38" spans="1:32" x14ac:dyDescent="0.3">
      <c r="A38" s="118">
        <v>88000</v>
      </c>
      <c r="B38" s="118" t="s">
        <v>564</v>
      </c>
      <c r="C38" s="118" t="s">
        <v>1386</v>
      </c>
      <c r="D38" s="118" t="s">
        <v>11</v>
      </c>
      <c r="E38" s="118" t="s">
        <v>173</v>
      </c>
      <c r="F38" s="118" t="s">
        <v>815</v>
      </c>
      <c r="G38" s="118"/>
      <c r="H38" s="119">
        <v>42605.981493055559</v>
      </c>
      <c r="I38" s="118" t="s">
        <v>4</v>
      </c>
      <c r="J38" s="118" t="s">
        <v>1387</v>
      </c>
      <c r="K38" s="119">
        <v>42605.34946759259</v>
      </c>
      <c r="L38" s="118" t="s">
        <v>16</v>
      </c>
      <c r="M38" s="118"/>
      <c r="N38" s="118"/>
      <c r="O38" s="118" t="s">
        <v>17</v>
      </c>
      <c r="P38" s="118" t="s">
        <v>30</v>
      </c>
      <c r="Q38" s="118" t="s">
        <v>13</v>
      </c>
      <c r="R38" s="118" t="s">
        <v>19</v>
      </c>
      <c r="S38" s="118"/>
      <c r="T38" s="118" t="s">
        <v>7</v>
      </c>
      <c r="U38" s="118" t="s">
        <v>10</v>
      </c>
      <c r="V38" s="118" t="s">
        <v>7</v>
      </c>
      <c r="W38" s="118" t="s">
        <v>82</v>
      </c>
      <c r="X38" s="118" t="s">
        <v>7</v>
      </c>
      <c r="Y38" s="118" t="s">
        <v>7</v>
      </c>
      <c r="Z38" s="118" t="s">
        <v>7</v>
      </c>
      <c r="AA38" s="118" t="s">
        <v>7</v>
      </c>
      <c r="AB38" s="118" t="s">
        <v>7</v>
      </c>
      <c r="AC38" s="118" t="s">
        <v>7</v>
      </c>
      <c r="AD38" s="118" t="s">
        <v>7</v>
      </c>
      <c r="AE38" s="118" t="s">
        <v>7</v>
      </c>
      <c r="AF38" s="118"/>
    </row>
    <row r="39" spans="1:32" x14ac:dyDescent="0.3">
      <c r="A39" s="118">
        <v>88007</v>
      </c>
      <c r="B39" s="118" t="s">
        <v>597</v>
      </c>
      <c r="C39" s="118" t="s">
        <v>1372</v>
      </c>
      <c r="D39" s="118" t="s">
        <v>11</v>
      </c>
      <c r="E39" s="118" t="s">
        <v>999</v>
      </c>
      <c r="F39" s="118" t="s">
        <v>81</v>
      </c>
      <c r="G39" s="118"/>
      <c r="H39" s="119">
        <v>42605.481319444443</v>
      </c>
      <c r="I39" s="118" t="s">
        <v>1135</v>
      </c>
      <c r="J39" s="118" t="s">
        <v>999</v>
      </c>
      <c r="K39" s="119">
        <v>42605.466145833336</v>
      </c>
      <c r="L39" s="118" t="s">
        <v>1370</v>
      </c>
      <c r="M39" s="118"/>
      <c r="N39" s="118"/>
      <c r="O39" s="118" t="s">
        <v>17</v>
      </c>
      <c r="P39" s="118" t="s">
        <v>30</v>
      </c>
      <c r="Q39" s="118" t="s">
        <v>13</v>
      </c>
      <c r="R39" s="118" t="s">
        <v>236</v>
      </c>
      <c r="S39" s="118"/>
      <c r="T39" s="118" t="s">
        <v>7</v>
      </c>
      <c r="U39" s="118" t="s">
        <v>10</v>
      </c>
      <c r="V39" s="118" t="s">
        <v>7</v>
      </c>
      <c r="W39" s="118" t="s">
        <v>82</v>
      </c>
      <c r="X39" s="118" t="s">
        <v>1137</v>
      </c>
      <c r="Y39" s="118" t="s">
        <v>7</v>
      </c>
      <c r="Z39" s="118" t="s">
        <v>7</v>
      </c>
      <c r="AA39" s="118" t="s">
        <v>7</v>
      </c>
      <c r="AB39" s="118" t="s">
        <v>7</v>
      </c>
      <c r="AC39" s="118" t="s">
        <v>7</v>
      </c>
      <c r="AD39" s="118" t="s">
        <v>7</v>
      </c>
      <c r="AE39" s="118" t="s">
        <v>7</v>
      </c>
      <c r="AF39" s="118"/>
    </row>
    <row r="40" spans="1:32" x14ac:dyDescent="0.3">
      <c r="A40" s="118">
        <v>88009</v>
      </c>
      <c r="B40" s="118" t="s">
        <v>581</v>
      </c>
      <c r="C40" s="118" t="s">
        <v>1388</v>
      </c>
      <c r="D40" s="118" t="s">
        <v>11</v>
      </c>
      <c r="E40" s="118" t="s">
        <v>569</v>
      </c>
      <c r="F40" s="118" t="s">
        <v>81</v>
      </c>
      <c r="G40" s="118" t="s">
        <v>1389</v>
      </c>
      <c r="H40" s="119">
        <v>42605.564432870371</v>
      </c>
      <c r="I40" s="118" t="s">
        <v>20</v>
      </c>
      <c r="J40" s="118" t="s">
        <v>999</v>
      </c>
      <c r="K40" s="119">
        <v>42605.55636574074</v>
      </c>
      <c r="L40" s="118" t="s">
        <v>1189</v>
      </c>
      <c r="M40" s="118"/>
      <c r="N40" s="118" t="s">
        <v>366</v>
      </c>
      <c r="O40" s="118" t="s">
        <v>6</v>
      </c>
      <c r="P40" s="118" t="s">
        <v>30</v>
      </c>
      <c r="Q40" s="118" t="s">
        <v>13</v>
      </c>
      <c r="R40" s="118" t="s">
        <v>292</v>
      </c>
      <c r="S40" s="118"/>
      <c r="T40" s="118" t="s">
        <v>7</v>
      </c>
      <c r="U40" s="118" t="s">
        <v>10</v>
      </c>
      <c r="V40" s="118" t="s">
        <v>7</v>
      </c>
      <c r="W40" s="118" t="s">
        <v>114</v>
      </c>
      <c r="X40" s="118" t="s">
        <v>7</v>
      </c>
      <c r="Y40" s="118" t="s">
        <v>7</v>
      </c>
      <c r="Z40" s="118" t="s">
        <v>7</v>
      </c>
      <c r="AA40" s="118" t="s">
        <v>7</v>
      </c>
      <c r="AB40" s="118" t="s">
        <v>7</v>
      </c>
      <c r="AC40" s="118" t="s">
        <v>7</v>
      </c>
      <c r="AD40" s="118" t="s">
        <v>7</v>
      </c>
      <c r="AE40" s="118" t="s">
        <v>7</v>
      </c>
      <c r="AF40" s="118"/>
    </row>
    <row r="41" spans="1:32" x14ac:dyDescent="0.3">
      <c r="A41" s="118">
        <v>88010</v>
      </c>
      <c r="B41" s="118" t="s">
        <v>581</v>
      </c>
      <c r="C41" s="118" t="s">
        <v>1342</v>
      </c>
      <c r="D41" s="118" t="s">
        <v>11</v>
      </c>
      <c r="E41" s="118" t="s">
        <v>999</v>
      </c>
      <c r="F41" s="118" t="s">
        <v>81</v>
      </c>
      <c r="G41" s="118"/>
      <c r="H41" s="119">
        <v>42605.556493055556</v>
      </c>
      <c r="I41" s="118" t="s">
        <v>20</v>
      </c>
      <c r="J41" s="118" t="s">
        <v>999</v>
      </c>
      <c r="K41" s="119">
        <v>42605.556493055556</v>
      </c>
      <c r="L41" s="118" t="s">
        <v>1189</v>
      </c>
      <c r="M41" s="118"/>
      <c r="N41" s="118" t="s">
        <v>975</v>
      </c>
      <c r="O41" s="118" t="s">
        <v>17</v>
      </c>
      <c r="P41" s="118" t="s">
        <v>30</v>
      </c>
      <c r="Q41" s="118" t="s">
        <v>13</v>
      </c>
      <c r="R41" s="118" t="s">
        <v>292</v>
      </c>
      <c r="S41" s="118"/>
      <c r="T41" s="118" t="s">
        <v>7</v>
      </c>
      <c r="U41" s="118" t="s">
        <v>10</v>
      </c>
      <c r="V41" s="118" t="s">
        <v>7</v>
      </c>
      <c r="W41" s="118" t="s">
        <v>82</v>
      </c>
      <c r="X41" s="118" t="s">
        <v>7</v>
      </c>
      <c r="Y41" s="118" t="s">
        <v>7</v>
      </c>
      <c r="Z41" s="118" t="s">
        <v>7</v>
      </c>
      <c r="AA41" s="118" t="s">
        <v>7</v>
      </c>
      <c r="AB41" s="118" t="s">
        <v>7</v>
      </c>
      <c r="AC41" s="118" t="s">
        <v>7</v>
      </c>
      <c r="AD41" s="118" t="s">
        <v>7</v>
      </c>
      <c r="AE41" s="118" t="s">
        <v>7</v>
      </c>
      <c r="AF41" s="118"/>
    </row>
    <row r="42" spans="1:32" x14ac:dyDescent="0.3">
      <c r="A42" s="118">
        <v>88011</v>
      </c>
      <c r="B42" s="118" t="s">
        <v>338</v>
      </c>
      <c r="C42" s="118" t="s">
        <v>1390</v>
      </c>
      <c r="D42" s="118" t="s">
        <v>11</v>
      </c>
      <c r="E42" s="118" t="s">
        <v>569</v>
      </c>
      <c r="F42" s="118" t="s">
        <v>81</v>
      </c>
      <c r="G42" s="118" t="s">
        <v>1391</v>
      </c>
      <c r="H42" s="119">
        <v>42605.575046296297</v>
      </c>
      <c r="I42" s="118" t="s">
        <v>20</v>
      </c>
      <c r="J42" s="118" t="s">
        <v>999</v>
      </c>
      <c r="K42" s="119">
        <v>42605.570902777778</v>
      </c>
      <c r="L42" s="118" t="s">
        <v>40</v>
      </c>
      <c r="M42" s="118"/>
      <c r="N42" s="118" t="s">
        <v>366</v>
      </c>
      <c r="O42" s="118" t="s">
        <v>6</v>
      </c>
      <c r="P42" s="118" t="s">
        <v>30</v>
      </c>
      <c r="Q42" s="118" t="s">
        <v>8</v>
      </c>
      <c r="R42" s="118" t="s">
        <v>153</v>
      </c>
      <c r="S42" s="118"/>
      <c r="T42" s="118" t="s">
        <v>7</v>
      </c>
      <c r="U42" s="118" t="s">
        <v>10</v>
      </c>
      <c r="V42" s="118" t="s">
        <v>7</v>
      </c>
      <c r="W42" s="118" t="s">
        <v>114</v>
      </c>
      <c r="X42" s="118" t="s">
        <v>7</v>
      </c>
      <c r="Y42" s="118" t="s">
        <v>7</v>
      </c>
      <c r="Z42" s="118" t="s">
        <v>7</v>
      </c>
      <c r="AA42" s="118" t="s">
        <v>7</v>
      </c>
      <c r="AB42" s="118" t="s">
        <v>7</v>
      </c>
      <c r="AC42" s="118" t="s">
        <v>7</v>
      </c>
      <c r="AD42" s="118" t="s">
        <v>7</v>
      </c>
      <c r="AE42" s="118" t="s">
        <v>7</v>
      </c>
      <c r="AF42" s="118"/>
    </row>
    <row r="43" spans="1:32" x14ac:dyDescent="0.3">
      <c r="A43" s="118">
        <v>88012</v>
      </c>
      <c r="B43" s="118" t="s">
        <v>1068</v>
      </c>
      <c r="C43" s="118" t="s">
        <v>1392</v>
      </c>
      <c r="D43" s="118" t="s">
        <v>11</v>
      </c>
      <c r="E43" s="118" t="s">
        <v>569</v>
      </c>
      <c r="F43" s="118" t="s">
        <v>81</v>
      </c>
      <c r="G43" s="118" t="s">
        <v>1393</v>
      </c>
      <c r="H43" s="119">
        <v>42605.578715277778</v>
      </c>
      <c r="I43" s="118" t="s">
        <v>20</v>
      </c>
      <c r="J43" s="118" t="s">
        <v>999</v>
      </c>
      <c r="K43" s="119">
        <v>42605.576527777775</v>
      </c>
      <c r="L43" s="118" t="s">
        <v>628</v>
      </c>
      <c r="M43" s="118"/>
      <c r="N43" s="118" t="s">
        <v>366</v>
      </c>
      <c r="O43" s="118" t="s">
        <v>6</v>
      </c>
      <c r="P43" s="118" t="s">
        <v>30</v>
      </c>
      <c r="Q43" s="118" t="s">
        <v>8</v>
      </c>
      <c r="R43" s="118" t="s">
        <v>27</v>
      </c>
      <c r="S43" s="118"/>
      <c r="T43" s="118" t="s">
        <v>7</v>
      </c>
      <c r="U43" s="118" t="s">
        <v>10</v>
      </c>
      <c r="V43" s="118" t="s">
        <v>7</v>
      </c>
      <c r="W43" s="118" t="s">
        <v>114</v>
      </c>
      <c r="X43" s="118" t="s">
        <v>7</v>
      </c>
      <c r="Y43" s="118" t="s">
        <v>7</v>
      </c>
      <c r="Z43" s="118" t="s">
        <v>7</v>
      </c>
      <c r="AA43" s="118" t="s">
        <v>7</v>
      </c>
      <c r="AB43" s="118" t="s">
        <v>7</v>
      </c>
      <c r="AC43" s="118" t="s">
        <v>7</v>
      </c>
      <c r="AD43" s="118" t="s">
        <v>7</v>
      </c>
      <c r="AE43" s="118" t="s">
        <v>7</v>
      </c>
      <c r="AF43" s="118"/>
    </row>
    <row r="44" spans="1:32" x14ac:dyDescent="0.3">
      <c r="A44" s="118">
        <v>88028</v>
      </c>
      <c r="B44" s="118" t="s">
        <v>339</v>
      </c>
      <c r="C44" s="118" t="s">
        <v>1394</v>
      </c>
      <c r="D44" s="118" t="s">
        <v>146</v>
      </c>
      <c r="E44" s="118" t="s">
        <v>1208</v>
      </c>
      <c r="F44" s="118" t="s">
        <v>1395</v>
      </c>
      <c r="G44" s="118"/>
      <c r="H44" s="119">
        <v>42605.688078703701</v>
      </c>
      <c r="I44" s="118" t="s">
        <v>20</v>
      </c>
      <c r="J44" s="118" t="s">
        <v>999</v>
      </c>
      <c r="K44" s="119">
        <v>42605.688078703701</v>
      </c>
      <c r="L44" s="118" t="s">
        <v>628</v>
      </c>
      <c r="M44" s="118"/>
      <c r="N44" s="118"/>
      <c r="O44" s="118" t="s">
        <v>6</v>
      </c>
      <c r="P44" s="118" t="s">
        <v>30</v>
      </c>
      <c r="Q44" s="118" t="s">
        <v>8</v>
      </c>
      <c r="R44" s="118" t="s">
        <v>122</v>
      </c>
      <c r="S44" s="118"/>
      <c r="T44" s="118" t="s">
        <v>7</v>
      </c>
      <c r="U44" s="118" t="s">
        <v>10</v>
      </c>
      <c r="V44" s="118" t="s">
        <v>7</v>
      </c>
      <c r="W44" s="118" t="s">
        <v>697</v>
      </c>
      <c r="X44" s="118" t="s">
        <v>7</v>
      </c>
      <c r="Y44" s="118" t="s">
        <v>7</v>
      </c>
      <c r="Z44" s="118" t="s">
        <v>7</v>
      </c>
      <c r="AA44" s="118" t="s">
        <v>7</v>
      </c>
      <c r="AB44" s="118" t="s">
        <v>7</v>
      </c>
      <c r="AC44" s="118" t="s">
        <v>7</v>
      </c>
      <c r="AD44" s="118" t="s">
        <v>7</v>
      </c>
      <c r="AE44" s="118" t="s">
        <v>7</v>
      </c>
      <c r="AF44" s="118"/>
    </row>
    <row r="45" spans="1:32" x14ac:dyDescent="0.3">
      <c r="A45" s="118">
        <v>88053</v>
      </c>
      <c r="B45" s="118" t="s">
        <v>338</v>
      </c>
      <c r="C45" s="118" t="s">
        <v>1339</v>
      </c>
      <c r="D45" s="118" t="s">
        <v>652</v>
      </c>
      <c r="E45" s="118" t="s">
        <v>569</v>
      </c>
      <c r="F45" s="118" t="s">
        <v>81</v>
      </c>
      <c r="G45" s="118"/>
      <c r="H45" s="119">
        <v>42606.245312500003</v>
      </c>
      <c r="I45" s="118" t="s">
        <v>20</v>
      </c>
      <c r="J45" s="118" t="s">
        <v>569</v>
      </c>
      <c r="K45" s="119">
        <v>42606.244618055556</v>
      </c>
      <c r="L45" s="118" t="s">
        <v>600</v>
      </c>
      <c r="M45" s="118"/>
      <c r="N45" s="118" t="s">
        <v>616</v>
      </c>
      <c r="O45" s="118" t="s">
        <v>17</v>
      </c>
      <c r="P45" s="118" t="s">
        <v>30</v>
      </c>
      <c r="Q45" s="118" t="s">
        <v>8</v>
      </c>
      <c r="R45" s="118" t="s">
        <v>153</v>
      </c>
      <c r="S45" s="118"/>
      <c r="T45" s="118" t="s">
        <v>7</v>
      </c>
      <c r="U45" s="118" t="s">
        <v>10</v>
      </c>
      <c r="V45" s="118" t="s">
        <v>7</v>
      </c>
      <c r="W45" s="118" t="s">
        <v>82</v>
      </c>
      <c r="X45" s="118" t="s">
        <v>7</v>
      </c>
      <c r="Y45" s="118" t="s">
        <v>7</v>
      </c>
      <c r="Z45" s="118" t="s">
        <v>7</v>
      </c>
      <c r="AA45" s="118" t="s">
        <v>7</v>
      </c>
      <c r="AB45" s="118" t="s">
        <v>7</v>
      </c>
      <c r="AC45" s="118" t="s">
        <v>7</v>
      </c>
      <c r="AD45" s="118" t="s">
        <v>7</v>
      </c>
      <c r="AE45" s="118" t="s">
        <v>7</v>
      </c>
      <c r="AF45" s="118"/>
    </row>
    <row r="46" spans="1:32" x14ac:dyDescent="0.3">
      <c r="A46" s="118">
        <v>88054</v>
      </c>
      <c r="B46" s="118" t="s">
        <v>338</v>
      </c>
      <c r="C46" s="118" t="s">
        <v>1343</v>
      </c>
      <c r="D46" s="118" t="s">
        <v>652</v>
      </c>
      <c r="E46" s="118" t="s">
        <v>999</v>
      </c>
      <c r="F46" s="118" t="s">
        <v>81</v>
      </c>
      <c r="G46" s="118"/>
      <c r="H46" s="119">
        <v>42606.268125000002</v>
      </c>
      <c r="I46" s="118" t="s">
        <v>20</v>
      </c>
      <c r="J46" s="118" t="s">
        <v>569</v>
      </c>
      <c r="K46" s="119">
        <v>42606.244699074072</v>
      </c>
      <c r="L46" s="118" t="s">
        <v>600</v>
      </c>
      <c r="M46" s="118"/>
      <c r="N46" s="118" t="s">
        <v>1252</v>
      </c>
      <c r="O46" s="118" t="s">
        <v>17</v>
      </c>
      <c r="P46" s="118" t="s">
        <v>30</v>
      </c>
      <c r="Q46" s="118" t="s">
        <v>8</v>
      </c>
      <c r="R46" s="118" t="s">
        <v>153</v>
      </c>
      <c r="S46" s="118"/>
      <c r="T46" s="118" t="s">
        <v>7</v>
      </c>
      <c r="U46" s="118" t="s">
        <v>10</v>
      </c>
      <c r="V46" s="118" t="s">
        <v>7</v>
      </c>
      <c r="W46" s="118" t="s">
        <v>82</v>
      </c>
      <c r="X46" s="118" t="s">
        <v>7</v>
      </c>
      <c r="Y46" s="118" t="s">
        <v>7</v>
      </c>
      <c r="Z46" s="118" t="s">
        <v>7</v>
      </c>
      <c r="AA46" s="118" t="s">
        <v>7</v>
      </c>
      <c r="AB46" s="118" t="s">
        <v>7</v>
      </c>
      <c r="AC46" s="118" t="s">
        <v>7</v>
      </c>
      <c r="AD46" s="118" t="s">
        <v>7</v>
      </c>
      <c r="AE46" s="118" t="s">
        <v>7</v>
      </c>
      <c r="AF46" s="118"/>
    </row>
    <row r="47" spans="1:32" x14ac:dyDescent="0.3">
      <c r="A47" s="118">
        <v>88055</v>
      </c>
      <c r="B47" s="118" t="s">
        <v>1003</v>
      </c>
      <c r="C47" s="118" t="s">
        <v>1340</v>
      </c>
      <c r="D47" s="118" t="s">
        <v>11</v>
      </c>
      <c r="E47" s="118" t="s">
        <v>569</v>
      </c>
      <c r="F47" s="118" t="s">
        <v>81</v>
      </c>
      <c r="G47" s="118" t="s">
        <v>1337</v>
      </c>
      <c r="H47" s="119">
        <v>42606.500451388885</v>
      </c>
      <c r="I47" s="118" t="s">
        <v>20</v>
      </c>
      <c r="J47" s="118" t="s">
        <v>569</v>
      </c>
      <c r="K47" s="119">
        <v>42606.252662037034</v>
      </c>
      <c r="L47" s="118" t="s">
        <v>992</v>
      </c>
      <c r="M47" s="118"/>
      <c r="N47" s="118"/>
      <c r="O47" s="118" t="s">
        <v>17</v>
      </c>
      <c r="P47" s="118" t="s">
        <v>30</v>
      </c>
      <c r="Q47" s="118" t="s">
        <v>8</v>
      </c>
      <c r="R47" s="118" t="s">
        <v>38</v>
      </c>
      <c r="S47" s="118"/>
      <c r="T47" s="118" t="s">
        <v>7</v>
      </c>
      <c r="U47" s="118" t="s">
        <v>10</v>
      </c>
      <c r="V47" s="118" t="s">
        <v>7</v>
      </c>
      <c r="W47" s="118" t="s">
        <v>1031</v>
      </c>
      <c r="X47" s="118" t="s">
        <v>7</v>
      </c>
      <c r="Y47" s="118" t="s">
        <v>7</v>
      </c>
      <c r="Z47" s="118" t="s">
        <v>7</v>
      </c>
      <c r="AA47" s="118" t="s">
        <v>7</v>
      </c>
      <c r="AB47" s="118" t="s">
        <v>7</v>
      </c>
      <c r="AC47" s="118" t="s">
        <v>7</v>
      </c>
      <c r="AD47" s="118" t="s">
        <v>7</v>
      </c>
      <c r="AE47" s="118" t="s">
        <v>7</v>
      </c>
      <c r="AF47" s="118"/>
    </row>
    <row r="48" spans="1:32" x14ac:dyDescent="0.3">
      <c r="A48" s="118">
        <v>88056</v>
      </c>
      <c r="B48" s="118" t="s">
        <v>1003</v>
      </c>
      <c r="C48" s="118" t="s">
        <v>1344</v>
      </c>
      <c r="D48" s="118" t="s">
        <v>11</v>
      </c>
      <c r="E48" s="118" t="s">
        <v>999</v>
      </c>
      <c r="F48" s="118" t="s">
        <v>81</v>
      </c>
      <c r="G48" s="118" t="s">
        <v>1337</v>
      </c>
      <c r="H48" s="119">
        <v>42606.500439814816</v>
      </c>
      <c r="I48" s="118" t="s">
        <v>20</v>
      </c>
      <c r="J48" s="118" t="s">
        <v>569</v>
      </c>
      <c r="K48" s="119">
        <v>42606.25273148148</v>
      </c>
      <c r="L48" s="118" t="s">
        <v>992</v>
      </c>
      <c r="M48" s="118"/>
      <c r="N48" s="118" t="s">
        <v>1252</v>
      </c>
      <c r="O48" s="118" t="s">
        <v>17</v>
      </c>
      <c r="P48" s="118" t="s">
        <v>30</v>
      </c>
      <c r="Q48" s="118" t="s">
        <v>8</v>
      </c>
      <c r="R48" s="118" t="s">
        <v>38</v>
      </c>
      <c r="S48" s="118"/>
      <c r="T48" s="118" t="s">
        <v>7</v>
      </c>
      <c r="U48" s="118" t="s">
        <v>10</v>
      </c>
      <c r="V48" s="118" t="s">
        <v>7</v>
      </c>
      <c r="W48" s="118" t="s">
        <v>1031</v>
      </c>
      <c r="X48" s="118" t="s">
        <v>7</v>
      </c>
      <c r="Y48" s="118" t="s">
        <v>7</v>
      </c>
      <c r="Z48" s="118" t="s">
        <v>7</v>
      </c>
      <c r="AA48" s="118" t="s">
        <v>7</v>
      </c>
      <c r="AB48" s="118" t="s">
        <v>7</v>
      </c>
      <c r="AC48" s="118" t="s">
        <v>7</v>
      </c>
      <c r="AD48" s="118" t="s">
        <v>7</v>
      </c>
      <c r="AE48" s="118" t="s">
        <v>7</v>
      </c>
      <c r="AF48" s="118"/>
    </row>
    <row r="49" spans="1:32" x14ac:dyDescent="0.3">
      <c r="A49" s="118">
        <v>88057</v>
      </c>
      <c r="B49" s="118" t="s">
        <v>695</v>
      </c>
      <c r="C49" s="118" t="s">
        <v>1341</v>
      </c>
      <c r="D49" s="118" t="s">
        <v>652</v>
      </c>
      <c r="E49" s="118" t="s">
        <v>569</v>
      </c>
      <c r="F49" s="118" t="s">
        <v>81</v>
      </c>
      <c r="G49" s="118" t="s">
        <v>1338</v>
      </c>
      <c r="H49" s="119">
        <v>42606.256423611114</v>
      </c>
      <c r="I49" s="118" t="s">
        <v>20</v>
      </c>
      <c r="J49" s="118" t="s">
        <v>569</v>
      </c>
      <c r="K49" s="119">
        <v>42606.256423611114</v>
      </c>
      <c r="L49" s="118" t="s">
        <v>600</v>
      </c>
      <c r="M49" s="118"/>
      <c r="N49" s="118"/>
      <c r="O49" s="118" t="s">
        <v>17</v>
      </c>
      <c r="P49" s="118" t="s">
        <v>30</v>
      </c>
      <c r="Q49" s="118" t="s">
        <v>13</v>
      </c>
      <c r="R49" s="118" t="s">
        <v>292</v>
      </c>
      <c r="S49" s="118"/>
      <c r="T49" s="118" t="s">
        <v>7</v>
      </c>
      <c r="U49" s="118" t="s">
        <v>10</v>
      </c>
      <c r="V49" s="118" t="s">
        <v>7</v>
      </c>
      <c r="W49" s="118" t="s">
        <v>82</v>
      </c>
      <c r="X49" s="118" t="s">
        <v>7</v>
      </c>
      <c r="Y49" s="118" t="s">
        <v>7</v>
      </c>
      <c r="Z49" s="118" t="s">
        <v>7</v>
      </c>
      <c r="AA49" s="118" t="s">
        <v>7</v>
      </c>
      <c r="AB49" s="118" t="s">
        <v>7</v>
      </c>
      <c r="AC49" s="118" t="s">
        <v>7</v>
      </c>
      <c r="AD49" s="118" t="s">
        <v>7</v>
      </c>
      <c r="AE49" s="118" t="s">
        <v>7</v>
      </c>
      <c r="AF49" s="118"/>
    </row>
    <row r="50" spans="1:32" x14ac:dyDescent="0.3">
      <c r="A50" s="118">
        <v>88058</v>
      </c>
      <c r="B50" s="118" t="s">
        <v>695</v>
      </c>
      <c r="C50" s="118" t="s">
        <v>1345</v>
      </c>
      <c r="D50" s="118" t="s">
        <v>652</v>
      </c>
      <c r="E50" s="118" t="s">
        <v>999</v>
      </c>
      <c r="F50" s="118" t="s">
        <v>81</v>
      </c>
      <c r="G50" s="118" t="s">
        <v>1338</v>
      </c>
      <c r="H50" s="119">
        <v>42606.268449074072</v>
      </c>
      <c r="I50" s="118" t="s">
        <v>20</v>
      </c>
      <c r="J50" s="118" t="s">
        <v>569</v>
      </c>
      <c r="K50" s="119">
        <v>42606.256539351853</v>
      </c>
      <c r="L50" s="118" t="s">
        <v>600</v>
      </c>
      <c r="M50" s="118"/>
      <c r="N50" s="118" t="s">
        <v>1252</v>
      </c>
      <c r="O50" s="118" t="s">
        <v>17</v>
      </c>
      <c r="P50" s="118" t="s">
        <v>30</v>
      </c>
      <c r="Q50" s="118" t="s">
        <v>13</v>
      </c>
      <c r="R50" s="118" t="s">
        <v>292</v>
      </c>
      <c r="S50" s="118"/>
      <c r="T50" s="118" t="s">
        <v>7</v>
      </c>
      <c r="U50" s="118" t="s">
        <v>10</v>
      </c>
      <c r="V50" s="118" t="s">
        <v>7</v>
      </c>
      <c r="W50" s="118" t="s">
        <v>82</v>
      </c>
      <c r="X50" s="118" t="s">
        <v>7</v>
      </c>
      <c r="Y50" s="118" t="s">
        <v>7</v>
      </c>
      <c r="Z50" s="118" t="s">
        <v>7</v>
      </c>
      <c r="AA50" s="118" t="s">
        <v>7</v>
      </c>
      <c r="AB50" s="118" t="s">
        <v>7</v>
      </c>
      <c r="AC50" s="118" t="s">
        <v>7</v>
      </c>
      <c r="AD50" s="118" t="s">
        <v>7</v>
      </c>
      <c r="AE50" s="118" t="s">
        <v>7</v>
      </c>
      <c r="AF50" s="118"/>
    </row>
    <row r="51" spans="1:32" x14ac:dyDescent="0.3">
      <c r="A51" s="118">
        <v>88077</v>
      </c>
      <c r="B51" s="118" t="s">
        <v>339</v>
      </c>
      <c r="C51" s="118" t="s">
        <v>1396</v>
      </c>
      <c r="D51" s="118" t="s">
        <v>146</v>
      </c>
      <c r="E51" s="118" t="s">
        <v>1208</v>
      </c>
      <c r="F51" s="118" t="s">
        <v>832</v>
      </c>
      <c r="G51" s="118"/>
      <c r="H51" s="119">
        <v>42606.526516203703</v>
      </c>
      <c r="I51" s="118" t="s">
        <v>20</v>
      </c>
      <c r="J51" s="118" t="s">
        <v>569</v>
      </c>
      <c r="K51" s="119">
        <v>42606.526516203703</v>
      </c>
      <c r="L51" s="118" t="s">
        <v>1370</v>
      </c>
      <c r="M51" s="118"/>
      <c r="N51" s="118"/>
      <c r="O51" s="118" t="s">
        <v>6</v>
      </c>
      <c r="P51" s="118" t="s">
        <v>30</v>
      </c>
      <c r="Q51" s="118" t="s">
        <v>8</v>
      </c>
      <c r="R51" s="118" t="s">
        <v>153</v>
      </c>
      <c r="S51" s="118"/>
      <c r="T51" s="118" t="s">
        <v>7</v>
      </c>
      <c r="U51" s="118" t="s">
        <v>10</v>
      </c>
      <c r="V51" s="118" t="s">
        <v>7</v>
      </c>
      <c r="W51" s="118" t="s">
        <v>697</v>
      </c>
      <c r="X51" s="118" t="s">
        <v>7</v>
      </c>
      <c r="Y51" s="118" t="s">
        <v>7</v>
      </c>
      <c r="Z51" s="118" t="s">
        <v>7</v>
      </c>
      <c r="AA51" s="118" t="s">
        <v>7</v>
      </c>
      <c r="AB51" s="118" t="s">
        <v>7</v>
      </c>
      <c r="AC51" s="118" t="s">
        <v>7</v>
      </c>
      <c r="AD51" s="118" t="s">
        <v>7</v>
      </c>
      <c r="AE51" s="118" t="s">
        <v>7</v>
      </c>
      <c r="AF51" s="118"/>
    </row>
    <row r="52" spans="1:32" x14ac:dyDescent="0.3">
      <c r="A52" s="118"/>
      <c r="B52" s="118"/>
      <c r="C52" s="118"/>
      <c r="D52" s="118"/>
      <c r="E52" s="118"/>
      <c r="F52" s="118"/>
      <c r="G52" s="118"/>
      <c r="H52" s="119"/>
      <c r="I52" s="118"/>
      <c r="J52" s="118"/>
      <c r="K52" s="119"/>
      <c r="L52" s="118"/>
      <c r="M52" s="118"/>
      <c r="N52" s="118"/>
      <c r="O52" s="118"/>
      <c r="P52" s="118"/>
      <c r="Q52" s="118"/>
      <c r="R52" s="118"/>
      <c r="S52" s="118"/>
      <c r="T52" s="118"/>
      <c r="U52" s="118"/>
      <c r="V52" s="118"/>
      <c r="W52" s="118"/>
      <c r="X52" s="118"/>
      <c r="Y52" s="118"/>
      <c r="Z52" s="118"/>
      <c r="AA52" s="118"/>
      <c r="AB52" s="118"/>
      <c r="AC52" s="118"/>
      <c r="AD52" s="118"/>
      <c r="AE52" s="118"/>
      <c r="AF52" s="118"/>
    </row>
    <row r="53" spans="1:32" x14ac:dyDescent="0.3">
      <c r="A53" s="118"/>
      <c r="B53" s="118"/>
      <c r="C53" s="118"/>
      <c r="D53" s="118"/>
      <c r="E53" s="118"/>
      <c r="F53" s="118"/>
      <c r="G53" s="118"/>
      <c r="H53" s="119"/>
      <c r="I53" s="118"/>
      <c r="J53" s="118"/>
      <c r="K53" s="119"/>
      <c r="L53" s="118"/>
      <c r="M53" s="118"/>
      <c r="N53" s="118"/>
      <c r="O53" s="118"/>
      <c r="P53" s="118"/>
      <c r="Q53" s="118"/>
      <c r="R53" s="118"/>
      <c r="S53" s="118"/>
      <c r="T53" s="118"/>
      <c r="U53" s="118"/>
      <c r="V53" s="118"/>
      <c r="W53" s="118"/>
      <c r="X53" s="118"/>
      <c r="Y53" s="118"/>
      <c r="Z53" s="118"/>
      <c r="AA53" s="118"/>
      <c r="AB53" s="118"/>
      <c r="AC53" s="118"/>
      <c r="AD53" s="118"/>
      <c r="AE53" s="118"/>
      <c r="AF53" s="118"/>
    </row>
    <row r="54" spans="1:32" x14ac:dyDescent="0.3">
      <c r="A54" s="118"/>
      <c r="B54" s="118"/>
      <c r="C54" s="118"/>
      <c r="D54" s="118"/>
      <c r="E54" s="118"/>
      <c r="F54" s="118"/>
      <c r="G54" s="118"/>
      <c r="H54" s="119"/>
      <c r="I54" s="118"/>
      <c r="J54" s="118"/>
      <c r="K54" s="119"/>
      <c r="L54" s="118"/>
      <c r="M54" s="118"/>
      <c r="N54" s="118"/>
      <c r="O54" s="118"/>
      <c r="P54" s="118"/>
      <c r="Q54" s="118"/>
      <c r="R54" s="118"/>
      <c r="S54" s="118"/>
      <c r="T54" s="118"/>
      <c r="U54" s="118"/>
      <c r="V54" s="118"/>
      <c r="W54" s="118"/>
      <c r="X54" s="118"/>
      <c r="Y54" s="118"/>
      <c r="Z54" s="118"/>
      <c r="AA54" s="118"/>
      <c r="AB54" s="118"/>
      <c r="AC54" s="118"/>
      <c r="AD54" s="118"/>
      <c r="AE54" s="118"/>
      <c r="AF54" s="118"/>
    </row>
    <row r="55" spans="1:32" x14ac:dyDescent="0.3">
      <c r="A55" s="118"/>
      <c r="B55" s="118"/>
      <c r="C55" s="118"/>
      <c r="D55" s="118"/>
      <c r="E55" s="118"/>
      <c r="F55" s="118"/>
      <c r="G55" s="118"/>
      <c r="H55" s="119"/>
      <c r="I55" s="118"/>
      <c r="J55" s="118"/>
      <c r="K55" s="119"/>
      <c r="L55" s="118"/>
      <c r="M55" s="118"/>
      <c r="N55" s="118"/>
      <c r="O55" s="118"/>
      <c r="P55" s="118"/>
      <c r="Q55" s="118"/>
      <c r="R55" s="118"/>
      <c r="S55" s="118"/>
      <c r="T55" s="118"/>
      <c r="U55" s="118"/>
      <c r="V55" s="118"/>
      <c r="W55" s="118"/>
      <c r="X55" s="118"/>
      <c r="Y55" s="118"/>
      <c r="Z55" s="118"/>
      <c r="AA55" s="118"/>
      <c r="AB55" s="118"/>
      <c r="AC55" s="118"/>
      <c r="AD55" s="118"/>
      <c r="AE55" s="118"/>
      <c r="AF55" s="118"/>
    </row>
    <row r="56" spans="1:32" x14ac:dyDescent="0.3">
      <c r="A56" s="118"/>
      <c r="B56" s="118"/>
      <c r="C56" s="118"/>
      <c r="D56" s="118"/>
      <c r="E56" s="118"/>
      <c r="F56" s="118"/>
      <c r="G56" s="118"/>
      <c r="H56" s="119"/>
      <c r="I56" s="118"/>
      <c r="J56" s="118"/>
      <c r="K56" s="119"/>
      <c r="L56" s="118"/>
      <c r="M56" s="118"/>
      <c r="N56" s="118"/>
      <c r="O56" s="118"/>
      <c r="P56" s="118"/>
      <c r="Q56" s="118"/>
      <c r="R56" s="118"/>
      <c r="S56" s="118"/>
      <c r="T56" s="118"/>
      <c r="U56" s="118"/>
      <c r="V56" s="118"/>
      <c r="W56" s="118"/>
      <c r="X56" s="118"/>
      <c r="Y56" s="118"/>
      <c r="Z56" s="118"/>
      <c r="AA56" s="118"/>
      <c r="AB56" s="118"/>
      <c r="AC56" s="118"/>
      <c r="AD56" s="118"/>
      <c r="AE56" s="118"/>
      <c r="AF56" s="118"/>
    </row>
    <row r="57" spans="1:32" x14ac:dyDescent="0.3">
      <c r="A57" s="118"/>
      <c r="B57" s="118"/>
      <c r="C57" s="118"/>
      <c r="D57" s="118"/>
      <c r="E57" s="118"/>
      <c r="F57" s="118"/>
      <c r="G57" s="118"/>
      <c r="H57" s="119"/>
      <c r="I57" s="118"/>
      <c r="J57" s="118"/>
      <c r="K57" s="119"/>
      <c r="L57" s="118"/>
      <c r="M57" s="118"/>
      <c r="N57" s="118"/>
      <c r="O57" s="118"/>
      <c r="P57" s="118"/>
      <c r="Q57" s="118"/>
      <c r="R57" s="118"/>
      <c r="S57" s="118"/>
      <c r="T57" s="118"/>
      <c r="U57" s="118"/>
      <c r="V57" s="118"/>
      <c r="W57" s="118"/>
      <c r="X57" s="118"/>
      <c r="Y57" s="118"/>
      <c r="Z57" s="118"/>
      <c r="AA57" s="118"/>
      <c r="AB57" s="118"/>
      <c r="AC57" s="118"/>
      <c r="AD57" s="118"/>
      <c r="AE57" s="118"/>
      <c r="AF57" s="118"/>
    </row>
    <row r="58" spans="1:32" x14ac:dyDescent="0.3">
      <c r="A58" s="118"/>
      <c r="B58" s="118"/>
      <c r="C58" s="118"/>
      <c r="D58" s="118"/>
      <c r="E58" s="118"/>
      <c r="F58" s="118"/>
      <c r="G58" s="118"/>
      <c r="H58" s="119"/>
      <c r="I58" s="118"/>
      <c r="J58" s="118"/>
      <c r="K58" s="119"/>
      <c r="L58" s="118"/>
      <c r="M58" s="118"/>
      <c r="N58" s="118"/>
      <c r="O58" s="118"/>
      <c r="P58" s="118"/>
      <c r="Q58" s="118"/>
      <c r="R58" s="118"/>
      <c r="S58" s="118"/>
      <c r="T58" s="118"/>
      <c r="U58" s="118"/>
      <c r="V58" s="118"/>
      <c r="W58" s="118"/>
      <c r="X58" s="118"/>
      <c r="Y58" s="118"/>
      <c r="Z58" s="118"/>
      <c r="AA58" s="118"/>
      <c r="AB58" s="118"/>
      <c r="AC58" s="118"/>
      <c r="AD58" s="118"/>
      <c r="AE58" s="118"/>
      <c r="AF58" s="118"/>
    </row>
    <row r="59" spans="1:32" x14ac:dyDescent="0.3">
      <c r="A59" s="118"/>
      <c r="B59" s="118"/>
      <c r="C59" s="118"/>
      <c r="D59" s="118"/>
      <c r="E59" s="118"/>
      <c r="F59" s="118"/>
      <c r="G59" s="118"/>
      <c r="H59" s="119"/>
      <c r="I59" s="118"/>
      <c r="J59" s="118"/>
      <c r="K59" s="119"/>
      <c r="L59" s="118"/>
      <c r="M59" s="118"/>
      <c r="N59" s="118"/>
      <c r="O59" s="118"/>
      <c r="P59" s="118"/>
      <c r="Q59" s="118"/>
      <c r="R59" s="118"/>
      <c r="S59" s="118"/>
      <c r="T59" s="118"/>
      <c r="U59" s="118"/>
      <c r="V59" s="118"/>
      <c r="W59" s="118"/>
      <c r="X59" s="118"/>
      <c r="Y59" s="118"/>
      <c r="Z59" s="118"/>
      <c r="AA59" s="118"/>
      <c r="AB59" s="118"/>
      <c r="AC59" s="118"/>
      <c r="AD59" s="118"/>
      <c r="AE59" s="118"/>
      <c r="AF59" s="118"/>
    </row>
    <row r="60" spans="1:32" x14ac:dyDescent="0.3">
      <c r="A60" s="118"/>
      <c r="B60" s="118"/>
      <c r="C60" s="118"/>
      <c r="D60" s="118"/>
      <c r="E60" s="118"/>
      <c r="F60" s="118"/>
      <c r="G60" s="118"/>
      <c r="H60" s="119"/>
      <c r="I60" s="118"/>
      <c r="J60" s="118"/>
      <c r="K60" s="119"/>
      <c r="L60" s="118"/>
      <c r="M60" s="118"/>
      <c r="N60" s="118"/>
      <c r="O60" s="118"/>
      <c r="P60" s="118"/>
      <c r="Q60" s="118"/>
      <c r="R60" s="118"/>
      <c r="S60" s="118"/>
      <c r="T60" s="118"/>
      <c r="U60" s="118"/>
      <c r="V60" s="118"/>
      <c r="W60" s="118"/>
      <c r="X60" s="118"/>
      <c r="Y60" s="118"/>
      <c r="Z60" s="118"/>
      <c r="AA60" s="118"/>
      <c r="AB60" s="118"/>
      <c r="AC60" s="118"/>
      <c r="AD60" s="118"/>
      <c r="AE60" s="118"/>
      <c r="AF60" s="118"/>
    </row>
    <row r="61" spans="1:32" x14ac:dyDescent="0.3">
      <c r="A61" s="115"/>
      <c r="B61" s="115"/>
      <c r="C61" s="115"/>
      <c r="D61" s="115"/>
      <c r="E61" s="115"/>
      <c r="F61" s="115"/>
      <c r="G61" s="115"/>
      <c r="H61" s="116"/>
      <c r="I61" s="115"/>
      <c r="J61" s="115"/>
      <c r="K61" s="116"/>
      <c r="L61" s="115"/>
      <c r="M61" s="115"/>
      <c r="N61" s="115"/>
      <c r="O61" s="115"/>
      <c r="P61" s="115"/>
      <c r="Q61" s="115"/>
      <c r="R61" s="115"/>
      <c r="S61" s="115"/>
      <c r="T61" s="115"/>
      <c r="U61" s="115"/>
      <c r="V61" s="115"/>
      <c r="W61" s="115"/>
      <c r="X61" s="115"/>
      <c r="Y61" s="115"/>
      <c r="Z61" s="115"/>
      <c r="AA61" s="115"/>
      <c r="AB61" s="115"/>
      <c r="AC61" s="115"/>
      <c r="AD61" s="115"/>
      <c r="AE61" s="115"/>
      <c r="AF61" s="115"/>
    </row>
    <row r="62" spans="1:32" x14ac:dyDescent="0.3">
      <c r="A62" s="115"/>
      <c r="B62" s="115"/>
      <c r="C62" s="115"/>
      <c r="D62" s="115"/>
      <c r="E62" s="115"/>
      <c r="F62" s="115"/>
      <c r="G62" s="115"/>
      <c r="H62" s="116"/>
      <c r="I62" s="115"/>
      <c r="J62" s="115"/>
      <c r="K62" s="116"/>
      <c r="L62" s="115"/>
      <c r="M62" s="115"/>
      <c r="N62" s="115"/>
      <c r="O62" s="115"/>
      <c r="P62" s="115"/>
      <c r="Q62" s="115"/>
      <c r="R62" s="115"/>
      <c r="S62" s="115"/>
      <c r="T62" s="115"/>
      <c r="U62" s="115"/>
      <c r="V62" s="115"/>
      <c r="W62" s="115"/>
      <c r="X62" s="115"/>
      <c r="Y62" s="115"/>
      <c r="Z62" s="115"/>
      <c r="AA62" s="115"/>
      <c r="AB62" s="115"/>
      <c r="AC62" s="115"/>
      <c r="AD62" s="115"/>
      <c r="AE62" s="115"/>
      <c r="AF62" s="115"/>
    </row>
    <row r="63" spans="1:32" x14ac:dyDescent="0.3">
      <c r="A63" s="115"/>
      <c r="B63" s="115"/>
      <c r="C63" s="115"/>
      <c r="D63" s="115"/>
      <c r="E63" s="115"/>
      <c r="F63" s="115"/>
      <c r="G63" s="115"/>
      <c r="H63" s="116"/>
      <c r="I63" s="115"/>
      <c r="J63" s="115"/>
      <c r="K63" s="116"/>
      <c r="L63" s="115"/>
      <c r="M63" s="115"/>
      <c r="N63" s="115"/>
      <c r="O63" s="115"/>
      <c r="P63" s="115"/>
      <c r="Q63" s="115"/>
      <c r="R63" s="115"/>
      <c r="S63" s="115"/>
      <c r="T63" s="115"/>
      <c r="U63" s="115"/>
      <c r="V63" s="115"/>
      <c r="W63" s="115"/>
      <c r="X63" s="115"/>
      <c r="Y63" s="115"/>
      <c r="Z63" s="115"/>
      <c r="AA63" s="115"/>
      <c r="AB63" s="115"/>
      <c r="AC63" s="115"/>
      <c r="AD63" s="115"/>
      <c r="AE63" s="115"/>
      <c r="AF63" s="115"/>
    </row>
    <row r="64" spans="1:32" x14ac:dyDescent="0.3">
      <c r="A64" s="115"/>
      <c r="B64" s="115"/>
      <c r="C64" s="115"/>
      <c r="D64" s="115"/>
      <c r="E64" s="115"/>
      <c r="F64" s="115"/>
      <c r="G64" s="115"/>
      <c r="H64" s="116"/>
      <c r="I64" s="115"/>
      <c r="J64" s="115"/>
      <c r="K64" s="116"/>
      <c r="L64" s="115"/>
      <c r="M64" s="115"/>
      <c r="N64" s="115"/>
      <c r="O64" s="115"/>
      <c r="P64" s="115"/>
      <c r="Q64" s="115"/>
      <c r="R64" s="115"/>
      <c r="S64" s="115"/>
      <c r="T64" s="115"/>
      <c r="U64" s="115"/>
      <c r="V64" s="115"/>
      <c r="W64" s="115"/>
      <c r="X64" s="115"/>
      <c r="Y64" s="115"/>
      <c r="Z64" s="115"/>
      <c r="AA64" s="115"/>
      <c r="AB64" s="115"/>
      <c r="AC64" s="115"/>
      <c r="AD64" s="115"/>
      <c r="AE64" s="115"/>
      <c r="AF64" s="115"/>
    </row>
    <row r="65" spans="1:32" x14ac:dyDescent="0.3">
      <c r="A65" s="115"/>
      <c r="B65" s="115"/>
      <c r="C65" s="115"/>
      <c r="D65" s="115"/>
      <c r="E65" s="115"/>
      <c r="F65" s="115"/>
      <c r="G65" s="115"/>
      <c r="H65" s="116"/>
      <c r="I65" s="115"/>
      <c r="J65" s="115"/>
      <c r="K65" s="116"/>
      <c r="L65" s="115"/>
      <c r="M65" s="115"/>
      <c r="N65" s="115"/>
      <c r="O65" s="115"/>
      <c r="P65" s="115"/>
      <c r="Q65" s="115"/>
      <c r="R65" s="115"/>
      <c r="S65" s="115"/>
      <c r="T65" s="115"/>
      <c r="U65" s="115"/>
      <c r="V65" s="115"/>
      <c r="W65" s="115"/>
      <c r="X65" s="115"/>
      <c r="Y65" s="115"/>
      <c r="Z65" s="115"/>
      <c r="AA65" s="115"/>
      <c r="AB65" s="115"/>
      <c r="AC65" s="115"/>
      <c r="AD65" s="115"/>
      <c r="AE65" s="115"/>
      <c r="AF65" s="115"/>
    </row>
    <row r="66" spans="1:32" x14ac:dyDescent="0.3">
      <c r="A66" s="115"/>
      <c r="B66" s="115"/>
      <c r="C66" s="115"/>
      <c r="D66" s="115"/>
      <c r="E66" s="115"/>
      <c r="F66" s="115"/>
      <c r="G66" s="115"/>
      <c r="H66" s="116"/>
      <c r="I66" s="115"/>
      <c r="J66" s="115"/>
      <c r="K66" s="116"/>
      <c r="L66" s="115"/>
      <c r="M66" s="115"/>
      <c r="N66" s="115"/>
      <c r="O66" s="115"/>
      <c r="P66" s="115"/>
      <c r="Q66" s="115"/>
      <c r="R66" s="115"/>
      <c r="S66" s="115"/>
      <c r="T66" s="115"/>
      <c r="U66" s="115"/>
      <c r="V66" s="115"/>
      <c r="W66" s="115"/>
      <c r="X66" s="115"/>
      <c r="Y66" s="115"/>
      <c r="Z66" s="115"/>
      <c r="AA66" s="115"/>
      <c r="AB66" s="115"/>
      <c r="AC66" s="115"/>
      <c r="AD66" s="115"/>
      <c r="AE66" s="115"/>
      <c r="AF66" s="115"/>
    </row>
    <row r="67" spans="1:32" x14ac:dyDescent="0.3">
      <c r="A67" s="115"/>
      <c r="B67" s="115"/>
      <c r="C67" s="115"/>
      <c r="D67" s="115"/>
      <c r="E67" s="115"/>
      <c r="F67" s="115"/>
      <c r="G67" s="115"/>
      <c r="H67" s="116"/>
      <c r="I67" s="115"/>
      <c r="J67" s="115"/>
      <c r="K67" s="116"/>
      <c r="L67" s="115"/>
      <c r="M67" s="115"/>
      <c r="N67" s="115"/>
      <c r="O67" s="115"/>
      <c r="P67" s="115"/>
      <c r="Q67" s="115"/>
      <c r="R67" s="115"/>
      <c r="S67" s="115"/>
      <c r="T67" s="115"/>
      <c r="U67" s="115"/>
      <c r="V67" s="115"/>
      <c r="W67" s="115"/>
      <c r="X67" s="115"/>
      <c r="Y67" s="115"/>
      <c r="Z67" s="115"/>
      <c r="AA67" s="115"/>
      <c r="AB67" s="115"/>
      <c r="AC67" s="115"/>
      <c r="AD67" s="115"/>
      <c r="AE67" s="115"/>
      <c r="AF67" s="115"/>
    </row>
    <row r="68" spans="1:32" x14ac:dyDescent="0.3">
      <c r="A68" s="115"/>
      <c r="B68" s="115"/>
      <c r="C68" s="115"/>
      <c r="D68" s="115"/>
      <c r="E68" s="115"/>
      <c r="F68" s="115"/>
      <c r="G68" s="115"/>
      <c r="H68" s="116"/>
      <c r="I68" s="115"/>
      <c r="J68" s="115"/>
      <c r="K68" s="116"/>
      <c r="L68" s="115"/>
      <c r="M68" s="115"/>
      <c r="N68" s="115"/>
      <c r="O68" s="115"/>
      <c r="P68" s="115"/>
      <c r="Q68" s="115"/>
      <c r="R68" s="115"/>
      <c r="S68" s="115"/>
      <c r="T68" s="115"/>
      <c r="U68" s="115"/>
      <c r="V68" s="115"/>
      <c r="W68" s="115"/>
      <c r="X68" s="115"/>
      <c r="Y68" s="115"/>
      <c r="Z68" s="115"/>
      <c r="AA68" s="115"/>
      <c r="AB68" s="115"/>
      <c r="AC68" s="115"/>
      <c r="AD68" s="115"/>
      <c r="AE68" s="115"/>
      <c r="AF68" s="115"/>
    </row>
    <row r="69" spans="1:32" x14ac:dyDescent="0.3">
      <c r="A69" s="115"/>
      <c r="B69" s="115"/>
      <c r="C69" s="115"/>
      <c r="D69" s="115"/>
      <c r="E69" s="115"/>
      <c r="F69" s="115"/>
      <c r="G69" s="115"/>
      <c r="H69" s="116"/>
      <c r="I69" s="115"/>
      <c r="J69" s="115"/>
      <c r="K69" s="116"/>
      <c r="L69" s="115"/>
      <c r="M69" s="115"/>
      <c r="N69" s="115"/>
      <c r="O69" s="115"/>
      <c r="P69" s="115"/>
      <c r="Q69" s="115"/>
      <c r="R69" s="115"/>
      <c r="S69" s="115"/>
      <c r="T69" s="115"/>
      <c r="U69" s="115"/>
      <c r="V69" s="115"/>
      <c r="W69" s="115"/>
      <c r="X69" s="115"/>
      <c r="Y69" s="115"/>
      <c r="Z69" s="115"/>
      <c r="AA69" s="115"/>
      <c r="AB69" s="115"/>
      <c r="AC69" s="115"/>
      <c r="AD69" s="115"/>
      <c r="AE69" s="115"/>
      <c r="AF69" s="115"/>
    </row>
    <row r="70" spans="1:32" x14ac:dyDescent="0.3">
      <c r="A70" s="115"/>
      <c r="B70" s="115"/>
      <c r="C70" s="115"/>
      <c r="D70" s="115"/>
      <c r="E70" s="115"/>
      <c r="F70" s="115"/>
      <c r="G70" s="115"/>
      <c r="H70" s="116"/>
      <c r="I70" s="115"/>
      <c r="J70" s="115"/>
      <c r="K70" s="116"/>
      <c r="L70" s="115"/>
      <c r="M70" s="115"/>
      <c r="N70" s="115"/>
      <c r="O70" s="115"/>
      <c r="P70" s="115"/>
      <c r="Q70" s="115"/>
      <c r="R70" s="115"/>
      <c r="S70" s="115"/>
      <c r="T70" s="115"/>
      <c r="U70" s="115"/>
      <c r="V70" s="115"/>
      <c r="W70" s="115"/>
      <c r="X70" s="115"/>
      <c r="Y70" s="115"/>
      <c r="Z70" s="115"/>
      <c r="AA70" s="115"/>
      <c r="AB70" s="115"/>
      <c r="AC70" s="115"/>
      <c r="AD70" s="115"/>
      <c r="AE70" s="115"/>
      <c r="AF70" s="115"/>
    </row>
    <row r="71" spans="1:32" x14ac:dyDescent="0.3">
      <c r="A71" s="115"/>
      <c r="B71" s="115"/>
      <c r="C71" s="115"/>
      <c r="D71" s="115"/>
      <c r="E71" s="115"/>
      <c r="F71" s="115"/>
      <c r="G71" s="115"/>
      <c r="H71" s="116"/>
      <c r="I71" s="115"/>
      <c r="J71" s="115"/>
      <c r="K71" s="116"/>
      <c r="L71" s="115"/>
      <c r="M71" s="115"/>
      <c r="N71" s="115"/>
      <c r="O71" s="115"/>
      <c r="P71" s="115"/>
      <c r="Q71" s="115"/>
      <c r="R71" s="115"/>
      <c r="S71" s="115"/>
      <c r="T71" s="115"/>
      <c r="U71" s="115"/>
      <c r="V71" s="115"/>
      <c r="W71" s="115"/>
      <c r="X71" s="115"/>
      <c r="Y71" s="115"/>
      <c r="Z71" s="115"/>
      <c r="AA71" s="115"/>
      <c r="AB71" s="115"/>
      <c r="AC71" s="115"/>
      <c r="AD71" s="115"/>
      <c r="AE71" s="115"/>
      <c r="AF71" s="115"/>
    </row>
    <row r="72" spans="1:32" x14ac:dyDescent="0.3">
      <c r="A72" s="115"/>
      <c r="B72" s="115"/>
      <c r="C72" s="115"/>
      <c r="D72" s="115"/>
      <c r="E72" s="115"/>
      <c r="F72" s="115"/>
      <c r="G72" s="115"/>
      <c r="H72" s="116"/>
      <c r="I72" s="115"/>
      <c r="J72" s="115"/>
      <c r="K72" s="116"/>
      <c r="L72" s="115"/>
      <c r="M72" s="115"/>
      <c r="N72" s="115"/>
      <c r="O72" s="115"/>
      <c r="P72" s="115"/>
      <c r="Q72" s="115"/>
      <c r="R72" s="115"/>
      <c r="S72" s="115"/>
      <c r="T72" s="115"/>
      <c r="U72" s="115"/>
      <c r="V72" s="115"/>
      <c r="W72" s="115"/>
      <c r="X72" s="115"/>
      <c r="Y72" s="115"/>
      <c r="Z72" s="115"/>
      <c r="AA72" s="115"/>
      <c r="AB72" s="115"/>
      <c r="AC72" s="115"/>
      <c r="AD72" s="115"/>
      <c r="AE72" s="115"/>
      <c r="AF72" s="115"/>
    </row>
    <row r="73" spans="1:32" x14ac:dyDescent="0.3">
      <c r="A73" s="115"/>
      <c r="B73" s="115"/>
      <c r="C73" s="115"/>
      <c r="D73" s="115"/>
      <c r="E73" s="115"/>
      <c r="F73" s="115"/>
      <c r="G73" s="115"/>
      <c r="H73" s="116"/>
      <c r="I73" s="115"/>
      <c r="J73" s="115"/>
      <c r="K73" s="116"/>
      <c r="L73" s="115"/>
      <c r="M73" s="115"/>
      <c r="N73" s="115"/>
      <c r="O73" s="115"/>
      <c r="P73" s="115"/>
      <c r="Q73" s="115"/>
      <c r="R73" s="115"/>
      <c r="S73" s="115"/>
      <c r="T73" s="115"/>
      <c r="U73" s="115"/>
      <c r="V73" s="115"/>
      <c r="W73" s="115"/>
      <c r="X73" s="115"/>
      <c r="Y73" s="115"/>
      <c r="Z73" s="115"/>
      <c r="AA73" s="115"/>
      <c r="AB73" s="115"/>
      <c r="AC73" s="115"/>
      <c r="AD73" s="115"/>
      <c r="AE73" s="115"/>
      <c r="AF73" s="115"/>
    </row>
    <row r="74" spans="1:32" x14ac:dyDescent="0.3">
      <c r="A74" s="115"/>
      <c r="B74" s="115"/>
      <c r="C74" s="115"/>
      <c r="D74" s="115"/>
      <c r="E74" s="115"/>
      <c r="F74" s="115"/>
      <c r="G74" s="115"/>
      <c r="H74" s="116"/>
      <c r="I74" s="115"/>
      <c r="J74" s="115"/>
      <c r="K74" s="116"/>
      <c r="L74" s="115"/>
      <c r="M74" s="115"/>
      <c r="N74" s="115"/>
      <c r="O74" s="115"/>
      <c r="P74" s="115"/>
      <c r="Q74" s="115"/>
      <c r="R74" s="115"/>
      <c r="S74" s="115"/>
      <c r="T74" s="115"/>
      <c r="U74" s="115"/>
      <c r="V74" s="115"/>
      <c r="W74" s="115"/>
      <c r="X74" s="115"/>
      <c r="Y74" s="115"/>
      <c r="Z74" s="115"/>
      <c r="AA74" s="115"/>
      <c r="AB74" s="115"/>
      <c r="AC74" s="115"/>
      <c r="AD74" s="115"/>
      <c r="AE74" s="115"/>
      <c r="AF74" s="115"/>
    </row>
    <row r="75" spans="1:32" x14ac:dyDescent="0.3">
      <c r="A75" s="115"/>
      <c r="B75" s="115"/>
      <c r="C75" s="115"/>
      <c r="D75" s="115"/>
      <c r="E75" s="115"/>
      <c r="F75" s="115"/>
      <c r="G75" s="115"/>
      <c r="H75" s="116"/>
      <c r="I75" s="115"/>
      <c r="J75" s="115"/>
      <c r="K75" s="116"/>
      <c r="L75" s="115"/>
      <c r="M75" s="115"/>
      <c r="N75" s="115"/>
      <c r="O75" s="115"/>
      <c r="P75" s="115"/>
      <c r="Q75" s="115"/>
      <c r="R75" s="115"/>
      <c r="S75" s="115"/>
      <c r="T75" s="115"/>
      <c r="U75" s="115"/>
      <c r="V75" s="115"/>
      <c r="W75" s="115"/>
      <c r="X75" s="115"/>
      <c r="Y75" s="115"/>
      <c r="Z75" s="115"/>
      <c r="AA75" s="115"/>
      <c r="AB75" s="115"/>
      <c r="AC75" s="115"/>
      <c r="AD75" s="115"/>
      <c r="AE75" s="115"/>
      <c r="AF75" s="115"/>
    </row>
    <row r="76" spans="1:32" x14ac:dyDescent="0.3">
      <c r="A76" s="115"/>
      <c r="B76" s="115"/>
      <c r="C76" s="115"/>
      <c r="D76" s="115"/>
      <c r="E76" s="115"/>
      <c r="F76" s="115"/>
      <c r="G76" s="115"/>
      <c r="H76" s="116"/>
      <c r="I76" s="115"/>
      <c r="J76" s="115"/>
      <c r="K76" s="116"/>
      <c r="L76" s="115"/>
      <c r="M76" s="115"/>
      <c r="N76" s="115"/>
      <c r="O76" s="115"/>
      <c r="P76" s="115"/>
      <c r="Q76" s="115"/>
      <c r="R76" s="115"/>
      <c r="S76" s="115"/>
      <c r="T76" s="115"/>
      <c r="U76" s="115"/>
      <c r="V76" s="115"/>
      <c r="W76" s="115"/>
      <c r="X76" s="115"/>
      <c r="Y76" s="115"/>
      <c r="Z76" s="115"/>
      <c r="AA76" s="115"/>
      <c r="AB76" s="115"/>
      <c r="AC76" s="115"/>
      <c r="AD76" s="115"/>
      <c r="AE76" s="115"/>
      <c r="AF76" s="115"/>
    </row>
    <row r="77" spans="1:32" x14ac:dyDescent="0.3">
      <c r="A77" s="115"/>
      <c r="B77" s="115"/>
      <c r="C77" s="115"/>
      <c r="D77" s="115"/>
      <c r="E77" s="115"/>
      <c r="F77" s="115"/>
      <c r="G77" s="115"/>
      <c r="H77" s="116"/>
      <c r="I77" s="115"/>
      <c r="J77" s="115"/>
      <c r="K77" s="116"/>
      <c r="L77" s="115"/>
      <c r="M77" s="115"/>
      <c r="N77" s="115"/>
      <c r="O77" s="115"/>
      <c r="P77" s="115"/>
      <c r="Q77" s="115"/>
      <c r="R77" s="115"/>
      <c r="S77" s="115"/>
      <c r="T77" s="115"/>
      <c r="U77" s="115"/>
      <c r="V77" s="115"/>
      <c r="W77" s="115"/>
      <c r="X77" s="115"/>
      <c r="Y77" s="115"/>
      <c r="Z77" s="115"/>
      <c r="AA77" s="115"/>
      <c r="AB77" s="115"/>
      <c r="AC77" s="115"/>
      <c r="AD77" s="115"/>
      <c r="AE77" s="115"/>
      <c r="AF77" s="115"/>
    </row>
    <row r="78" spans="1:32" x14ac:dyDescent="0.3">
      <c r="A78" s="113"/>
      <c r="B78" s="113"/>
      <c r="C78" s="113"/>
      <c r="D78" s="113"/>
      <c r="E78" s="113"/>
      <c r="F78" s="113"/>
      <c r="G78" s="113"/>
      <c r="H78" s="114"/>
      <c r="I78" s="113"/>
      <c r="J78" s="113"/>
      <c r="K78" s="114"/>
      <c r="L78" s="113"/>
      <c r="M78" s="113"/>
      <c r="N78" s="113"/>
      <c r="O78" s="113"/>
      <c r="P78" s="113"/>
      <c r="Q78" s="113"/>
      <c r="R78" s="113"/>
      <c r="S78" s="113"/>
      <c r="T78" s="113"/>
      <c r="U78" s="113"/>
      <c r="V78" s="113"/>
      <c r="W78" s="113"/>
      <c r="X78" s="113"/>
      <c r="Y78" s="113"/>
      <c r="Z78" s="113"/>
      <c r="AA78" s="113"/>
      <c r="AB78" s="113"/>
      <c r="AC78" s="113"/>
      <c r="AD78" s="113"/>
      <c r="AE78" s="113"/>
      <c r="AF78" s="108"/>
    </row>
    <row r="79" spans="1:32" x14ac:dyDescent="0.3">
      <c r="A79" s="113"/>
      <c r="B79" s="113"/>
      <c r="C79" s="113"/>
      <c r="D79" s="113"/>
      <c r="E79" s="113"/>
      <c r="F79" s="113"/>
      <c r="G79" s="113"/>
      <c r="H79" s="114"/>
      <c r="I79" s="113"/>
      <c r="J79" s="113"/>
      <c r="K79" s="114"/>
      <c r="L79" s="113"/>
      <c r="M79" s="113"/>
      <c r="N79" s="113"/>
      <c r="O79" s="113"/>
      <c r="P79" s="113"/>
      <c r="Q79" s="113"/>
      <c r="R79" s="113"/>
      <c r="S79" s="113"/>
      <c r="T79" s="113"/>
      <c r="U79" s="113"/>
      <c r="V79" s="113"/>
      <c r="W79" s="113"/>
      <c r="X79" s="113"/>
      <c r="Y79" s="113"/>
      <c r="Z79" s="113"/>
      <c r="AA79" s="113"/>
      <c r="AB79" s="113"/>
      <c r="AC79" s="113"/>
      <c r="AD79" s="113"/>
      <c r="AE79" s="113"/>
      <c r="AF79" s="108"/>
    </row>
    <row r="80" spans="1:32" x14ac:dyDescent="0.3">
      <c r="A80" s="113"/>
      <c r="B80" s="113"/>
      <c r="C80" s="113"/>
      <c r="D80" s="113"/>
      <c r="E80" s="113"/>
      <c r="F80" s="113"/>
      <c r="G80" s="113"/>
      <c r="H80" s="114"/>
      <c r="I80" s="113"/>
      <c r="J80" s="113"/>
      <c r="K80" s="114"/>
      <c r="L80" s="113"/>
      <c r="M80" s="113"/>
      <c r="N80" s="113"/>
      <c r="O80" s="113"/>
      <c r="P80" s="113"/>
      <c r="Q80" s="113"/>
      <c r="R80" s="113"/>
      <c r="S80" s="113"/>
      <c r="T80" s="113"/>
      <c r="U80" s="113"/>
      <c r="V80" s="113"/>
      <c r="W80" s="113"/>
      <c r="X80" s="113"/>
      <c r="Y80" s="113"/>
      <c r="Z80" s="113"/>
      <c r="AA80" s="113"/>
      <c r="AB80" s="113"/>
      <c r="AC80" s="113"/>
      <c r="AD80" s="113"/>
      <c r="AE80" s="113"/>
      <c r="AF80" s="108"/>
    </row>
    <row r="81" spans="1:32" x14ac:dyDescent="0.3">
      <c r="A81" s="113"/>
      <c r="B81" s="113"/>
      <c r="C81" s="113"/>
      <c r="D81" s="113"/>
      <c r="E81" s="113"/>
      <c r="F81" s="113"/>
      <c r="G81" s="113"/>
      <c r="H81" s="114"/>
      <c r="I81" s="113"/>
      <c r="J81" s="113"/>
      <c r="K81" s="114"/>
      <c r="L81" s="113"/>
      <c r="M81" s="113"/>
      <c r="N81" s="113"/>
      <c r="O81" s="113"/>
      <c r="P81" s="113"/>
      <c r="Q81" s="113"/>
      <c r="R81" s="113"/>
      <c r="S81" s="113"/>
      <c r="T81" s="113"/>
      <c r="U81" s="113"/>
      <c r="V81" s="113"/>
      <c r="W81" s="113"/>
      <c r="X81" s="113"/>
      <c r="Y81" s="113"/>
      <c r="Z81" s="113"/>
      <c r="AA81" s="113"/>
      <c r="AB81" s="113"/>
      <c r="AC81" s="113"/>
      <c r="AD81" s="113"/>
      <c r="AE81" s="113"/>
      <c r="AF81" s="108"/>
    </row>
    <row r="82" spans="1:32" x14ac:dyDescent="0.3">
      <c r="A82" s="113"/>
      <c r="B82" s="113"/>
      <c r="C82" s="113"/>
      <c r="D82" s="113"/>
      <c r="E82" s="113"/>
      <c r="F82" s="113"/>
      <c r="G82" s="113"/>
      <c r="H82" s="114"/>
      <c r="I82" s="113"/>
      <c r="J82" s="113"/>
      <c r="K82" s="114"/>
      <c r="L82" s="113"/>
      <c r="M82" s="113"/>
      <c r="N82" s="113"/>
      <c r="O82" s="113"/>
      <c r="P82" s="113"/>
      <c r="Q82" s="113"/>
      <c r="R82" s="113"/>
      <c r="S82" s="113"/>
      <c r="T82" s="113"/>
      <c r="U82" s="113"/>
      <c r="V82" s="113"/>
      <c r="W82" s="113"/>
      <c r="X82" s="113"/>
      <c r="Y82" s="113"/>
      <c r="Z82" s="113"/>
      <c r="AA82" s="113"/>
      <c r="AB82" s="113"/>
      <c r="AC82" s="113"/>
      <c r="AD82" s="113"/>
      <c r="AE82" s="113"/>
      <c r="AF82" s="108"/>
    </row>
    <row r="83" spans="1:32" x14ac:dyDescent="0.3">
      <c r="A83" s="113"/>
      <c r="B83" s="113"/>
      <c r="C83" s="113"/>
      <c r="D83" s="113"/>
      <c r="E83" s="113"/>
      <c r="F83" s="113"/>
      <c r="G83" s="113"/>
      <c r="H83" s="114"/>
      <c r="I83" s="113"/>
      <c r="J83" s="113"/>
      <c r="K83" s="114"/>
      <c r="L83" s="113"/>
      <c r="M83" s="113"/>
      <c r="N83" s="113"/>
      <c r="O83" s="113"/>
      <c r="P83" s="113"/>
      <c r="Q83" s="113"/>
      <c r="R83" s="113"/>
      <c r="S83" s="113"/>
      <c r="T83" s="113"/>
      <c r="U83" s="113"/>
      <c r="V83" s="113"/>
      <c r="W83" s="113"/>
      <c r="X83" s="113"/>
      <c r="Y83" s="113"/>
      <c r="Z83" s="113"/>
      <c r="AA83" s="113"/>
      <c r="AB83" s="113"/>
      <c r="AC83" s="113"/>
      <c r="AD83" s="113"/>
      <c r="AE83" s="113"/>
      <c r="AF83" s="108"/>
    </row>
    <row r="84" spans="1:32" x14ac:dyDescent="0.3">
      <c r="A84" s="113"/>
      <c r="B84" s="113"/>
      <c r="C84" s="113"/>
      <c r="D84" s="113"/>
      <c r="E84" s="113"/>
      <c r="F84" s="113"/>
      <c r="G84" s="113"/>
      <c r="H84" s="114"/>
      <c r="I84" s="113"/>
      <c r="J84" s="113"/>
      <c r="K84" s="114"/>
      <c r="L84" s="113"/>
      <c r="M84" s="113"/>
      <c r="N84" s="113"/>
      <c r="O84" s="113"/>
      <c r="P84" s="113"/>
      <c r="Q84" s="113"/>
      <c r="R84" s="113"/>
      <c r="S84" s="113"/>
      <c r="T84" s="113"/>
      <c r="U84" s="113"/>
      <c r="V84" s="113"/>
      <c r="W84" s="113"/>
      <c r="X84" s="113"/>
      <c r="Y84" s="113"/>
      <c r="Z84" s="113"/>
      <c r="AA84" s="113"/>
      <c r="AB84" s="113"/>
      <c r="AC84" s="113"/>
      <c r="AD84" s="113"/>
      <c r="AE84" s="113"/>
      <c r="AF84" s="108"/>
    </row>
    <row r="85" spans="1:32" x14ac:dyDescent="0.3">
      <c r="A85" s="113"/>
      <c r="B85" s="113"/>
      <c r="C85" s="113"/>
      <c r="D85" s="113"/>
      <c r="E85" s="113"/>
      <c r="F85" s="113"/>
      <c r="G85" s="113"/>
      <c r="H85" s="114"/>
      <c r="I85" s="113"/>
      <c r="J85" s="113"/>
      <c r="K85" s="114"/>
      <c r="L85" s="113"/>
      <c r="M85" s="113"/>
      <c r="N85" s="113"/>
      <c r="O85" s="113"/>
      <c r="P85" s="113"/>
      <c r="Q85" s="113"/>
      <c r="R85" s="113"/>
      <c r="S85" s="113"/>
      <c r="T85" s="113"/>
      <c r="U85" s="113"/>
      <c r="V85" s="113"/>
      <c r="W85" s="113"/>
      <c r="X85" s="113"/>
      <c r="Y85" s="113"/>
      <c r="Z85" s="113"/>
      <c r="AA85" s="113"/>
      <c r="AB85" s="113"/>
      <c r="AC85" s="113"/>
      <c r="AD85" s="113"/>
      <c r="AE85" s="113"/>
      <c r="AF85" s="108"/>
    </row>
    <row r="86" spans="1:32" x14ac:dyDescent="0.3">
      <c r="A86" s="113"/>
      <c r="B86" s="113"/>
      <c r="C86" s="113"/>
      <c r="D86" s="113"/>
      <c r="E86" s="113"/>
      <c r="F86" s="113"/>
      <c r="G86" s="113"/>
      <c r="H86" s="114"/>
      <c r="I86" s="113"/>
      <c r="J86" s="113"/>
      <c r="K86" s="114"/>
      <c r="L86" s="113"/>
      <c r="M86" s="113"/>
      <c r="N86" s="113"/>
      <c r="O86" s="113"/>
      <c r="P86" s="113"/>
      <c r="Q86" s="113"/>
      <c r="R86" s="113"/>
      <c r="S86" s="113"/>
      <c r="T86" s="113"/>
      <c r="U86" s="113"/>
      <c r="V86" s="113"/>
      <c r="W86" s="113"/>
      <c r="X86" s="113"/>
      <c r="Y86" s="113"/>
      <c r="Z86" s="113"/>
      <c r="AA86" s="113"/>
      <c r="AB86" s="113"/>
      <c r="AC86" s="113"/>
      <c r="AD86" s="113"/>
      <c r="AE86" s="113"/>
      <c r="AF86" s="108"/>
    </row>
    <row r="87" spans="1:32" x14ac:dyDescent="0.3">
      <c r="A87" s="113"/>
      <c r="B87" s="113"/>
      <c r="C87" s="113"/>
      <c r="D87" s="113"/>
      <c r="E87" s="113"/>
      <c r="F87" s="113"/>
      <c r="G87" s="113"/>
      <c r="H87" s="114"/>
      <c r="I87" s="113"/>
      <c r="J87" s="113"/>
      <c r="K87" s="114"/>
      <c r="L87" s="113"/>
      <c r="M87" s="113"/>
      <c r="N87" s="113"/>
      <c r="O87" s="113"/>
      <c r="P87" s="113"/>
      <c r="Q87" s="113"/>
      <c r="R87" s="113"/>
      <c r="S87" s="113"/>
      <c r="T87" s="113"/>
      <c r="U87" s="113"/>
      <c r="V87" s="113"/>
      <c r="W87" s="113"/>
      <c r="X87" s="113"/>
      <c r="Y87" s="113"/>
      <c r="Z87" s="113"/>
      <c r="AA87" s="113"/>
      <c r="AB87" s="113"/>
      <c r="AC87" s="113"/>
      <c r="AD87" s="113"/>
      <c r="AE87" s="113"/>
      <c r="AF87" s="108"/>
    </row>
    <row r="88" spans="1:32" x14ac:dyDescent="0.3">
      <c r="A88" s="113"/>
      <c r="B88" s="113"/>
      <c r="C88" s="113"/>
      <c r="D88" s="113"/>
      <c r="E88" s="113"/>
      <c r="F88" s="113"/>
      <c r="G88" s="113"/>
      <c r="H88" s="114"/>
      <c r="I88" s="113"/>
      <c r="J88" s="113"/>
      <c r="K88" s="114"/>
      <c r="L88" s="113"/>
      <c r="M88" s="113"/>
      <c r="N88" s="113"/>
      <c r="O88" s="113"/>
      <c r="P88" s="113"/>
      <c r="Q88" s="113"/>
      <c r="R88" s="113"/>
      <c r="S88" s="113"/>
      <c r="T88" s="113"/>
      <c r="U88" s="113"/>
      <c r="V88" s="113"/>
      <c r="W88" s="113"/>
      <c r="X88" s="113"/>
      <c r="Y88" s="113"/>
      <c r="Z88" s="113"/>
      <c r="AA88" s="113"/>
      <c r="AB88" s="113"/>
      <c r="AC88" s="113"/>
      <c r="AD88" s="113"/>
      <c r="AE88" s="113"/>
      <c r="AF88" s="108"/>
    </row>
    <row r="89" spans="1:32" x14ac:dyDescent="0.3">
      <c r="A89" s="113"/>
      <c r="B89" s="113"/>
      <c r="C89" s="113"/>
      <c r="D89" s="113"/>
      <c r="E89" s="113"/>
      <c r="F89" s="113"/>
      <c r="G89" s="113"/>
      <c r="H89" s="114"/>
      <c r="I89" s="113"/>
      <c r="J89" s="113"/>
      <c r="K89" s="114"/>
      <c r="L89" s="113"/>
      <c r="M89" s="113"/>
      <c r="N89" s="113"/>
      <c r="O89" s="113"/>
      <c r="P89" s="113"/>
      <c r="Q89" s="113"/>
      <c r="R89" s="113"/>
      <c r="S89" s="113"/>
      <c r="T89" s="113"/>
      <c r="U89" s="113"/>
      <c r="V89" s="113"/>
      <c r="W89" s="113"/>
      <c r="X89" s="113"/>
      <c r="Y89" s="113"/>
      <c r="Z89" s="113"/>
      <c r="AA89" s="113"/>
      <c r="AB89" s="113"/>
      <c r="AC89" s="113"/>
      <c r="AD89" s="113"/>
      <c r="AE89" s="113"/>
      <c r="AF89" s="108"/>
    </row>
    <row r="90" spans="1:32" x14ac:dyDescent="0.3">
      <c r="A90" s="113"/>
      <c r="B90" s="113"/>
      <c r="C90" s="113"/>
      <c r="D90" s="113"/>
      <c r="E90" s="113"/>
      <c r="F90" s="113"/>
      <c r="G90" s="113"/>
      <c r="H90" s="114"/>
      <c r="I90" s="113"/>
      <c r="J90" s="113"/>
      <c r="K90" s="114"/>
      <c r="L90" s="113"/>
      <c r="M90" s="113"/>
      <c r="N90" s="113"/>
      <c r="O90" s="113"/>
      <c r="P90" s="113"/>
      <c r="Q90" s="113"/>
      <c r="R90" s="113"/>
      <c r="S90" s="113"/>
      <c r="T90" s="113"/>
      <c r="U90" s="113"/>
      <c r="V90" s="113"/>
      <c r="W90" s="113"/>
      <c r="X90" s="113"/>
      <c r="Y90" s="113"/>
      <c r="Z90" s="113"/>
      <c r="AA90" s="113"/>
      <c r="AB90" s="113"/>
      <c r="AC90" s="113"/>
      <c r="AD90" s="113"/>
      <c r="AE90" s="113"/>
      <c r="AF90" s="108"/>
    </row>
    <row r="91" spans="1:32" x14ac:dyDescent="0.3">
      <c r="A91" s="113"/>
      <c r="B91" s="113"/>
      <c r="C91" s="113"/>
      <c r="D91" s="113"/>
      <c r="E91" s="113"/>
      <c r="F91" s="113"/>
      <c r="G91" s="113"/>
      <c r="H91" s="114"/>
      <c r="I91" s="113"/>
      <c r="J91" s="113"/>
      <c r="K91" s="114"/>
      <c r="L91" s="113"/>
      <c r="M91" s="113"/>
      <c r="N91" s="113"/>
      <c r="O91" s="113"/>
      <c r="P91" s="113"/>
      <c r="Q91" s="113"/>
      <c r="R91" s="113"/>
      <c r="S91" s="113"/>
      <c r="T91" s="113"/>
      <c r="U91" s="113"/>
      <c r="V91" s="113"/>
      <c r="W91" s="113"/>
      <c r="X91" s="113"/>
      <c r="Y91" s="113"/>
      <c r="Z91" s="113"/>
      <c r="AA91" s="113"/>
      <c r="AB91" s="113"/>
      <c r="AC91" s="113"/>
      <c r="AD91" s="113"/>
      <c r="AE91" s="113"/>
      <c r="AF91" s="108"/>
    </row>
    <row r="92" spans="1:32" x14ac:dyDescent="0.3">
      <c r="A92" s="113"/>
      <c r="B92" s="113"/>
      <c r="C92" s="113"/>
      <c r="D92" s="113"/>
      <c r="E92" s="113"/>
      <c r="F92" s="113"/>
      <c r="G92" s="113"/>
      <c r="H92" s="114"/>
      <c r="I92" s="113"/>
      <c r="J92" s="113"/>
      <c r="K92" s="114"/>
      <c r="L92" s="113"/>
      <c r="M92" s="113"/>
      <c r="N92" s="113"/>
      <c r="O92" s="113"/>
      <c r="P92" s="113"/>
      <c r="Q92" s="113"/>
      <c r="R92" s="113"/>
      <c r="S92" s="113"/>
      <c r="T92" s="113"/>
      <c r="U92" s="113"/>
      <c r="V92" s="113"/>
      <c r="W92" s="113"/>
      <c r="X92" s="113"/>
      <c r="Y92" s="113"/>
      <c r="Z92" s="113"/>
      <c r="AA92" s="113"/>
      <c r="AB92" s="113"/>
      <c r="AC92" s="113"/>
      <c r="AD92" s="113"/>
      <c r="AE92" s="113"/>
      <c r="AF92" s="108"/>
    </row>
    <row r="93" spans="1:32" x14ac:dyDescent="0.3">
      <c r="A93" s="113"/>
      <c r="B93" s="113"/>
      <c r="C93" s="113"/>
      <c r="D93" s="113"/>
      <c r="E93" s="113"/>
      <c r="F93" s="113"/>
      <c r="G93" s="113"/>
      <c r="H93" s="114"/>
      <c r="I93" s="113"/>
      <c r="J93" s="113"/>
      <c r="K93" s="114"/>
      <c r="L93" s="113"/>
      <c r="M93" s="113"/>
      <c r="N93" s="113"/>
      <c r="O93" s="113"/>
      <c r="P93" s="113"/>
      <c r="Q93" s="113"/>
      <c r="R93" s="113"/>
      <c r="S93" s="113"/>
      <c r="T93" s="113"/>
      <c r="U93" s="113"/>
      <c r="V93" s="113"/>
      <c r="W93" s="113"/>
      <c r="X93" s="113"/>
      <c r="Y93" s="113"/>
      <c r="Z93" s="113"/>
      <c r="AA93" s="113"/>
      <c r="AB93" s="113"/>
      <c r="AC93" s="113"/>
      <c r="AD93" s="113"/>
      <c r="AE93" s="113"/>
      <c r="AF93" s="108"/>
    </row>
    <row r="94" spans="1:32" x14ac:dyDescent="0.3">
      <c r="A94" s="113"/>
      <c r="B94" s="113"/>
      <c r="C94" s="113"/>
      <c r="D94" s="113"/>
      <c r="E94" s="113"/>
      <c r="F94" s="113"/>
      <c r="G94" s="113"/>
      <c r="H94" s="114"/>
      <c r="I94" s="113"/>
      <c r="J94" s="113"/>
      <c r="K94" s="114"/>
      <c r="L94" s="113"/>
      <c r="M94" s="113"/>
      <c r="N94" s="113"/>
      <c r="O94" s="113"/>
      <c r="P94" s="113"/>
      <c r="Q94" s="113"/>
      <c r="R94" s="113"/>
      <c r="S94" s="113"/>
      <c r="T94" s="113"/>
      <c r="U94" s="113"/>
      <c r="V94" s="113"/>
      <c r="W94" s="113"/>
      <c r="X94" s="113"/>
      <c r="Y94" s="113"/>
      <c r="Z94" s="113"/>
      <c r="AA94" s="113"/>
      <c r="AB94" s="113"/>
      <c r="AC94" s="113"/>
      <c r="AD94" s="113"/>
      <c r="AE94" s="113"/>
      <c r="AF94" s="108"/>
    </row>
    <row r="95" spans="1:32" x14ac:dyDescent="0.3">
      <c r="A95" s="113"/>
      <c r="B95" s="113"/>
      <c r="C95" s="113"/>
      <c r="D95" s="113"/>
      <c r="E95" s="113"/>
      <c r="F95" s="113"/>
      <c r="G95" s="113"/>
      <c r="H95" s="114"/>
      <c r="I95" s="113"/>
      <c r="J95" s="113"/>
      <c r="K95" s="114"/>
      <c r="L95" s="113"/>
      <c r="M95" s="113"/>
      <c r="N95" s="113"/>
      <c r="O95" s="113"/>
      <c r="P95" s="113"/>
      <c r="Q95" s="113"/>
      <c r="R95" s="113"/>
      <c r="S95" s="113"/>
      <c r="T95" s="113"/>
      <c r="U95" s="113"/>
      <c r="V95" s="113"/>
      <c r="W95" s="113"/>
      <c r="X95" s="113"/>
      <c r="Y95" s="113"/>
      <c r="Z95" s="113"/>
      <c r="AA95" s="113"/>
      <c r="AB95" s="113"/>
      <c r="AC95" s="113"/>
      <c r="AD95" s="113"/>
      <c r="AE95" s="113"/>
      <c r="AF95" s="108"/>
    </row>
    <row r="96" spans="1:32" x14ac:dyDescent="0.3">
      <c r="A96" s="113"/>
      <c r="B96" s="113"/>
      <c r="C96" s="113"/>
      <c r="D96" s="113"/>
      <c r="E96" s="113"/>
      <c r="F96" s="113"/>
      <c r="G96" s="113"/>
      <c r="H96" s="114"/>
      <c r="I96" s="113"/>
      <c r="J96" s="113"/>
      <c r="K96" s="114"/>
      <c r="L96" s="113"/>
      <c r="M96" s="113"/>
      <c r="N96" s="113"/>
      <c r="O96" s="113"/>
      <c r="P96" s="113"/>
      <c r="Q96" s="113"/>
      <c r="R96" s="113"/>
      <c r="S96" s="113"/>
      <c r="T96" s="113"/>
      <c r="U96" s="113"/>
      <c r="V96" s="113"/>
      <c r="W96" s="113"/>
      <c r="X96" s="113"/>
      <c r="Y96" s="113"/>
      <c r="Z96" s="113"/>
      <c r="AA96" s="113"/>
      <c r="AB96" s="113"/>
      <c r="AC96" s="113"/>
      <c r="AD96" s="113"/>
      <c r="AE96" s="113"/>
      <c r="AF96" s="108"/>
    </row>
    <row r="97" spans="1:32" x14ac:dyDescent="0.3">
      <c r="A97" s="113"/>
      <c r="B97" s="113"/>
      <c r="C97" s="113"/>
      <c r="D97" s="113"/>
      <c r="E97" s="113"/>
      <c r="F97" s="113"/>
      <c r="G97" s="113"/>
      <c r="H97" s="114"/>
      <c r="I97" s="113"/>
      <c r="J97" s="113"/>
      <c r="K97" s="114"/>
      <c r="L97" s="113"/>
      <c r="M97" s="113"/>
      <c r="N97" s="113"/>
      <c r="O97" s="113"/>
      <c r="P97" s="113"/>
      <c r="Q97" s="113"/>
      <c r="R97" s="113"/>
      <c r="S97" s="113"/>
      <c r="T97" s="113"/>
      <c r="U97" s="113"/>
      <c r="V97" s="113"/>
      <c r="W97" s="113"/>
      <c r="X97" s="113"/>
      <c r="Y97" s="113"/>
      <c r="Z97" s="113"/>
      <c r="AA97" s="113"/>
      <c r="AB97" s="113"/>
      <c r="AC97" s="113"/>
      <c r="AD97" s="113"/>
      <c r="AE97" s="113"/>
      <c r="AF97" s="108"/>
    </row>
    <row r="98" spans="1:32" x14ac:dyDescent="0.3">
      <c r="A98" s="113"/>
      <c r="B98" s="113"/>
      <c r="C98" s="113"/>
      <c r="D98" s="113"/>
      <c r="E98" s="113"/>
      <c r="F98" s="113"/>
      <c r="G98" s="113"/>
      <c r="H98" s="114"/>
      <c r="I98" s="113"/>
      <c r="J98" s="113"/>
      <c r="K98" s="114"/>
      <c r="L98" s="113"/>
      <c r="M98" s="113"/>
      <c r="N98" s="113"/>
      <c r="O98" s="113"/>
      <c r="P98" s="113"/>
      <c r="Q98" s="113"/>
      <c r="R98" s="113"/>
      <c r="S98" s="113"/>
      <c r="T98" s="113"/>
      <c r="U98" s="113"/>
      <c r="V98" s="113"/>
      <c r="W98" s="113"/>
      <c r="X98" s="113"/>
      <c r="Y98" s="113"/>
      <c r="Z98" s="113"/>
      <c r="AA98" s="113"/>
      <c r="AB98" s="113"/>
      <c r="AC98" s="113"/>
      <c r="AD98" s="113"/>
      <c r="AE98" s="113"/>
      <c r="AF98" s="108"/>
    </row>
    <row r="99" spans="1:32" x14ac:dyDescent="0.3">
      <c r="A99" s="113"/>
      <c r="B99" s="113"/>
      <c r="C99" s="113"/>
      <c r="D99" s="113"/>
      <c r="E99" s="113"/>
      <c r="F99" s="113"/>
      <c r="G99" s="113"/>
      <c r="H99" s="114"/>
      <c r="I99" s="113"/>
      <c r="J99" s="113"/>
      <c r="K99" s="114"/>
      <c r="L99" s="113"/>
      <c r="M99" s="113"/>
      <c r="N99" s="113"/>
      <c r="O99" s="113"/>
      <c r="P99" s="113"/>
      <c r="Q99" s="113"/>
      <c r="R99" s="113"/>
      <c r="S99" s="113"/>
      <c r="T99" s="113"/>
      <c r="U99" s="113"/>
      <c r="V99" s="113"/>
      <c r="W99" s="113"/>
      <c r="X99" s="113"/>
      <c r="Y99" s="113"/>
      <c r="Z99" s="113"/>
      <c r="AA99" s="113"/>
      <c r="AB99" s="113"/>
      <c r="AC99" s="113"/>
      <c r="AD99" s="113"/>
      <c r="AE99" s="113"/>
      <c r="AF99" s="108"/>
    </row>
    <row r="100" spans="1:32" x14ac:dyDescent="0.3">
      <c r="A100" s="113"/>
      <c r="B100" s="113"/>
      <c r="C100" s="113"/>
      <c r="D100" s="113"/>
      <c r="E100" s="113"/>
      <c r="F100" s="113"/>
      <c r="G100" s="113"/>
      <c r="H100" s="114"/>
      <c r="I100" s="113"/>
      <c r="J100" s="113"/>
      <c r="K100" s="114"/>
      <c r="L100" s="113"/>
      <c r="M100" s="113"/>
      <c r="N100" s="113"/>
      <c r="O100" s="113"/>
      <c r="P100" s="113"/>
      <c r="Q100" s="113"/>
      <c r="R100" s="113"/>
      <c r="S100" s="113"/>
      <c r="T100" s="113"/>
      <c r="U100" s="113"/>
      <c r="V100" s="113"/>
      <c r="W100" s="113"/>
      <c r="X100" s="113"/>
      <c r="Y100" s="113"/>
      <c r="Z100" s="113"/>
      <c r="AA100" s="113"/>
      <c r="AB100" s="113"/>
      <c r="AC100" s="113"/>
      <c r="AD100" s="113"/>
      <c r="AE100" s="113"/>
      <c r="AF100" s="108"/>
    </row>
    <row r="101" spans="1:32" x14ac:dyDescent="0.3">
      <c r="A101" s="113"/>
      <c r="B101" s="113"/>
      <c r="C101" s="113"/>
      <c r="D101" s="113"/>
      <c r="E101" s="113"/>
      <c r="F101" s="113"/>
      <c r="G101" s="113"/>
      <c r="H101" s="114"/>
      <c r="I101" s="113"/>
      <c r="J101" s="113"/>
      <c r="K101" s="114"/>
      <c r="L101" s="113"/>
      <c r="M101" s="113"/>
      <c r="N101" s="113"/>
      <c r="O101" s="113"/>
      <c r="P101" s="113"/>
      <c r="Q101" s="113"/>
      <c r="R101" s="113"/>
      <c r="S101" s="113"/>
      <c r="T101" s="113"/>
      <c r="U101" s="113"/>
      <c r="V101" s="113"/>
      <c r="W101" s="113"/>
      <c r="X101" s="113"/>
      <c r="Y101" s="113"/>
      <c r="Z101" s="113"/>
      <c r="AA101" s="113"/>
      <c r="AB101" s="113"/>
      <c r="AC101" s="113"/>
      <c r="AD101" s="113"/>
      <c r="AE101" s="113"/>
      <c r="AF101" s="108"/>
    </row>
    <row r="102" spans="1:32" x14ac:dyDescent="0.3">
      <c r="A102" s="113"/>
      <c r="B102" s="113"/>
      <c r="C102" s="113"/>
      <c r="D102" s="113"/>
      <c r="E102" s="113"/>
      <c r="F102" s="113"/>
      <c r="G102" s="113"/>
      <c r="H102" s="114"/>
      <c r="I102" s="113"/>
      <c r="J102" s="113"/>
      <c r="K102" s="114"/>
      <c r="L102" s="113"/>
      <c r="M102" s="113"/>
      <c r="N102" s="113"/>
      <c r="O102" s="113"/>
      <c r="P102" s="113"/>
      <c r="Q102" s="113"/>
      <c r="R102" s="113"/>
      <c r="S102" s="113"/>
      <c r="T102" s="113"/>
      <c r="U102" s="113"/>
      <c r="V102" s="113"/>
      <c r="W102" s="113"/>
      <c r="X102" s="113"/>
      <c r="Y102" s="113"/>
      <c r="Z102" s="113"/>
      <c r="AA102" s="113"/>
      <c r="AB102" s="113"/>
      <c r="AC102" s="113"/>
      <c r="AD102" s="113"/>
      <c r="AE102" s="113"/>
      <c r="AF102" s="108"/>
    </row>
    <row r="103" spans="1:32" x14ac:dyDescent="0.3">
      <c r="A103" s="113"/>
      <c r="B103" s="113"/>
      <c r="C103" s="113"/>
      <c r="D103" s="113"/>
      <c r="E103" s="113"/>
      <c r="F103" s="113"/>
      <c r="G103" s="113"/>
      <c r="H103" s="114"/>
      <c r="I103" s="113"/>
      <c r="J103" s="113"/>
      <c r="K103" s="114"/>
      <c r="L103" s="113"/>
      <c r="M103" s="113"/>
      <c r="N103" s="113"/>
      <c r="O103" s="113"/>
      <c r="P103" s="113"/>
      <c r="Q103" s="113"/>
      <c r="R103" s="113"/>
      <c r="S103" s="113"/>
      <c r="T103" s="113"/>
      <c r="U103" s="113"/>
      <c r="V103" s="113"/>
      <c r="W103" s="113"/>
      <c r="X103" s="113"/>
      <c r="Y103" s="113"/>
      <c r="Z103" s="113"/>
      <c r="AA103" s="113"/>
      <c r="AB103" s="113"/>
      <c r="AC103" s="113"/>
      <c r="AD103" s="113"/>
      <c r="AE103" s="113"/>
      <c r="AF103" s="108"/>
    </row>
    <row r="104" spans="1:32" x14ac:dyDescent="0.3">
      <c r="A104" s="113"/>
      <c r="B104" s="113"/>
      <c r="C104" s="113"/>
      <c r="D104" s="113"/>
      <c r="E104" s="113"/>
      <c r="F104" s="113"/>
      <c r="G104" s="113"/>
      <c r="H104" s="114"/>
      <c r="I104" s="113"/>
      <c r="J104" s="113"/>
      <c r="K104" s="114"/>
      <c r="L104" s="113"/>
      <c r="M104" s="113"/>
      <c r="N104" s="113"/>
      <c r="O104" s="113"/>
      <c r="P104" s="113"/>
      <c r="Q104" s="113"/>
      <c r="R104" s="113"/>
      <c r="S104" s="113"/>
      <c r="T104" s="113"/>
      <c r="U104" s="113"/>
      <c r="V104" s="113"/>
      <c r="W104" s="113"/>
      <c r="X104" s="113"/>
      <c r="Y104" s="113"/>
      <c r="Z104" s="113"/>
      <c r="AA104" s="113"/>
      <c r="AB104" s="113"/>
      <c r="AC104" s="113"/>
      <c r="AD104" s="113"/>
      <c r="AE104" s="113"/>
      <c r="AF104" s="108"/>
    </row>
    <row r="105" spans="1:32" x14ac:dyDescent="0.3">
      <c r="A105" s="113"/>
      <c r="B105" s="113"/>
      <c r="C105" s="113"/>
      <c r="D105" s="113"/>
      <c r="E105" s="113"/>
      <c r="F105" s="113"/>
      <c r="G105" s="113"/>
      <c r="H105" s="114"/>
      <c r="I105" s="113"/>
      <c r="J105" s="113"/>
      <c r="K105" s="114"/>
      <c r="L105" s="113"/>
      <c r="M105" s="113"/>
      <c r="N105" s="113"/>
      <c r="O105" s="113"/>
      <c r="P105" s="113"/>
      <c r="Q105" s="113"/>
      <c r="R105" s="113"/>
      <c r="S105" s="113"/>
      <c r="T105" s="113"/>
      <c r="U105" s="113"/>
      <c r="V105" s="113"/>
      <c r="W105" s="113"/>
      <c r="X105" s="113"/>
      <c r="Y105" s="113"/>
      <c r="Z105" s="113"/>
      <c r="AA105" s="113"/>
      <c r="AB105" s="113"/>
      <c r="AC105" s="113"/>
      <c r="AD105" s="113"/>
      <c r="AE105" s="113"/>
      <c r="AF105" s="108"/>
    </row>
    <row r="106" spans="1:32" x14ac:dyDescent="0.3">
      <c r="A106" s="113"/>
      <c r="B106" s="113"/>
      <c r="C106" s="113"/>
      <c r="D106" s="113"/>
      <c r="E106" s="113"/>
      <c r="F106" s="113"/>
      <c r="G106" s="113"/>
      <c r="H106" s="114"/>
      <c r="I106" s="113"/>
      <c r="J106" s="113"/>
      <c r="K106" s="114"/>
      <c r="L106" s="113"/>
      <c r="M106" s="113"/>
      <c r="N106" s="113"/>
      <c r="O106" s="113"/>
      <c r="P106" s="113"/>
      <c r="Q106" s="113"/>
      <c r="R106" s="113"/>
      <c r="S106" s="113"/>
      <c r="T106" s="113"/>
      <c r="U106" s="113"/>
      <c r="V106" s="113"/>
      <c r="W106" s="113"/>
      <c r="X106" s="113"/>
      <c r="Y106" s="113"/>
      <c r="Z106" s="113"/>
      <c r="AA106" s="113"/>
      <c r="AB106" s="113"/>
      <c r="AC106" s="113"/>
      <c r="AD106" s="113"/>
      <c r="AE106" s="113"/>
      <c r="AF106" s="108"/>
    </row>
    <row r="107" spans="1:32" x14ac:dyDescent="0.3">
      <c r="A107" s="113"/>
      <c r="B107" s="113"/>
      <c r="C107" s="113"/>
      <c r="D107" s="113"/>
      <c r="E107" s="113"/>
      <c r="F107" s="113"/>
      <c r="G107" s="113"/>
      <c r="H107" s="114"/>
      <c r="I107" s="113"/>
      <c r="J107" s="113"/>
      <c r="K107" s="114"/>
      <c r="L107" s="113"/>
      <c r="M107" s="113"/>
      <c r="N107" s="113"/>
      <c r="O107" s="113"/>
      <c r="P107" s="113"/>
      <c r="Q107" s="113"/>
      <c r="R107" s="113"/>
      <c r="S107" s="113"/>
      <c r="T107" s="113"/>
      <c r="U107" s="113"/>
      <c r="V107" s="113"/>
      <c r="W107" s="113"/>
      <c r="X107" s="113"/>
      <c r="Y107" s="113"/>
      <c r="Z107" s="113"/>
      <c r="AA107" s="113"/>
      <c r="AB107" s="113"/>
      <c r="AC107" s="113"/>
      <c r="AD107" s="113"/>
      <c r="AE107" s="113"/>
      <c r="AF107" s="108"/>
    </row>
    <row r="108" spans="1:32" x14ac:dyDescent="0.3">
      <c r="A108" s="113"/>
      <c r="B108" s="113"/>
      <c r="C108" s="113"/>
      <c r="D108" s="113"/>
      <c r="E108" s="113"/>
      <c r="F108" s="113"/>
      <c r="G108" s="113"/>
      <c r="H108" s="114"/>
      <c r="I108" s="113"/>
      <c r="J108" s="113"/>
      <c r="K108" s="114"/>
      <c r="L108" s="113"/>
      <c r="M108" s="113"/>
      <c r="N108" s="113"/>
      <c r="O108" s="113"/>
      <c r="P108" s="113"/>
      <c r="Q108" s="113"/>
      <c r="R108" s="113"/>
      <c r="S108" s="113"/>
      <c r="T108" s="113"/>
      <c r="U108" s="113"/>
      <c r="V108" s="113"/>
      <c r="W108" s="113"/>
      <c r="X108" s="113"/>
      <c r="Y108" s="113"/>
      <c r="Z108" s="113"/>
      <c r="AA108" s="113"/>
      <c r="AB108" s="113"/>
      <c r="AC108" s="113"/>
      <c r="AD108" s="113"/>
      <c r="AE108" s="113"/>
      <c r="AF108" s="108"/>
    </row>
    <row r="109" spans="1:32" x14ac:dyDescent="0.3">
      <c r="A109" s="113"/>
      <c r="B109" s="113"/>
      <c r="C109" s="113"/>
      <c r="D109" s="113"/>
      <c r="E109" s="113"/>
      <c r="F109" s="113"/>
      <c r="G109" s="113"/>
      <c r="H109" s="114"/>
      <c r="I109" s="113"/>
      <c r="J109" s="113"/>
      <c r="K109" s="114"/>
      <c r="L109" s="113"/>
      <c r="M109" s="113"/>
      <c r="N109" s="113"/>
      <c r="O109" s="113"/>
      <c r="P109" s="113"/>
      <c r="Q109" s="113"/>
      <c r="R109" s="113"/>
      <c r="S109" s="113"/>
      <c r="T109" s="113"/>
      <c r="U109" s="113"/>
      <c r="V109" s="113"/>
      <c r="W109" s="113"/>
      <c r="X109" s="113"/>
      <c r="Y109" s="113"/>
      <c r="Z109" s="113"/>
      <c r="AA109" s="113"/>
      <c r="AB109" s="113"/>
      <c r="AC109" s="113"/>
      <c r="AD109" s="113"/>
      <c r="AE109" s="113"/>
      <c r="AF109" s="108"/>
    </row>
    <row r="110" spans="1:32" x14ac:dyDescent="0.3">
      <c r="A110" s="113"/>
      <c r="B110" s="113"/>
      <c r="C110" s="113"/>
      <c r="D110" s="113"/>
      <c r="E110" s="113"/>
      <c r="F110" s="113"/>
      <c r="G110" s="113"/>
      <c r="H110" s="114"/>
      <c r="I110" s="113"/>
      <c r="J110" s="113"/>
      <c r="K110" s="114"/>
      <c r="L110" s="113"/>
      <c r="M110" s="113"/>
      <c r="N110" s="113"/>
      <c r="O110" s="113"/>
      <c r="P110" s="113"/>
      <c r="Q110" s="113"/>
      <c r="R110" s="113"/>
      <c r="S110" s="113"/>
      <c r="T110" s="113"/>
      <c r="U110" s="113"/>
      <c r="V110" s="113"/>
      <c r="W110" s="113"/>
      <c r="X110" s="113"/>
      <c r="Y110" s="113"/>
      <c r="Z110" s="113"/>
      <c r="AA110" s="113"/>
      <c r="AB110" s="113"/>
      <c r="AC110" s="113"/>
      <c r="AD110" s="113"/>
      <c r="AE110" s="113"/>
      <c r="AF110" s="108"/>
    </row>
    <row r="111" spans="1:32" x14ac:dyDescent="0.3">
      <c r="A111" s="113"/>
      <c r="B111" s="113"/>
      <c r="C111" s="113"/>
      <c r="D111" s="113"/>
      <c r="E111" s="113"/>
      <c r="F111" s="113"/>
      <c r="G111" s="113"/>
      <c r="H111" s="114"/>
      <c r="I111" s="113"/>
      <c r="J111" s="113"/>
      <c r="K111" s="114"/>
      <c r="L111" s="113"/>
      <c r="M111" s="113"/>
      <c r="N111" s="113"/>
      <c r="O111" s="113"/>
      <c r="P111" s="113"/>
      <c r="Q111" s="113"/>
      <c r="R111" s="113"/>
      <c r="S111" s="113"/>
      <c r="T111" s="113"/>
      <c r="U111" s="113"/>
      <c r="V111" s="113"/>
      <c r="W111" s="113"/>
      <c r="X111" s="113"/>
      <c r="Y111" s="113"/>
      <c r="Z111" s="113"/>
      <c r="AA111" s="113"/>
      <c r="AB111" s="113"/>
      <c r="AC111" s="113"/>
      <c r="AD111" s="113"/>
      <c r="AE111" s="113"/>
      <c r="AF111" s="108"/>
    </row>
    <row r="112" spans="1:32" x14ac:dyDescent="0.3">
      <c r="A112" s="113"/>
      <c r="B112" s="113"/>
      <c r="C112" s="113"/>
      <c r="D112" s="113"/>
      <c r="E112" s="113"/>
      <c r="F112" s="113"/>
      <c r="G112" s="113"/>
      <c r="H112" s="114"/>
      <c r="I112" s="113"/>
      <c r="J112" s="113"/>
      <c r="K112" s="114"/>
      <c r="L112" s="113"/>
      <c r="M112" s="113"/>
      <c r="N112" s="113"/>
      <c r="O112" s="113"/>
      <c r="P112" s="113"/>
      <c r="Q112" s="113"/>
      <c r="R112" s="113"/>
      <c r="S112" s="113"/>
      <c r="T112" s="113"/>
      <c r="U112" s="113"/>
      <c r="V112" s="113"/>
      <c r="W112" s="113"/>
      <c r="X112" s="113"/>
      <c r="Y112" s="113"/>
      <c r="Z112" s="113"/>
      <c r="AA112" s="113"/>
      <c r="AB112" s="113"/>
      <c r="AC112" s="113"/>
      <c r="AD112" s="113"/>
      <c r="AE112" s="113"/>
      <c r="AF112" s="108"/>
    </row>
    <row r="113" spans="1:32" x14ac:dyDescent="0.3">
      <c r="A113" s="113"/>
      <c r="B113" s="113"/>
      <c r="C113" s="113"/>
      <c r="D113" s="113"/>
      <c r="E113" s="113"/>
      <c r="F113" s="113"/>
      <c r="G113" s="113"/>
      <c r="H113" s="114"/>
      <c r="I113" s="113"/>
      <c r="J113" s="113"/>
      <c r="K113" s="114"/>
      <c r="L113" s="113"/>
      <c r="M113" s="113"/>
      <c r="N113" s="113"/>
      <c r="O113" s="113"/>
      <c r="P113" s="113"/>
      <c r="Q113" s="113"/>
      <c r="R113" s="113"/>
      <c r="S113" s="113"/>
      <c r="T113" s="113"/>
      <c r="U113" s="113"/>
      <c r="V113" s="113"/>
      <c r="W113" s="113"/>
      <c r="X113" s="113"/>
      <c r="Y113" s="113"/>
      <c r="Z113" s="113"/>
      <c r="AA113" s="113"/>
      <c r="AB113" s="113"/>
      <c r="AC113" s="113"/>
      <c r="AD113" s="113"/>
      <c r="AE113" s="113"/>
      <c r="AF113" s="108"/>
    </row>
    <row r="114" spans="1:32" x14ac:dyDescent="0.3">
      <c r="A114" s="113"/>
      <c r="B114" s="113"/>
      <c r="C114" s="113"/>
      <c r="D114" s="113"/>
      <c r="E114" s="113"/>
      <c r="F114" s="113"/>
      <c r="G114" s="113"/>
      <c r="H114" s="114"/>
      <c r="I114" s="113"/>
      <c r="J114" s="113"/>
      <c r="K114" s="114"/>
      <c r="L114" s="113"/>
      <c r="M114" s="113"/>
      <c r="N114" s="113"/>
      <c r="O114" s="113"/>
      <c r="P114" s="113"/>
      <c r="Q114" s="113"/>
      <c r="R114" s="113"/>
      <c r="S114" s="113"/>
      <c r="T114" s="113"/>
      <c r="U114" s="113"/>
      <c r="V114" s="113"/>
      <c r="W114" s="113"/>
      <c r="X114" s="113"/>
      <c r="Y114" s="113"/>
      <c r="Z114" s="113"/>
      <c r="AA114" s="113"/>
      <c r="AB114" s="113"/>
      <c r="AC114" s="113"/>
      <c r="AD114" s="113"/>
      <c r="AE114" s="113"/>
      <c r="AF114" s="108"/>
    </row>
    <row r="115" spans="1:32" x14ac:dyDescent="0.3">
      <c r="A115" s="113"/>
      <c r="B115" s="113"/>
      <c r="C115" s="113"/>
      <c r="D115" s="113"/>
      <c r="E115" s="113"/>
      <c r="F115" s="113"/>
      <c r="G115" s="113"/>
      <c r="H115" s="114"/>
      <c r="I115" s="113"/>
      <c r="J115" s="113"/>
      <c r="K115" s="114"/>
      <c r="L115" s="113"/>
      <c r="M115" s="113"/>
      <c r="N115" s="113"/>
      <c r="O115" s="113"/>
      <c r="P115" s="113"/>
      <c r="Q115" s="113"/>
      <c r="R115" s="113"/>
      <c r="S115" s="113"/>
      <c r="T115" s="113"/>
      <c r="U115" s="113"/>
      <c r="V115" s="113"/>
      <c r="W115" s="113"/>
      <c r="X115" s="113"/>
      <c r="Y115" s="113"/>
      <c r="Z115" s="113"/>
      <c r="AA115" s="113"/>
      <c r="AB115" s="113"/>
      <c r="AC115" s="113"/>
      <c r="AD115" s="113"/>
      <c r="AE115" s="113"/>
      <c r="AF115" s="108"/>
    </row>
    <row r="116" spans="1:32" x14ac:dyDescent="0.3">
      <c r="A116" s="113"/>
      <c r="B116" s="113"/>
      <c r="C116" s="113"/>
      <c r="D116" s="113"/>
      <c r="E116" s="113"/>
      <c r="F116" s="113"/>
      <c r="G116" s="113"/>
      <c r="H116" s="114"/>
      <c r="I116" s="113"/>
      <c r="J116" s="113"/>
      <c r="K116" s="114"/>
      <c r="L116" s="113"/>
      <c r="M116" s="113"/>
      <c r="N116" s="113"/>
      <c r="O116" s="113"/>
      <c r="P116" s="113"/>
      <c r="Q116" s="113"/>
      <c r="R116" s="113"/>
      <c r="S116" s="113"/>
      <c r="T116" s="113"/>
      <c r="U116" s="113"/>
      <c r="V116" s="113"/>
      <c r="W116" s="113"/>
      <c r="X116" s="113"/>
      <c r="Y116" s="113"/>
      <c r="Z116" s="113"/>
      <c r="AA116" s="113"/>
      <c r="AB116" s="113"/>
      <c r="AC116" s="113"/>
      <c r="AD116" s="113"/>
      <c r="AE116" s="113"/>
      <c r="AF116" s="108"/>
    </row>
    <row r="117" spans="1:32" x14ac:dyDescent="0.3">
      <c r="A117" s="113"/>
      <c r="B117" s="113"/>
      <c r="C117" s="113"/>
      <c r="D117" s="113"/>
      <c r="E117" s="113"/>
      <c r="F117" s="113"/>
      <c r="G117" s="113"/>
      <c r="H117" s="114"/>
      <c r="I117" s="113"/>
      <c r="J117" s="113"/>
      <c r="K117" s="114"/>
      <c r="L117" s="113"/>
      <c r="M117" s="113"/>
      <c r="N117" s="113"/>
      <c r="O117" s="113"/>
      <c r="P117" s="113"/>
      <c r="Q117" s="113"/>
      <c r="R117" s="113"/>
      <c r="S117" s="113"/>
      <c r="T117" s="113"/>
      <c r="U117" s="113"/>
      <c r="V117" s="113"/>
      <c r="W117" s="113"/>
      <c r="X117" s="113"/>
      <c r="Y117" s="113"/>
      <c r="Z117" s="113"/>
      <c r="AA117" s="113"/>
      <c r="AB117" s="113"/>
      <c r="AC117" s="113"/>
      <c r="AD117" s="113"/>
      <c r="AE117" s="113"/>
      <c r="AF117" s="108"/>
    </row>
    <row r="118" spans="1:32" x14ac:dyDescent="0.3">
      <c r="A118" s="113"/>
      <c r="B118" s="113"/>
      <c r="C118" s="113"/>
      <c r="D118" s="113"/>
      <c r="E118" s="113"/>
      <c r="F118" s="113"/>
      <c r="G118" s="113"/>
      <c r="H118" s="114"/>
      <c r="I118" s="113"/>
      <c r="J118" s="113"/>
      <c r="K118" s="114"/>
      <c r="L118" s="113"/>
      <c r="M118" s="113"/>
      <c r="N118" s="113"/>
      <c r="O118" s="113"/>
      <c r="P118" s="113"/>
      <c r="Q118" s="113"/>
      <c r="R118" s="113"/>
      <c r="S118" s="113"/>
      <c r="T118" s="113"/>
      <c r="U118" s="113"/>
      <c r="V118" s="113"/>
      <c r="W118" s="113"/>
      <c r="X118" s="113"/>
      <c r="Y118" s="113"/>
      <c r="Z118" s="113"/>
      <c r="AA118" s="113"/>
      <c r="AB118" s="113"/>
      <c r="AC118" s="113"/>
      <c r="AD118" s="113"/>
      <c r="AE118" s="113"/>
      <c r="AF118" s="108"/>
    </row>
    <row r="119" spans="1:32" x14ac:dyDescent="0.3">
      <c r="A119" s="113"/>
      <c r="B119" s="113"/>
      <c r="C119" s="113"/>
      <c r="D119" s="113"/>
      <c r="E119" s="113"/>
      <c r="F119" s="113"/>
      <c r="G119" s="113"/>
      <c r="H119" s="114"/>
      <c r="I119" s="113"/>
      <c r="J119" s="113"/>
      <c r="K119" s="114"/>
      <c r="L119" s="113"/>
      <c r="M119" s="113"/>
      <c r="N119" s="113"/>
      <c r="O119" s="113"/>
      <c r="P119" s="113"/>
      <c r="Q119" s="113"/>
      <c r="R119" s="113"/>
      <c r="S119" s="113"/>
      <c r="T119" s="113"/>
      <c r="U119" s="113"/>
      <c r="V119" s="113"/>
      <c r="W119" s="113"/>
      <c r="X119" s="113"/>
      <c r="Y119" s="113"/>
      <c r="Z119" s="113"/>
      <c r="AA119" s="113"/>
      <c r="AB119" s="113"/>
      <c r="AC119" s="113"/>
      <c r="AD119" s="113"/>
      <c r="AE119" s="113"/>
      <c r="AF119" s="108"/>
    </row>
    <row r="120" spans="1:32" x14ac:dyDescent="0.3">
      <c r="A120" s="113"/>
      <c r="B120" s="113"/>
      <c r="C120" s="113"/>
      <c r="D120" s="113"/>
      <c r="E120" s="113"/>
      <c r="F120" s="113"/>
      <c r="G120" s="113"/>
      <c r="H120" s="114"/>
      <c r="I120" s="113"/>
      <c r="J120" s="113"/>
      <c r="K120" s="114"/>
      <c r="L120" s="113"/>
      <c r="M120" s="113"/>
      <c r="N120" s="113"/>
      <c r="O120" s="113"/>
      <c r="P120" s="113"/>
      <c r="Q120" s="113"/>
      <c r="R120" s="113"/>
      <c r="S120" s="113"/>
      <c r="T120" s="113"/>
      <c r="U120" s="113"/>
      <c r="V120" s="113"/>
      <c r="W120" s="113"/>
      <c r="X120" s="113"/>
      <c r="Y120" s="113"/>
      <c r="Z120" s="113"/>
      <c r="AA120" s="113"/>
      <c r="AB120" s="113"/>
      <c r="AC120" s="113"/>
      <c r="AD120" s="113"/>
      <c r="AE120" s="113"/>
      <c r="AF120" s="108"/>
    </row>
    <row r="121" spans="1:32" x14ac:dyDescent="0.3">
      <c r="A121" s="113"/>
      <c r="B121" s="113"/>
      <c r="C121" s="113"/>
      <c r="D121" s="113"/>
      <c r="E121" s="113"/>
      <c r="F121" s="113"/>
      <c r="G121" s="113"/>
      <c r="H121" s="114"/>
      <c r="I121" s="113"/>
      <c r="J121" s="113"/>
      <c r="K121" s="114"/>
      <c r="L121" s="113"/>
      <c r="M121" s="113"/>
      <c r="N121" s="113"/>
      <c r="O121" s="113"/>
      <c r="P121" s="113"/>
      <c r="Q121" s="113"/>
      <c r="R121" s="113"/>
      <c r="S121" s="113"/>
      <c r="T121" s="113"/>
      <c r="U121" s="113"/>
      <c r="V121" s="113"/>
      <c r="W121" s="113"/>
      <c r="X121" s="113"/>
      <c r="Y121" s="113"/>
      <c r="Z121" s="113"/>
      <c r="AA121" s="113"/>
      <c r="AB121" s="113"/>
      <c r="AC121" s="113"/>
      <c r="AD121" s="113"/>
      <c r="AE121" s="113"/>
      <c r="AF121" s="108"/>
    </row>
    <row r="122" spans="1:32" x14ac:dyDescent="0.3">
      <c r="A122" s="113"/>
      <c r="B122" s="113"/>
      <c r="C122" s="113"/>
      <c r="D122" s="113"/>
      <c r="E122" s="113"/>
      <c r="F122" s="113"/>
      <c r="G122" s="113"/>
      <c r="H122" s="114"/>
      <c r="I122" s="113"/>
      <c r="J122" s="113"/>
      <c r="K122" s="114"/>
      <c r="L122" s="113"/>
      <c r="M122" s="113"/>
      <c r="N122" s="113"/>
      <c r="O122" s="113"/>
      <c r="P122" s="113"/>
      <c r="Q122" s="113"/>
      <c r="R122" s="113"/>
      <c r="S122" s="113"/>
      <c r="T122" s="113"/>
      <c r="U122" s="113"/>
      <c r="V122" s="113"/>
      <c r="W122" s="113"/>
      <c r="X122" s="113"/>
      <c r="Y122" s="113"/>
      <c r="Z122" s="113"/>
      <c r="AA122" s="113"/>
      <c r="AB122" s="113"/>
      <c r="AC122" s="113"/>
      <c r="AD122" s="113"/>
      <c r="AE122" s="113"/>
      <c r="AF122" s="108"/>
    </row>
    <row r="123" spans="1:32" x14ac:dyDescent="0.3">
      <c r="A123" s="113"/>
      <c r="B123" s="113"/>
      <c r="C123" s="113"/>
      <c r="D123" s="113"/>
      <c r="E123" s="113"/>
      <c r="F123" s="113"/>
      <c r="G123" s="113"/>
      <c r="H123" s="114"/>
      <c r="I123" s="113"/>
      <c r="J123" s="113"/>
      <c r="K123" s="114"/>
      <c r="L123" s="113"/>
      <c r="M123" s="113"/>
      <c r="N123" s="113"/>
      <c r="O123" s="113"/>
      <c r="P123" s="113"/>
      <c r="Q123" s="113"/>
      <c r="R123" s="113"/>
      <c r="S123" s="113"/>
      <c r="T123" s="113"/>
      <c r="U123" s="113"/>
      <c r="V123" s="113"/>
      <c r="W123" s="113"/>
      <c r="X123" s="113"/>
      <c r="Y123" s="113"/>
      <c r="Z123" s="113"/>
      <c r="AA123" s="113"/>
      <c r="AB123" s="113"/>
      <c r="AC123" s="113"/>
      <c r="AD123" s="113"/>
      <c r="AE123" s="113"/>
      <c r="AF123" s="108"/>
    </row>
    <row r="124" spans="1:32" x14ac:dyDescent="0.3">
      <c r="A124" s="113"/>
      <c r="B124" s="113"/>
      <c r="C124" s="113"/>
      <c r="D124" s="113"/>
      <c r="E124" s="113"/>
      <c r="F124" s="113"/>
      <c r="G124" s="113"/>
      <c r="H124" s="114"/>
      <c r="I124" s="113"/>
      <c r="J124" s="113"/>
      <c r="K124" s="114"/>
      <c r="L124" s="113"/>
      <c r="M124" s="113"/>
      <c r="N124" s="113"/>
      <c r="O124" s="113"/>
      <c r="P124" s="113"/>
      <c r="Q124" s="113"/>
      <c r="R124" s="113"/>
      <c r="S124" s="113"/>
      <c r="T124" s="113"/>
      <c r="U124" s="113"/>
      <c r="V124" s="113"/>
      <c r="W124" s="113"/>
      <c r="X124" s="113"/>
      <c r="Y124" s="113"/>
      <c r="Z124" s="113"/>
      <c r="AA124" s="113"/>
      <c r="AB124" s="113"/>
      <c r="AC124" s="113"/>
      <c r="AD124" s="113"/>
      <c r="AE124" s="113"/>
      <c r="AF124" s="108"/>
    </row>
    <row r="125" spans="1:32" x14ac:dyDescent="0.3">
      <c r="A125" s="113"/>
      <c r="B125" s="113"/>
      <c r="C125" s="113"/>
      <c r="D125" s="113"/>
      <c r="E125" s="113"/>
      <c r="F125" s="113"/>
      <c r="G125" s="113"/>
      <c r="H125" s="114"/>
      <c r="I125" s="113"/>
      <c r="J125" s="113"/>
      <c r="K125" s="114"/>
      <c r="L125" s="113"/>
      <c r="M125" s="113"/>
      <c r="N125" s="113"/>
      <c r="O125" s="113"/>
      <c r="P125" s="113"/>
      <c r="Q125" s="113"/>
      <c r="R125" s="113"/>
      <c r="S125" s="113"/>
      <c r="T125" s="113"/>
      <c r="U125" s="113"/>
      <c r="V125" s="113"/>
      <c r="W125" s="113"/>
      <c r="X125" s="113"/>
      <c r="Y125" s="113"/>
      <c r="Z125" s="113"/>
      <c r="AA125" s="113"/>
      <c r="AB125" s="113"/>
      <c r="AC125" s="113"/>
      <c r="AD125" s="113"/>
      <c r="AE125" s="113"/>
    </row>
    <row r="126" spans="1:32" x14ac:dyDescent="0.3">
      <c r="A126" s="113"/>
      <c r="B126" s="113"/>
      <c r="C126" s="113"/>
      <c r="D126" s="113"/>
      <c r="E126" s="113"/>
      <c r="F126" s="113"/>
      <c r="G126" s="113"/>
      <c r="H126" s="114"/>
      <c r="I126" s="113"/>
      <c r="J126" s="113"/>
      <c r="K126" s="114"/>
      <c r="L126" s="113"/>
      <c r="M126" s="113"/>
      <c r="N126" s="113"/>
      <c r="O126" s="113"/>
      <c r="P126" s="113"/>
      <c r="Q126" s="113"/>
      <c r="R126" s="113"/>
      <c r="S126" s="113"/>
      <c r="T126" s="113"/>
      <c r="U126" s="113"/>
      <c r="V126" s="113"/>
      <c r="W126" s="113"/>
      <c r="X126" s="113"/>
      <c r="Y126" s="113"/>
      <c r="Z126" s="113"/>
      <c r="AA126" s="113"/>
      <c r="AB126" s="113"/>
      <c r="AC126" s="113"/>
      <c r="AD126" s="113"/>
      <c r="AE126" s="113"/>
    </row>
    <row r="127" spans="1:32" x14ac:dyDescent="0.3">
      <c r="A127" s="113"/>
      <c r="B127" s="113"/>
      <c r="C127" s="113"/>
      <c r="D127" s="113"/>
      <c r="E127" s="113"/>
      <c r="F127" s="113"/>
      <c r="G127" s="113"/>
      <c r="H127" s="114"/>
      <c r="I127" s="113"/>
      <c r="J127" s="113"/>
      <c r="K127" s="114"/>
      <c r="L127" s="113"/>
      <c r="M127" s="113"/>
      <c r="N127" s="113"/>
      <c r="O127" s="113"/>
      <c r="P127" s="113"/>
      <c r="Q127" s="113"/>
      <c r="R127" s="113"/>
      <c r="S127" s="113"/>
      <c r="T127" s="113"/>
      <c r="U127" s="113"/>
      <c r="V127" s="113"/>
      <c r="W127" s="113"/>
      <c r="X127" s="113"/>
      <c r="Y127" s="113"/>
      <c r="Z127" s="113"/>
      <c r="AA127" s="113"/>
      <c r="AB127" s="113"/>
      <c r="AC127" s="113"/>
      <c r="AD127" s="113"/>
      <c r="AE127" s="113"/>
    </row>
    <row r="128" spans="1:32" x14ac:dyDescent="0.3">
      <c r="A128" s="113"/>
      <c r="B128" s="113"/>
      <c r="C128" s="113"/>
      <c r="D128" s="113"/>
      <c r="E128" s="113"/>
      <c r="F128" s="113"/>
      <c r="G128" s="113"/>
      <c r="H128" s="114"/>
      <c r="I128" s="113"/>
      <c r="J128" s="113"/>
      <c r="K128" s="114"/>
      <c r="L128" s="113"/>
      <c r="M128" s="113"/>
      <c r="N128" s="113"/>
      <c r="O128" s="113"/>
      <c r="P128" s="113"/>
      <c r="Q128" s="113"/>
      <c r="R128" s="113"/>
      <c r="S128" s="113"/>
      <c r="T128" s="113"/>
      <c r="U128" s="113"/>
      <c r="V128" s="113"/>
      <c r="W128" s="113"/>
      <c r="X128" s="113"/>
      <c r="Y128" s="113"/>
      <c r="Z128" s="113"/>
      <c r="AA128" s="113"/>
      <c r="AB128" s="113"/>
      <c r="AC128" s="113"/>
      <c r="AD128" s="113"/>
      <c r="AE128" s="113"/>
    </row>
    <row r="129" spans="1:31" x14ac:dyDescent="0.3">
      <c r="A129" s="113"/>
      <c r="B129" s="113"/>
      <c r="C129" s="113"/>
      <c r="D129" s="113"/>
      <c r="E129" s="113"/>
      <c r="F129" s="113"/>
      <c r="G129" s="113"/>
      <c r="H129" s="114"/>
      <c r="I129" s="113"/>
      <c r="J129" s="113"/>
      <c r="K129" s="114"/>
      <c r="L129" s="113"/>
      <c r="M129" s="113"/>
      <c r="N129" s="113"/>
      <c r="O129" s="113"/>
      <c r="P129" s="113"/>
      <c r="Q129" s="113"/>
      <c r="R129" s="113"/>
      <c r="S129" s="113"/>
      <c r="T129" s="113"/>
      <c r="U129" s="113"/>
      <c r="V129" s="113"/>
      <c r="W129" s="113"/>
      <c r="X129" s="113"/>
      <c r="Y129" s="113"/>
      <c r="Z129" s="113"/>
      <c r="AA129" s="113"/>
      <c r="AB129" s="113"/>
      <c r="AC129" s="113"/>
      <c r="AD129" s="113"/>
      <c r="AE129" s="113"/>
    </row>
    <row r="150" spans="1:3" x14ac:dyDescent="0.3">
      <c r="A150" s="81">
        <f ca="1">SUBTOTAL(3,A2:INDIRECT("a"&amp;A171))</f>
        <v>50</v>
      </c>
      <c r="B150" s="81" t="s">
        <v>1141</v>
      </c>
    </row>
    <row r="151" spans="1:3" x14ac:dyDescent="0.3">
      <c r="A151" s="87" t="s">
        <v>1149</v>
      </c>
      <c r="B151" s="8"/>
      <c r="C151" s="19" t="s">
        <v>1154</v>
      </c>
    </row>
    <row r="152" spans="1:3" ht="18" x14ac:dyDescent="0.35">
      <c r="A152" s="8">
        <f ca="1">COUNTA(A2:INDIRECT("a"&amp;A171))</f>
        <v>50</v>
      </c>
      <c r="B152" s="83" t="s">
        <v>1162</v>
      </c>
      <c r="C152" s="86"/>
    </row>
    <row r="153" spans="1:3" x14ac:dyDescent="0.3">
      <c r="A153" s="8"/>
      <c r="B153" s="84" t="s">
        <v>1146</v>
      </c>
      <c r="C153" s="13">
        <f ca="1">COUNTIFS(W2:INDIRECT("w"&amp;A171),"Red Zone",E2:INDIRECT("E"&amp;A171),"master")</f>
        <v>10</v>
      </c>
    </row>
    <row r="154" spans="1:3" x14ac:dyDescent="0.3">
      <c r="A154" s="8"/>
      <c r="B154" s="84" t="s">
        <v>1142</v>
      </c>
      <c r="C154" s="13">
        <f ca="1">COUNTIFS(W2:INDIRECT("w"&amp;A171),"&lt;&gt;Red Zone",E2:INDIRECT("E"&amp;A171),"master")</f>
        <v>2</v>
      </c>
    </row>
    <row r="155" spans="1:3" x14ac:dyDescent="0.3">
      <c r="A155" s="8"/>
      <c r="B155" s="8" t="s">
        <v>1147</v>
      </c>
      <c r="C155" s="13">
        <f ca="1">COUNTIF(W2:INDIRECT("w"&amp;A171),"Red Zone")</f>
        <v>32</v>
      </c>
    </row>
    <row r="156" spans="1:3" x14ac:dyDescent="0.3">
      <c r="A156" s="8"/>
      <c r="B156" s="8" t="s">
        <v>1143</v>
      </c>
      <c r="C156" s="13">
        <f ca="1">COUNTIF(W2:INDIRECT("w"&amp;A171),"yellow Zone")</f>
        <v>11</v>
      </c>
    </row>
    <row r="157" spans="1:3" x14ac:dyDescent="0.3">
      <c r="A157" s="8"/>
      <c r="B157" s="8" t="s">
        <v>1144</v>
      </c>
      <c r="C157" s="13">
        <f ca="1">COUNTIF(W2:INDIRECT("w"&amp;A171),"green Zone")</f>
        <v>4</v>
      </c>
    </row>
    <row r="158" spans="1:3" ht="18" x14ac:dyDescent="0.35">
      <c r="A158" s="85">
        <f ca="1">COUNTIFS(X2:INDIRECT("x"&amp;A171),"&lt;&gt;---",X2:INDIRECT("x"&amp;A171),"&lt;&gt;")</f>
        <v>12</v>
      </c>
      <c r="B158" s="83" t="s">
        <v>1161</v>
      </c>
      <c r="C158" s="8"/>
    </row>
    <row r="159" spans="1:3" x14ac:dyDescent="0.3">
      <c r="A159" s="8"/>
      <c r="B159" s="84" t="s">
        <v>1146</v>
      </c>
      <c r="C159" s="13">
        <f ca="1">COUNTIFS(E2:INDIRECT("e"&amp;A171),"Master",W2:INDIRECT("w"&amp;A171),"Red Zone",X2:INDIRECT("x"&amp;A171),"&lt;&gt;---")</f>
        <v>3</v>
      </c>
    </row>
    <row r="160" spans="1:3" x14ac:dyDescent="0.3">
      <c r="A160" s="8"/>
      <c r="B160" s="84" t="s">
        <v>1142</v>
      </c>
      <c r="C160" s="13">
        <f ca="1">COUNTIFS(E2:INDIRECT("E"&amp;A171),"Master",W2:INDIRECT("w"&amp;A171),"&lt;&gt;Red Zone",X2:INDIRECT("x"&amp;A171),"&lt;&gt;---")</f>
        <v>0</v>
      </c>
    </row>
    <row r="161" spans="1:3" x14ac:dyDescent="0.3">
      <c r="A161" s="8"/>
      <c r="B161" s="8" t="s">
        <v>1147</v>
      </c>
      <c r="C161" s="13">
        <f ca="1">COUNTIFS(W2:INDIRECT("w"&amp;A171),"Red Zone",X2:INDIRECT("x"&amp;A171),"&lt;&gt;---")</f>
        <v>12</v>
      </c>
    </row>
    <row r="162" spans="1:3" x14ac:dyDescent="0.3">
      <c r="A162" s="8"/>
      <c r="B162" s="24" t="s">
        <v>1148</v>
      </c>
      <c r="C162" s="13">
        <f ca="1">COUNTIFS(W2:INDIRECT("w"&amp;A171),"&lt;&gt;Red Zone",X2:INDIRECT("x"&amp;A171),"&lt;&gt;---")</f>
        <v>97</v>
      </c>
    </row>
    <row r="163" spans="1:3" ht="18" x14ac:dyDescent="0.35">
      <c r="A163" s="85">
        <f ca="1">COUNTIF(X2:INDIRECT("w"&amp;A171),"---")</f>
        <v>38</v>
      </c>
      <c r="B163" s="83" t="s">
        <v>1163</v>
      </c>
      <c r="C163" s="8"/>
    </row>
    <row r="164" spans="1:3" x14ac:dyDescent="0.3">
      <c r="A164" s="8"/>
      <c r="B164" s="84" t="s">
        <v>1146</v>
      </c>
      <c r="C164" s="13">
        <f ca="1">COUNTIFS(E2:INDIRECT("E"&amp;A171),"Master",W2:INDIRECT("w"&amp;A171),"Red Zone",X2:INDIRECT("x"&amp;A171),"---")</f>
        <v>7</v>
      </c>
    </row>
    <row r="165" spans="1:3" x14ac:dyDescent="0.3">
      <c r="A165" s="8"/>
      <c r="B165" s="84" t="s">
        <v>1142</v>
      </c>
      <c r="C165" s="13">
        <f ca="1">COUNTIFS(E2:INDIRECT("E"&amp;A171),"Master",W2:INDIRECT("w"&amp;A171),"&lt;&gt;Red Zone",X2:INDIRECT("x"&amp;A171),"---")</f>
        <v>2</v>
      </c>
    </row>
    <row r="166" spans="1:3" x14ac:dyDescent="0.3">
      <c r="A166" s="8"/>
      <c r="B166" s="8" t="s">
        <v>1147</v>
      </c>
      <c r="C166" s="13">
        <f ca="1">COUNTIFS(W2:INDIRECT("w"&amp;A171),"Red Zone",X2:INDIRECT("x"&amp;A171),"---")</f>
        <v>20</v>
      </c>
    </row>
    <row r="167" spans="1:3" x14ac:dyDescent="0.3">
      <c r="A167" s="8"/>
      <c r="B167" s="24" t="s">
        <v>1148</v>
      </c>
      <c r="C167" s="13">
        <f ca="1">COUNTIFS(W2:INDIRECT("w"&amp;A171),"&lt;&gt;Red Zone",X2:INDIRECT("x"&amp;A171),"---")</f>
        <v>18</v>
      </c>
    </row>
    <row r="168" spans="1:3" x14ac:dyDescent="0.3">
      <c r="A168" s="19" t="s">
        <v>1133</v>
      </c>
    </row>
    <row r="171" spans="1:3" x14ac:dyDescent="0.3">
      <c r="A171" s="81">
        <v>148</v>
      </c>
      <c r="B171" s="81" t="s">
        <v>1201</v>
      </c>
      <c r="C171" s="35"/>
    </row>
    <row r="172" spans="1:3" x14ac:dyDescent="0.3">
      <c r="C172" s="35"/>
    </row>
  </sheetData>
  <autoFilter ref="A1:AE100"/>
  <hyperlinks>
    <hyperlink ref="A168" r:id="rId1"/>
    <hyperlink ref="C151" location="top" display="Top"/>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68"/>
  <sheetViews>
    <sheetView zoomScale="60" zoomScaleNormal="60" workbookViewId="0">
      <pane ySplit="1" topLeftCell="A2" activePane="bottomLeft" state="frozen"/>
      <selection pane="bottomLeft" activeCell="I32" sqref="I32"/>
    </sheetView>
  </sheetViews>
  <sheetFormatPr defaultColWidth="12.21875" defaultRowHeight="14.4" x14ac:dyDescent="0.3"/>
  <cols>
    <col min="1" max="1" width="12" style="32" customWidth="1"/>
    <col min="2" max="2" width="20.33203125" style="32" customWidth="1"/>
    <col min="3" max="3" width="12" style="32" customWidth="1"/>
    <col min="4" max="4" width="6.5546875" style="32" customWidth="1"/>
    <col min="5" max="5" width="9" style="37" customWidth="1"/>
    <col min="6" max="6" width="58.6640625" style="37" bestFit="1" customWidth="1"/>
    <col min="7" max="7" width="9.5546875" style="32" customWidth="1"/>
    <col min="8" max="8" width="11.5546875" style="32" bestFit="1" customWidth="1"/>
    <col min="9" max="9" width="27.88671875" style="32" customWidth="1"/>
    <col min="10" max="10" width="226.44140625" style="32" bestFit="1" customWidth="1"/>
    <col min="11" max="11" width="12.6640625" style="32" bestFit="1" customWidth="1"/>
    <col min="12" max="12" width="21.21875" style="32" bestFit="1" customWidth="1"/>
    <col min="13" max="13" width="38.109375" style="32" bestFit="1" customWidth="1"/>
    <col min="14" max="14" width="67.88671875" style="32" bestFit="1" customWidth="1"/>
    <col min="15" max="15" width="14.77734375" style="32" bestFit="1" customWidth="1"/>
    <col min="16" max="16" width="13.21875" style="32" bestFit="1" customWidth="1"/>
    <col min="17" max="17" width="19.33203125" style="32" bestFit="1" customWidth="1"/>
    <col min="18" max="18" width="14.77734375" style="32" bestFit="1" customWidth="1"/>
    <col min="19" max="19" width="18.77734375" style="32" bestFit="1" customWidth="1"/>
    <col min="20" max="20" width="30.44140625" style="32" bestFit="1" customWidth="1"/>
    <col min="21" max="21" width="18.21875" style="32" bestFit="1" customWidth="1"/>
    <col min="22" max="22" width="24.21875" style="32" bestFit="1" customWidth="1"/>
    <col min="23" max="23" width="19.77734375" style="32" bestFit="1" customWidth="1"/>
    <col min="24" max="24" width="17.33203125" style="32" bestFit="1" customWidth="1"/>
    <col min="25" max="25" width="27.109375" style="32" bestFit="1" customWidth="1"/>
    <col min="26" max="26" width="13.44140625" style="32" bestFit="1" customWidth="1"/>
    <col min="27" max="27" width="26.21875" style="32" bestFit="1" customWidth="1"/>
    <col min="28" max="28" width="17.5546875" style="32" bestFit="1" customWidth="1"/>
    <col min="29" max="29" width="29.21875" style="32" bestFit="1" customWidth="1"/>
    <col min="30" max="30" width="19.21875" style="32" bestFit="1" customWidth="1"/>
    <col min="31" max="31" width="23.44140625" style="32" bestFit="1" customWidth="1"/>
    <col min="32" max="32" width="32.5546875" style="32" bestFit="1" customWidth="1"/>
    <col min="33" max="16384" width="12.21875" style="32"/>
  </cols>
  <sheetData>
    <row r="1" spans="1:34" x14ac:dyDescent="0.3">
      <c r="A1" s="32" t="s">
        <v>217</v>
      </c>
      <c r="B1" s="32" t="s">
        <v>208</v>
      </c>
      <c r="C1" s="32" t="s">
        <v>207</v>
      </c>
      <c r="D1" s="32" t="s">
        <v>194</v>
      </c>
      <c r="E1" s="37" t="s">
        <v>258</v>
      </c>
      <c r="F1" s="37" t="s">
        <v>259</v>
      </c>
      <c r="G1" s="32" t="s">
        <v>173</v>
      </c>
      <c r="H1" s="32" t="s">
        <v>145</v>
      </c>
      <c r="I1" s="32" t="s">
        <v>57</v>
      </c>
      <c r="J1" s="32" t="s">
        <v>58</v>
      </c>
      <c r="K1" s="32" t="s">
        <v>59</v>
      </c>
      <c r="L1" s="32" t="s">
        <v>60</v>
      </c>
      <c r="M1" s="32" t="s">
        <v>61</v>
      </c>
      <c r="N1" s="32" t="s">
        <v>62</v>
      </c>
      <c r="O1" s="32" t="s">
        <v>63</v>
      </c>
      <c r="P1" s="32" t="s">
        <v>64</v>
      </c>
      <c r="Q1" s="32" t="s">
        <v>65</v>
      </c>
      <c r="R1" s="32" t="s">
        <v>66</v>
      </c>
      <c r="S1" s="32" t="s">
        <v>67</v>
      </c>
      <c r="T1" s="32" t="s">
        <v>68</v>
      </c>
      <c r="U1" s="32" t="s">
        <v>69</v>
      </c>
      <c r="V1" s="32" t="s">
        <v>70</v>
      </c>
      <c r="W1" s="32" t="s">
        <v>71</v>
      </c>
      <c r="X1" s="32" t="s">
        <v>72</v>
      </c>
      <c r="Y1" s="32" t="s">
        <v>73</v>
      </c>
      <c r="Z1" s="32" t="s">
        <v>74</v>
      </c>
      <c r="AA1" s="32" t="s">
        <v>75</v>
      </c>
      <c r="AB1" s="32" t="s">
        <v>76</v>
      </c>
      <c r="AC1" s="32" t="s">
        <v>77</v>
      </c>
      <c r="AD1" s="32" t="s">
        <v>78</v>
      </c>
      <c r="AE1" s="32" t="s">
        <v>157</v>
      </c>
    </row>
    <row r="2" spans="1:34" x14ac:dyDescent="0.3">
      <c r="B2" s="32" t="s">
        <v>195</v>
      </c>
      <c r="C2" s="32" t="s">
        <v>195</v>
      </c>
      <c r="D2" s="32" t="s">
        <v>195</v>
      </c>
      <c r="E2" s="37" t="s">
        <v>195</v>
      </c>
      <c r="F2" s="37" t="s">
        <v>265</v>
      </c>
      <c r="G2" s="19" t="str">
        <f t="shared" ref="G2:G42" ca="1" si="0">HYPERLINK(CONCATENATE("https://bugzilla.houston.hp.com:1181/bugzilla/show_bug.cgi?id=",MID(INDIRECT($G$45&amp;ROW()),9,5)),MID(INDIRECT($G$45&amp;ROW()),9,5))</f>
        <v>42454</v>
      </c>
      <c r="H2" s="32">
        <v>60557</v>
      </c>
      <c r="I2" s="32" t="s">
        <v>54</v>
      </c>
      <c r="J2" s="32" t="s">
        <v>88</v>
      </c>
      <c r="K2" s="32" t="s">
        <v>11</v>
      </c>
      <c r="L2" s="32" t="s">
        <v>80</v>
      </c>
      <c r="M2" s="32" t="s">
        <v>81</v>
      </c>
      <c r="N2" s="32" t="s">
        <v>175</v>
      </c>
      <c r="O2" s="33">
        <v>42181.304178240738</v>
      </c>
      <c r="P2" s="32" t="s">
        <v>4</v>
      </c>
      <c r="Q2" s="32" t="s">
        <v>15</v>
      </c>
      <c r="R2" s="33">
        <v>42109.740752314814</v>
      </c>
      <c r="S2" s="32" t="s">
        <v>16</v>
      </c>
      <c r="V2" s="32" t="s">
        <v>17</v>
      </c>
      <c r="W2" s="32" t="s">
        <v>18</v>
      </c>
      <c r="X2" s="32" t="s">
        <v>13</v>
      </c>
      <c r="Y2" s="32" t="s">
        <v>19</v>
      </c>
      <c r="AA2" s="32" t="s">
        <v>9</v>
      </c>
      <c r="AB2" s="32" t="s">
        <v>89</v>
      </c>
      <c r="AC2" s="32" t="s">
        <v>7</v>
      </c>
      <c r="AD2" s="32" t="s">
        <v>82</v>
      </c>
      <c r="AE2" s="32" t="s">
        <v>181</v>
      </c>
      <c r="AF2" s="32" t="s">
        <v>185</v>
      </c>
    </row>
    <row r="3" spans="1:34" x14ac:dyDescent="0.3">
      <c r="A3" s="32" t="s">
        <v>195</v>
      </c>
      <c r="B3" s="32" t="s">
        <v>195</v>
      </c>
      <c r="C3" s="32" t="s">
        <v>195</v>
      </c>
      <c r="D3" s="32" t="s">
        <v>195</v>
      </c>
      <c r="E3" s="37" t="s">
        <v>195</v>
      </c>
      <c r="F3" s="37" t="s">
        <v>269</v>
      </c>
      <c r="G3" s="19" t="str">
        <f t="shared" ca="1" si="0"/>
        <v>57455</v>
      </c>
      <c r="H3" s="32">
        <v>60560</v>
      </c>
      <c r="I3" s="32" t="s">
        <v>32</v>
      </c>
      <c r="J3" s="32" t="s">
        <v>90</v>
      </c>
      <c r="K3" s="32" t="s">
        <v>11</v>
      </c>
      <c r="L3" s="32" t="s">
        <v>80</v>
      </c>
      <c r="M3" s="32" t="s">
        <v>81</v>
      </c>
      <c r="O3" s="33">
        <v>42151.347118055557</v>
      </c>
      <c r="P3" s="32" t="s">
        <v>20</v>
      </c>
      <c r="Q3" s="32" t="s">
        <v>83</v>
      </c>
      <c r="R3" s="33">
        <v>42109.74486111111</v>
      </c>
      <c r="S3" s="32" t="s">
        <v>40</v>
      </c>
      <c r="V3" s="32" t="s">
        <v>17</v>
      </c>
      <c r="W3" s="32" t="s">
        <v>30</v>
      </c>
      <c r="X3" s="32" t="s">
        <v>8</v>
      </c>
      <c r="Y3" s="32" t="s">
        <v>27</v>
      </c>
      <c r="AA3" s="32" t="s">
        <v>9</v>
      </c>
      <c r="AB3" s="32" t="s">
        <v>10</v>
      </c>
      <c r="AC3" s="32" t="s">
        <v>7</v>
      </c>
      <c r="AD3" s="32" t="s">
        <v>82</v>
      </c>
      <c r="AE3" s="32" t="s">
        <v>7</v>
      </c>
      <c r="AF3" s="32" t="s">
        <v>186</v>
      </c>
    </row>
    <row r="4" spans="1:34" x14ac:dyDescent="0.3">
      <c r="A4" s="32" t="s">
        <v>195</v>
      </c>
      <c r="B4" s="32" t="s">
        <v>195</v>
      </c>
      <c r="C4" s="32" t="s">
        <v>195</v>
      </c>
      <c r="D4" s="32" t="s">
        <v>195</v>
      </c>
      <c r="E4" s="37" t="s">
        <v>195</v>
      </c>
      <c r="F4" s="37" t="s">
        <v>271</v>
      </c>
      <c r="G4" s="19" t="str">
        <f t="shared" ca="1" si="0"/>
        <v>59230</v>
      </c>
      <c r="H4" s="32">
        <v>60565</v>
      </c>
      <c r="I4" s="32" t="s">
        <v>33</v>
      </c>
      <c r="J4" s="32" t="s">
        <v>98</v>
      </c>
      <c r="K4" s="32" t="s">
        <v>11</v>
      </c>
      <c r="L4" s="32" t="s">
        <v>80</v>
      </c>
      <c r="M4" s="32" t="s">
        <v>81</v>
      </c>
      <c r="N4" s="32" t="s">
        <v>100</v>
      </c>
      <c r="O4" s="33">
        <v>42166.487743055557</v>
      </c>
      <c r="P4" s="32" t="s">
        <v>20</v>
      </c>
      <c r="Q4" s="32" t="s">
        <v>80</v>
      </c>
      <c r="R4" s="33">
        <v>42109.748171296298</v>
      </c>
      <c r="S4" s="32" t="s">
        <v>5</v>
      </c>
      <c r="V4" s="32" t="s">
        <v>17</v>
      </c>
      <c r="W4" s="32" t="s">
        <v>30</v>
      </c>
      <c r="X4" s="32" t="s">
        <v>13</v>
      </c>
      <c r="Y4" s="32" t="s">
        <v>35</v>
      </c>
      <c r="AA4" s="32" t="s">
        <v>9</v>
      </c>
      <c r="AB4" s="32" t="s">
        <v>10</v>
      </c>
      <c r="AC4" s="32" t="s">
        <v>7</v>
      </c>
      <c r="AD4" s="32" t="s">
        <v>82</v>
      </c>
      <c r="AE4" s="32" t="s">
        <v>7</v>
      </c>
      <c r="AF4" s="32" t="s">
        <v>186</v>
      </c>
    </row>
    <row r="5" spans="1:34" x14ac:dyDescent="0.3">
      <c r="A5" s="32" t="s">
        <v>195</v>
      </c>
      <c r="B5" s="32" t="s">
        <v>195</v>
      </c>
      <c r="C5" s="32" t="s">
        <v>195</v>
      </c>
      <c r="D5" s="32" t="s">
        <v>195</v>
      </c>
      <c r="E5" s="37" t="s">
        <v>195</v>
      </c>
      <c r="F5" s="37" t="s">
        <v>266</v>
      </c>
      <c r="G5" s="19" t="str">
        <f t="shared" ca="1" si="0"/>
        <v>48696</v>
      </c>
      <c r="H5" s="32">
        <v>61076</v>
      </c>
      <c r="I5" s="32" t="s">
        <v>85</v>
      </c>
      <c r="J5" s="32" t="s">
        <v>86</v>
      </c>
      <c r="K5" s="32" t="s">
        <v>2</v>
      </c>
      <c r="L5" s="32" t="s">
        <v>80</v>
      </c>
      <c r="M5" s="32" t="s">
        <v>81</v>
      </c>
      <c r="N5" s="32" t="s">
        <v>87</v>
      </c>
      <c r="O5" s="33">
        <v>42184.039027777777</v>
      </c>
      <c r="P5" s="32" t="s">
        <v>20</v>
      </c>
      <c r="Q5" s="32" t="s">
        <v>3</v>
      </c>
      <c r="R5" s="33">
        <v>42116.453148148146</v>
      </c>
      <c r="S5" s="32" t="s">
        <v>5</v>
      </c>
      <c r="V5" s="32" t="s">
        <v>6</v>
      </c>
      <c r="W5" s="32" t="s">
        <v>7</v>
      </c>
      <c r="X5" s="32" t="s">
        <v>24</v>
      </c>
      <c r="Y5" s="32" t="s">
        <v>31</v>
      </c>
      <c r="AA5" s="32" t="s">
        <v>9</v>
      </c>
      <c r="AB5" s="32" t="s">
        <v>26</v>
      </c>
      <c r="AC5" s="32" t="s">
        <v>7</v>
      </c>
      <c r="AD5" s="32" t="s">
        <v>82</v>
      </c>
      <c r="AE5" s="32" t="s">
        <v>7</v>
      </c>
      <c r="AF5" s="32" t="s">
        <v>193</v>
      </c>
    </row>
    <row r="6" spans="1:34" x14ac:dyDescent="0.3">
      <c r="B6" s="32" t="s">
        <v>195</v>
      </c>
      <c r="C6" s="32" t="s">
        <v>195</v>
      </c>
      <c r="D6" s="32" t="s">
        <v>195</v>
      </c>
      <c r="E6" s="37" t="s">
        <v>195</v>
      </c>
      <c r="F6" s="37" t="s">
        <v>265</v>
      </c>
      <c r="G6" s="19" t="str">
        <f t="shared" ca="1" si="0"/>
        <v>52678</v>
      </c>
      <c r="H6" s="32">
        <v>61077</v>
      </c>
      <c r="I6" s="32" t="s">
        <v>34</v>
      </c>
      <c r="J6" s="32" t="s">
        <v>94</v>
      </c>
      <c r="K6" s="32" t="s">
        <v>2</v>
      </c>
      <c r="L6" s="32" t="s">
        <v>80</v>
      </c>
      <c r="M6" s="32" t="s">
        <v>81</v>
      </c>
      <c r="O6" s="33">
        <v>42179.260347222225</v>
      </c>
      <c r="P6" s="32" t="s">
        <v>20</v>
      </c>
      <c r="Q6" s="32" t="s">
        <v>3</v>
      </c>
      <c r="R6" s="33">
        <v>42116.453344907408</v>
      </c>
      <c r="S6" s="32" t="s">
        <v>5</v>
      </c>
      <c r="V6" s="32" t="s">
        <v>6</v>
      </c>
      <c r="W6" s="32" t="s">
        <v>30</v>
      </c>
      <c r="X6" s="32" t="s">
        <v>24</v>
      </c>
      <c r="Y6" s="32" t="s">
        <v>31</v>
      </c>
      <c r="AA6" s="32" t="s">
        <v>9</v>
      </c>
      <c r="AB6" s="32" t="s">
        <v>10</v>
      </c>
      <c r="AC6" s="32" t="s">
        <v>7</v>
      </c>
      <c r="AD6" s="32" t="s">
        <v>82</v>
      </c>
      <c r="AE6" s="32" t="s">
        <v>7</v>
      </c>
      <c r="AF6" s="32" t="s">
        <v>186</v>
      </c>
    </row>
    <row r="7" spans="1:34" x14ac:dyDescent="0.3">
      <c r="A7" s="32" t="s">
        <v>195</v>
      </c>
      <c r="B7" s="32" t="s">
        <v>195</v>
      </c>
      <c r="C7" s="32" t="s">
        <v>195</v>
      </c>
      <c r="D7" s="32" t="s">
        <v>195</v>
      </c>
      <c r="E7" s="37" t="s">
        <v>195</v>
      </c>
      <c r="F7" s="37" t="s">
        <v>265</v>
      </c>
      <c r="G7" s="19" t="str">
        <f t="shared" ca="1" si="0"/>
        <v>57072</v>
      </c>
      <c r="H7" s="32">
        <v>61079</v>
      </c>
      <c r="I7" s="32" t="s">
        <v>32</v>
      </c>
      <c r="J7" s="32" t="s">
        <v>91</v>
      </c>
      <c r="K7" s="32" t="s">
        <v>2</v>
      </c>
      <c r="L7" s="32" t="s">
        <v>80</v>
      </c>
      <c r="M7" s="32" t="s">
        <v>81</v>
      </c>
      <c r="N7" s="32" t="s">
        <v>92</v>
      </c>
      <c r="O7" s="33">
        <v>42173.359375</v>
      </c>
      <c r="P7" s="32" t="s">
        <v>20</v>
      </c>
      <c r="Q7" s="32" t="s">
        <v>3</v>
      </c>
      <c r="R7" s="33">
        <v>42116.453750000001</v>
      </c>
      <c r="S7" s="32" t="s">
        <v>56</v>
      </c>
      <c r="V7" s="32" t="s">
        <v>6</v>
      </c>
      <c r="W7" s="32" t="s">
        <v>30</v>
      </c>
      <c r="X7" s="32" t="s">
        <v>8</v>
      </c>
      <c r="Y7" s="32" t="s">
        <v>38</v>
      </c>
      <c r="AA7" s="32" t="s">
        <v>9</v>
      </c>
      <c r="AB7" s="32" t="s">
        <v>10</v>
      </c>
      <c r="AC7" s="32" t="s">
        <v>7</v>
      </c>
      <c r="AD7" s="32" t="s">
        <v>82</v>
      </c>
      <c r="AE7" s="32" t="s">
        <v>7</v>
      </c>
      <c r="AF7" s="32" t="s">
        <v>186</v>
      </c>
    </row>
    <row r="8" spans="1:34" x14ac:dyDescent="0.3">
      <c r="B8" s="32" t="s">
        <v>195</v>
      </c>
      <c r="C8" s="32" t="s">
        <v>195</v>
      </c>
      <c r="D8" s="32" t="s">
        <v>195</v>
      </c>
      <c r="E8" s="37" t="s">
        <v>195</v>
      </c>
      <c r="F8" s="37" t="s">
        <v>268</v>
      </c>
      <c r="G8" s="19" t="str">
        <f t="shared" ca="1" si="0"/>
        <v>52552</v>
      </c>
      <c r="H8" s="32">
        <v>61082</v>
      </c>
      <c r="I8" s="32" t="s">
        <v>23</v>
      </c>
      <c r="J8" s="32" t="s">
        <v>93</v>
      </c>
      <c r="K8" s="32" t="s">
        <v>11</v>
      </c>
      <c r="L8" s="32" t="s">
        <v>80</v>
      </c>
      <c r="M8" s="32" t="s">
        <v>81</v>
      </c>
      <c r="N8" s="32" t="s">
        <v>87</v>
      </c>
      <c r="O8" s="33">
        <v>42179.262118055558</v>
      </c>
      <c r="P8" s="32" t="s">
        <v>20</v>
      </c>
      <c r="Q8" s="32" t="s">
        <v>3</v>
      </c>
      <c r="R8" s="33">
        <v>42116.454432870371</v>
      </c>
      <c r="S8" s="32" t="s">
        <v>5</v>
      </c>
      <c r="V8" s="32" t="s">
        <v>17</v>
      </c>
      <c r="W8" s="32" t="s">
        <v>7</v>
      </c>
      <c r="X8" s="32" t="s">
        <v>24</v>
      </c>
      <c r="Y8" s="32" t="s">
        <v>47</v>
      </c>
      <c r="AA8" s="32" t="s">
        <v>9</v>
      </c>
      <c r="AB8" s="32" t="s">
        <v>10</v>
      </c>
      <c r="AC8" s="32" t="s">
        <v>44</v>
      </c>
      <c r="AD8" s="32" t="s">
        <v>82</v>
      </c>
      <c r="AE8" s="32" t="s">
        <v>7</v>
      </c>
      <c r="AF8" s="32" t="s">
        <v>186</v>
      </c>
    </row>
    <row r="9" spans="1:34" x14ac:dyDescent="0.3">
      <c r="B9" s="32" t="s">
        <v>195</v>
      </c>
      <c r="C9" s="32" t="s">
        <v>195</v>
      </c>
      <c r="D9" s="32" t="s">
        <v>195</v>
      </c>
      <c r="E9" s="37" t="s">
        <v>195</v>
      </c>
      <c r="F9" s="37" t="s">
        <v>270</v>
      </c>
      <c r="G9" s="19" t="str">
        <f t="shared" ca="1" si="0"/>
        <v>58079</v>
      </c>
      <c r="H9" s="32">
        <v>61083</v>
      </c>
      <c r="I9" s="32" t="s">
        <v>28</v>
      </c>
      <c r="J9" s="32" t="s">
        <v>97</v>
      </c>
      <c r="K9" s="32" t="s">
        <v>2</v>
      </c>
      <c r="L9" s="32" t="s">
        <v>80</v>
      </c>
      <c r="M9" s="32" t="s">
        <v>81</v>
      </c>
      <c r="N9" s="32" t="s">
        <v>87</v>
      </c>
      <c r="O9" s="33">
        <v>42179.260833333334</v>
      </c>
      <c r="P9" s="32" t="s">
        <v>20</v>
      </c>
      <c r="Q9" s="32" t="s">
        <v>3</v>
      </c>
      <c r="R9" s="33">
        <v>42116.454814814817</v>
      </c>
      <c r="S9" s="32" t="s">
        <v>40</v>
      </c>
      <c r="V9" s="32" t="s">
        <v>6</v>
      </c>
      <c r="W9" s="32" t="s">
        <v>30</v>
      </c>
      <c r="X9" s="32" t="s">
        <v>13</v>
      </c>
      <c r="Y9" s="32" t="s">
        <v>19</v>
      </c>
      <c r="AA9" s="32" t="s">
        <v>9</v>
      </c>
      <c r="AB9" s="32" t="s">
        <v>10</v>
      </c>
      <c r="AC9" s="32" t="s">
        <v>7</v>
      </c>
      <c r="AD9" s="32" t="s">
        <v>82</v>
      </c>
      <c r="AE9" s="32" t="s">
        <v>7</v>
      </c>
      <c r="AF9" s="32" t="s">
        <v>186</v>
      </c>
    </row>
    <row r="10" spans="1:34" x14ac:dyDescent="0.3">
      <c r="A10" s="32" t="s">
        <v>195</v>
      </c>
      <c r="B10" s="32" t="s">
        <v>195</v>
      </c>
      <c r="C10" s="32" t="s">
        <v>195</v>
      </c>
      <c r="D10" s="32" t="s">
        <v>195</v>
      </c>
      <c r="E10" s="37" t="s">
        <v>195</v>
      </c>
      <c r="F10" s="37" t="s">
        <v>267</v>
      </c>
      <c r="G10" s="19" t="str">
        <f t="shared" ca="1" si="0"/>
        <v>50470</v>
      </c>
      <c r="H10" s="32">
        <v>61246</v>
      </c>
      <c r="I10" s="32" t="s">
        <v>42</v>
      </c>
      <c r="J10" s="32" t="s">
        <v>95</v>
      </c>
      <c r="K10" s="32" t="s">
        <v>2</v>
      </c>
      <c r="L10" s="32" t="s">
        <v>80</v>
      </c>
      <c r="M10" s="32" t="s">
        <v>81</v>
      </c>
      <c r="O10" s="33">
        <v>42156.614560185182</v>
      </c>
      <c r="P10" s="32" t="s">
        <v>20</v>
      </c>
      <c r="Q10" s="32" t="s">
        <v>3</v>
      </c>
      <c r="R10" s="33">
        <v>42118.339432870373</v>
      </c>
      <c r="S10" s="32" t="s">
        <v>5</v>
      </c>
      <c r="V10" s="32" t="s">
        <v>6</v>
      </c>
      <c r="W10" s="32" t="s">
        <v>30</v>
      </c>
      <c r="X10" s="32" t="s">
        <v>13</v>
      </c>
      <c r="Y10" s="32" t="s">
        <v>19</v>
      </c>
      <c r="AA10" s="32" t="s">
        <v>9</v>
      </c>
      <c r="AB10" s="32" t="s">
        <v>26</v>
      </c>
      <c r="AC10" s="32" t="s">
        <v>7</v>
      </c>
      <c r="AD10" s="32" t="s">
        <v>82</v>
      </c>
      <c r="AE10" s="32" t="s">
        <v>7</v>
      </c>
      <c r="AF10" s="32" t="s">
        <v>186</v>
      </c>
    </row>
    <row r="11" spans="1:34" x14ac:dyDescent="0.3">
      <c r="B11" s="32" t="s">
        <v>195</v>
      </c>
      <c r="C11" s="32" t="s">
        <v>195</v>
      </c>
      <c r="D11" s="32" t="s">
        <v>195</v>
      </c>
      <c r="E11" s="37" t="s">
        <v>239</v>
      </c>
      <c r="G11" s="19" t="str">
        <f t="shared" ca="1" si="0"/>
        <v>51093</v>
      </c>
      <c r="H11" s="32">
        <v>61250</v>
      </c>
      <c r="I11" s="32" t="s">
        <v>39</v>
      </c>
      <c r="J11" s="32" t="s">
        <v>311</v>
      </c>
      <c r="K11" s="32" t="s">
        <v>11</v>
      </c>
      <c r="L11" s="32" t="s">
        <v>80</v>
      </c>
      <c r="M11" s="32" t="s">
        <v>81</v>
      </c>
      <c r="O11" s="33">
        <v>42240.724606481483</v>
      </c>
      <c r="P11" s="32" t="s">
        <v>159</v>
      </c>
      <c r="Q11" s="32" t="s">
        <v>3</v>
      </c>
      <c r="R11" s="33">
        <v>42118.340543981481</v>
      </c>
      <c r="S11" s="32" t="s">
        <v>22</v>
      </c>
      <c r="V11" s="32" t="s">
        <v>17</v>
      </c>
      <c r="W11" s="32" t="s">
        <v>30</v>
      </c>
      <c r="X11" s="32" t="s">
        <v>13</v>
      </c>
      <c r="Y11" s="32" t="s">
        <v>19</v>
      </c>
      <c r="AA11" s="32" t="s">
        <v>9</v>
      </c>
      <c r="AB11" s="32" t="s">
        <v>26</v>
      </c>
      <c r="AC11" s="32" t="s">
        <v>7</v>
      </c>
      <c r="AD11" s="32" t="s">
        <v>82</v>
      </c>
      <c r="AE11" s="32" t="s">
        <v>7</v>
      </c>
      <c r="AF11" s="32" t="s">
        <v>186</v>
      </c>
      <c r="AG11" s="32" t="s">
        <v>7</v>
      </c>
      <c r="AH11" s="32" t="s">
        <v>7</v>
      </c>
    </row>
    <row r="12" spans="1:34" x14ac:dyDescent="0.3">
      <c r="A12" s="32" t="s">
        <v>195</v>
      </c>
      <c r="B12" s="32" t="s">
        <v>195</v>
      </c>
      <c r="C12" s="32" t="s">
        <v>195</v>
      </c>
      <c r="D12" s="32" t="s">
        <v>195</v>
      </c>
      <c r="E12" s="37" t="s">
        <v>195</v>
      </c>
      <c r="F12" s="37" t="s">
        <v>272</v>
      </c>
      <c r="G12" s="19" t="str">
        <f t="shared" ca="1" si="0"/>
        <v>61897</v>
      </c>
      <c r="H12" s="32">
        <v>61913</v>
      </c>
      <c r="I12" s="32" t="s">
        <v>32</v>
      </c>
      <c r="J12" s="32" t="s">
        <v>162</v>
      </c>
      <c r="K12" s="32" t="s">
        <v>2</v>
      </c>
      <c r="L12" s="32" t="s">
        <v>80</v>
      </c>
      <c r="M12" s="32" t="s">
        <v>81</v>
      </c>
      <c r="O12" s="33">
        <v>42158.335717592592</v>
      </c>
      <c r="P12" s="32" t="s">
        <v>159</v>
      </c>
      <c r="Q12" s="32" t="s">
        <v>3</v>
      </c>
      <c r="R12" s="33">
        <v>42130.516365740739</v>
      </c>
      <c r="S12" s="32" t="s">
        <v>40</v>
      </c>
      <c r="V12" s="32" t="s">
        <v>6</v>
      </c>
      <c r="W12" s="32" t="s">
        <v>30</v>
      </c>
      <c r="X12" s="32" t="s">
        <v>8</v>
      </c>
      <c r="Y12" s="32" t="s">
        <v>27</v>
      </c>
      <c r="AA12" s="32" t="s">
        <v>9</v>
      </c>
      <c r="AB12" s="32" t="s">
        <v>10</v>
      </c>
      <c r="AC12" s="32" t="s">
        <v>44</v>
      </c>
      <c r="AD12" s="32" t="s">
        <v>82</v>
      </c>
      <c r="AE12" s="32" t="s">
        <v>7</v>
      </c>
      <c r="AF12" s="32" t="s">
        <v>186</v>
      </c>
    </row>
    <row r="13" spans="1:34" x14ac:dyDescent="0.3">
      <c r="A13" s="32" t="s">
        <v>195</v>
      </c>
      <c r="B13" s="32" t="s">
        <v>195</v>
      </c>
      <c r="C13" s="32" t="s">
        <v>195</v>
      </c>
      <c r="D13" s="32" t="s">
        <v>195</v>
      </c>
      <c r="F13" s="37" t="s">
        <v>289</v>
      </c>
      <c r="G13" s="19" t="str">
        <f t="shared" ca="1" si="0"/>
        <v>61184</v>
      </c>
      <c r="H13" s="32">
        <v>62224</v>
      </c>
      <c r="I13" s="32" t="s">
        <v>21</v>
      </c>
      <c r="J13" s="32" t="s">
        <v>172</v>
      </c>
      <c r="K13" s="32" t="s">
        <v>2</v>
      </c>
      <c r="L13" s="32" t="s">
        <v>80</v>
      </c>
      <c r="M13" s="32" t="s">
        <v>99</v>
      </c>
      <c r="N13" s="32" t="s">
        <v>101</v>
      </c>
      <c r="O13" s="33">
        <v>42173.361284722225</v>
      </c>
      <c r="P13" s="32" t="s">
        <v>4</v>
      </c>
      <c r="Q13" s="32" t="s">
        <v>80</v>
      </c>
      <c r="R13" s="33">
        <v>42136.329282407409</v>
      </c>
      <c r="S13" s="32" t="s">
        <v>22</v>
      </c>
      <c r="V13" s="32" t="s">
        <v>6</v>
      </c>
      <c r="W13" s="32" t="s">
        <v>30</v>
      </c>
      <c r="X13" s="32" t="s">
        <v>8</v>
      </c>
      <c r="Y13" s="32" t="s">
        <v>153</v>
      </c>
      <c r="AA13" s="32" t="s">
        <v>9</v>
      </c>
      <c r="AB13" s="32" t="s">
        <v>10</v>
      </c>
      <c r="AC13" s="32" t="s">
        <v>176</v>
      </c>
      <c r="AD13" s="32" t="s">
        <v>82</v>
      </c>
      <c r="AE13" s="32" t="s">
        <v>7</v>
      </c>
      <c r="AF13" s="32" t="s">
        <v>186</v>
      </c>
    </row>
    <row r="14" spans="1:34" x14ac:dyDescent="0.3">
      <c r="B14" s="32" t="s">
        <v>195</v>
      </c>
      <c r="C14" s="32" t="s">
        <v>195</v>
      </c>
      <c r="D14" s="32" t="s">
        <v>195</v>
      </c>
      <c r="F14" s="37" t="s">
        <v>274</v>
      </c>
      <c r="G14" s="19" t="str">
        <f t="shared" ca="1" si="0"/>
        <v>62843</v>
      </c>
      <c r="H14" s="32">
        <v>62848</v>
      </c>
      <c r="I14" s="32" t="s">
        <v>25</v>
      </c>
      <c r="J14" s="32" t="s">
        <v>214</v>
      </c>
      <c r="K14" s="32" t="s">
        <v>11</v>
      </c>
      <c r="L14" s="32" t="s">
        <v>80</v>
      </c>
      <c r="M14" s="32" t="s">
        <v>81</v>
      </c>
      <c r="O14" s="33">
        <v>42195.337812500002</v>
      </c>
      <c r="P14" s="32" t="s">
        <v>159</v>
      </c>
      <c r="Q14" s="32" t="s">
        <v>80</v>
      </c>
      <c r="R14" s="33">
        <v>42146.516724537039</v>
      </c>
      <c r="S14" s="32" t="s">
        <v>215</v>
      </c>
      <c r="V14" s="32" t="s">
        <v>12</v>
      </c>
      <c r="W14" s="32" t="s">
        <v>30</v>
      </c>
      <c r="X14" s="32" t="s">
        <v>8</v>
      </c>
      <c r="Y14" s="32" t="s">
        <v>216</v>
      </c>
      <c r="AA14" s="32" t="s">
        <v>49</v>
      </c>
      <c r="AB14" s="32" t="s">
        <v>10</v>
      </c>
      <c r="AC14" s="32" t="s">
        <v>7</v>
      </c>
      <c r="AD14" s="32" t="s">
        <v>82</v>
      </c>
      <c r="AE14" s="32" t="s">
        <v>7</v>
      </c>
      <c r="AF14" s="32" t="s">
        <v>192</v>
      </c>
    </row>
    <row r="15" spans="1:34" x14ac:dyDescent="0.3">
      <c r="B15" s="32" t="s">
        <v>195</v>
      </c>
      <c r="C15" s="32" t="s">
        <v>195</v>
      </c>
      <c r="D15" s="32" t="s">
        <v>195</v>
      </c>
      <c r="F15" s="37" t="s">
        <v>275</v>
      </c>
      <c r="G15" s="19" t="str">
        <f t="shared" ca="1" si="0"/>
        <v>63194</v>
      </c>
      <c r="H15" s="32">
        <v>63195</v>
      </c>
      <c r="I15" s="32" t="s">
        <v>42</v>
      </c>
      <c r="J15" s="32" t="s">
        <v>139</v>
      </c>
      <c r="K15" s="32" t="s">
        <v>2</v>
      </c>
      <c r="L15" s="32" t="s">
        <v>80</v>
      </c>
      <c r="M15" s="32" t="s">
        <v>81</v>
      </c>
      <c r="N15" s="32" t="s">
        <v>163</v>
      </c>
      <c r="O15" s="33">
        <v>42181.303368055553</v>
      </c>
      <c r="P15" s="32" t="s">
        <v>20</v>
      </c>
      <c r="Q15" s="32" t="s">
        <v>80</v>
      </c>
      <c r="R15" s="33">
        <v>42153.756840277776</v>
      </c>
      <c r="S15" s="32" t="s">
        <v>22</v>
      </c>
      <c r="V15" s="32" t="s">
        <v>6</v>
      </c>
      <c r="W15" s="32" t="s">
        <v>30</v>
      </c>
      <c r="X15" s="32" t="s">
        <v>13</v>
      </c>
      <c r="Y15" s="32" t="s">
        <v>19</v>
      </c>
      <c r="AA15" s="32" t="s">
        <v>9</v>
      </c>
      <c r="AB15" s="32" t="s">
        <v>10</v>
      </c>
      <c r="AC15" s="32" t="s">
        <v>7</v>
      </c>
      <c r="AD15" s="32" t="s">
        <v>82</v>
      </c>
      <c r="AE15" s="32" t="s">
        <v>7</v>
      </c>
      <c r="AF15" s="32" t="s">
        <v>192</v>
      </c>
    </row>
    <row r="16" spans="1:34" x14ac:dyDescent="0.3">
      <c r="A16" s="32" t="s">
        <v>195</v>
      </c>
      <c r="B16" s="32" t="s">
        <v>195</v>
      </c>
      <c r="C16" s="32" t="s">
        <v>195</v>
      </c>
      <c r="D16" s="32" t="s">
        <v>195</v>
      </c>
      <c r="F16" s="37" t="s">
        <v>276</v>
      </c>
      <c r="G16" s="19" t="str">
        <f t="shared" ca="1" si="0"/>
        <v>63227</v>
      </c>
      <c r="H16" s="32">
        <v>63248</v>
      </c>
      <c r="I16" s="32" t="s">
        <v>28</v>
      </c>
      <c r="J16" s="32" t="s">
        <v>165</v>
      </c>
      <c r="K16" s="32" t="s">
        <v>11</v>
      </c>
      <c r="L16" s="32" t="s">
        <v>80</v>
      </c>
      <c r="M16" s="32" t="s">
        <v>81</v>
      </c>
      <c r="O16" s="33">
        <v>42172.641585648147</v>
      </c>
      <c r="P16" s="32" t="s">
        <v>20</v>
      </c>
      <c r="Q16" s="32" t="s">
        <v>80</v>
      </c>
      <c r="R16" s="33">
        <v>42156.306250000001</v>
      </c>
      <c r="S16" s="32" t="s">
        <v>5</v>
      </c>
      <c r="V16" s="32" t="s">
        <v>12</v>
      </c>
      <c r="W16" s="32" t="s">
        <v>30</v>
      </c>
      <c r="X16" s="32" t="s">
        <v>13</v>
      </c>
      <c r="Y16" s="32" t="s">
        <v>19</v>
      </c>
      <c r="AA16" s="32" t="s">
        <v>9</v>
      </c>
      <c r="AB16" s="32" t="s">
        <v>10</v>
      </c>
      <c r="AC16" s="32" t="s">
        <v>7</v>
      </c>
      <c r="AD16" s="32" t="s">
        <v>82</v>
      </c>
      <c r="AE16" s="32" t="s">
        <v>7</v>
      </c>
      <c r="AF16" s="32" t="s">
        <v>186</v>
      </c>
    </row>
    <row r="17" spans="2:34" x14ac:dyDescent="0.3">
      <c r="B17" s="32" t="s">
        <v>195</v>
      </c>
      <c r="C17" s="32" t="s">
        <v>195</v>
      </c>
      <c r="D17" s="32" t="s">
        <v>195</v>
      </c>
      <c r="F17" s="37" t="s">
        <v>272</v>
      </c>
      <c r="G17" s="19" t="str">
        <f t="shared" ca="1" si="0"/>
        <v>63278</v>
      </c>
      <c r="H17" s="32">
        <v>63280</v>
      </c>
      <c r="I17" s="32" t="s">
        <v>28</v>
      </c>
      <c r="J17" s="32" t="s">
        <v>160</v>
      </c>
      <c r="K17" s="32" t="s">
        <v>2</v>
      </c>
      <c r="L17" s="32" t="s">
        <v>80</v>
      </c>
      <c r="M17" s="32" t="s">
        <v>81</v>
      </c>
      <c r="O17" s="33">
        <v>42172.635000000002</v>
      </c>
      <c r="P17" s="32" t="s">
        <v>20</v>
      </c>
      <c r="Q17" s="32" t="s">
        <v>3</v>
      </c>
      <c r="R17" s="33">
        <v>42156.537164351852</v>
      </c>
      <c r="S17" s="32" t="s">
        <v>16</v>
      </c>
      <c r="V17" s="32" t="s">
        <v>17</v>
      </c>
      <c r="W17" s="32" t="s">
        <v>30</v>
      </c>
      <c r="X17" s="32" t="s">
        <v>13</v>
      </c>
      <c r="Y17" s="32" t="s">
        <v>19</v>
      </c>
      <c r="AA17" s="32" t="s">
        <v>9</v>
      </c>
      <c r="AB17" s="32" t="s">
        <v>10</v>
      </c>
      <c r="AC17" s="32" t="s">
        <v>7</v>
      </c>
      <c r="AD17" s="32" t="s">
        <v>82</v>
      </c>
      <c r="AE17" s="32" t="s">
        <v>7</v>
      </c>
      <c r="AF17" s="32" t="s">
        <v>186</v>
      </c>
    </row>
    <row r="18" spans="2:34" x14ac:dyDescent="0.3">
      <c r="B18" s="32" t="s">
        <v>195</v>
      </c>
      <c r="C18" s="32" t="s">
        <v>195</v>
      </c>
      <c r="D18" s="32" t="s">
        <v>195</v>
      </c>
      <c r="F18" s="37" t="s">
        <v>277</v>
      </c>
      <c r="G18" s="19" t="str">
        <f t="shared" ca="1" si="0"/>
        <v>63347</v>
      </c>
      <c r="H18" s="32">
        <v>63360</v>
      </c>
      <c r="I18" s="32" t="s">
        <v>42</v>
      </c>
      <c r="J18" s="32" t="s">
        <v>166</v>
      </c>
      <c r="K18" s="32" t="s">
        <v>2</v>
      </c>
      <c r="L18" s="32" t="s">
        <v>80</v>
      </c>
      <c r="M18" s="32" t="s">
        <v>81</v>
      </c>
      <c r="O18" s="33">
        <v>42172.628981481481</v>
      </c>
      <c r="P18" s="32" t="s">
        <v>20</v>
      </c>
      <c r="Q18" s="32" t="s">
        <v>167</v>
      </c>
      <c r="R18" s="33">
        <v>42158.017060185186</v>
      </c>
      <c r="S18" s="32" t="s">
        <v>102</v>
      </c>
      <c r="V18" s="32" t="s">
        <v>6</v>
      </c>
      <c r="W18" s="32" t="s">
        <v>30</v>
      </c>
      <c r="X18" s="32" t="s">
        <v>13</v>
      </c>
      <c r="Y18" s="32" t="s">
        <v>19</v>
      </c>
      <c r="AA18" s="32" t="s">
        <v>9</v>
      </c>
      <c r="AB18" s="32" t="s">
        <v>10</v>
      </c>
      <c r="AC18" s="32" t="s">
        <v>7</v>
      </c>
      <c r="AD18" s="32" t="s">
        <v>82</v>
      </c>
      <c r="AE18" s="32" t="s">
        <v>7</v>
      </c>
      <c r="AF18" s="32" t="s">
        <v>186</v>
      </c>
    </row>
    <row r="19" spans="2:34" s="37" customFormat="1" x14ac:dyDescent="0.3">
      <c r="B19" s="37" t="s">
        <v>195</v>
      </c>
      <c r="C19" s="37" t="s">
        <v>195</v>
      </c>
      <c r="D19" s="37" t="s">
        <v>195</v>
      </c>
      <c r="F19" s="37" t="s">
        <v>278</v>
      </c>
      <c r="G19" s="19" t="str">
        <f t="shared" ca="1" si="0"/>
        <v>63480</v>
      </c>
      <c r="H19" s="37">
        <v>63528</v>
      </c>
      <c r="I19" s="37" t="s">
        <v>54</v>
      </c>
      <c r="J19" s="37" t="s">
        <v>169</v>
      </c>
      <c r="K19" s="37" t="s">
        <v>11</v>
      </c>
      <c r="L19" s="37" t="s">
        <v>80</v>
      </c>
      <c r="M19" s="37" t="s">
        <v>81</v>
      </c>
      <c r="O19" s="38">
        <v>42178.225648148145</v>
      </c>
      <c r="P19" s="37" t="s">
        <v>20</v>
      </c>
      <c r="Q19" s="37" t="s">
        <v>3</v>
      </c>
      <c r="R19" s="38">
        <v>42160.408842592595</v>
      </c>
      <c r="S19" s="37" t="s">
        <v>16</v>
      </c>
      <c r="V19" s="37" t="s">
        <v>17</v>
      </c>
      <c r="W19" s="37" t="s">
        <v>30</v>
      </c>
      <c r="X19" s="37" t="s">
        <v>13</v>
      </c>
      <c r="Y19" s="37" t="s">
        <v>19</v>
      </c>
      <c r="AA19" s="37" t="s">
        <v>55</v>
      </c>
      <c r="AB19" s="37" t="s">
        <v>10</v>
      </c>
      <c r="AC19" s="37" t="s">
        <v>7</v>
      </c>
      <c r="AD19" s="37" t="s">
        <v>82</v>
      </c>
      <c r="AE19" s="37" t="s">
        <v>7</v>
      </c>
      <c r="AF19" s="37" t="s">
        <v>186</v>
      </c>
    </row>
    <row r="20" spans="2:34" s="37" customFormat="1" x14ac:dyDescent="0.3">
      <c r="B20" s="37" t="s">
        <v>195</v>
      </c>
      <c r="C20" s="37" t="s">
        <v>195</v>
      </c>
      <c r="D20" s="37" t="s">
        <v>195</v>
      </c>
      <c r="F20" s="37" t="s">
        <v>303</v>
      </c>
      <c r="G20" s="19" t="str">
        <f t="shared" ca="1" si="0"/>
        <v>64077</v>
      </c>
      <c r="H20" s="37">
        <v>64079</v>
      </c>
      <c r="I20" s="37" t="s">
        <v>85</v>
      </c>
      <c r="J20" s="37" t="s">
        <v>286</v>
      </c>
      <c r="K20" s="37" t="s">
        <v>2</v>
      </c>
      <c r="L20" s="37" t="s">
        <v>80</v>
      </c>
      <c r="M20" s="37" t="s">
        <v>81</v>
      </c>
      <c r="O20" s="38">
        <v>42223.414641203701</v>
      </c>
      <c r="P20" s="37" t="s">
        <v>159</v>
      </c>
      <c r="Q20" s="37" t="s">
        <v>80</v>
      </c>
      <c r="R20" s="38">
        <v>42170.586701388886</v>
      </c>
      <c r="S20" s="37" t="s">
        <v>22</v>
      </c>
      <c r="V20" s="37" t="s">
        <v>12</v>
      </c>
      <c r="W20" s="37" t="s">
        <v>30</v>
      </c>
      <c r="X20" s="37" t="s">
        <v>8</v>
      </c>
      <c r="Y20" s="37" t="s">
        <v>122</v>
      </c>
      <c r="AA20" s="37" t="s">
        <v>9</v>
      </c>
      <c r="AB20" s="37" t="s">
        <v>10</v>
      </c>
      <c r="AC20" s="37" t="s">
        <v>7</v>
      </c>
      <c r="AD20" s="37" t="s">
        <v>82</v>
      </c>
      <c r="AE20" s="37" t="s">
        <v>7</v>
      </c>
      <c r="AF20" s="37" t="s">
        <v>186</v>
      </c>
    </row>
    <row r="21" spans="2:34" x14ac:dyDescent="0.3">
      <c r="B21" s="32" t="s">
        <v>195</v>
      </c>
      <c r="C21" s="32" t="s">
        <v>195</v>
      </c>
      <c r="D21" s="32" t="s">
        <v>195</v>
      </c>
      <c r="F21" s="37" t="s">
        <v>285</v>
      </c>
      <c r="G21" s="19" t="str">
        <f t="shared" ca="1" si="0"/>
        <v>64221</v>
      </c>
      <c r="H21" s="32">
        <v>64223</v>
      </c>
      <c r="I21" s="32" t="s">
        <v>41</v>
      </c>
      <c r="J21" s="32" t="s">
        <v>179</v>
      </c>
      <c r="K21" s="32" t="s">
        <v>2</v>
      </c>
      <c r="L21" s="32" t="s">
        <v>80</v>
      </c>
      <c r="M21" s="32" t="s">
        <v>81</v>
      </c>
      <c r="O21" s="33">
        <v>42193.321342592593</v>
      </c>
      <c r="P21" s="32" t="s">
        <v>20</v>
      </c>
      <c r="Q21" s="32" t="s">
        <v>80</v>
      </c>
      <c r="R21" s="33">
        <v>42172.453125</v>
      </c>
      <c r="S21" s="32" t="s">
        <v>22</v>
      </c>
      <c r="V21" s="32" t="s">
        <v>6</v>
      </c>
      <c r="W21" s="32" t="s">
        <v>30</v>
      </c>
      <c r="X21" s="32" t="s">
        <v>13</v>
      </c>
      <c r="Y21" s="32" t="s">
        <v>19</v>
      </c>
      <c r="AA21" s="32" t="s">
        <v>49</v>
      </c>
      <c r="AB21" s="32" t="s">
        <v>10</v>
      </c>
      <c r="AC21" s="32" t="s">
        <v>7</v>
      </c>
      <c r="AD21" s="32" t="s">
        <v>82</v>
      </c>
      <c r="AE21" s="32" t="s">
        <v>7</v>
      </c>
      <c r="AF21" s="32" t="s">
        <v>186</v>
      </c>
    </row>
    <row r="22" spans="2:34" x14ac:dyDescent="0.3">
      <c r="B22" s="32" t="s">
        <v>195</v>
      </c>
      <c r="C22" s="32" t="s">
        <v>195</v>
      </c>
      <c r="D22" s="32" t="s">
        <v>195</v>
      </c>
      <c r="F22" s="37" t="s">
        <v>281</v>
      </c>
      <c r="G22" s="19" t="str">
        <f t="shared" ca="1" si="0"/>
        <v>64245</v>
      </c>
      <c r="H22" s="32">
        <v>64247</v>
      </c>
      <c r="I22" s="32" t="s">
        <v>33</v>
      </c>
      <c r="J22" s="32" t="s">
        <v>180</v>
      </c>
      <c r="K22" s="32" t="s">
        <v>11</v>
      </c>
      <c r="L22" s="32" t="s">
        <v>80</v>
      </c>
      <c r="M22" s="32" t="s">
        <v>81</v>
      </c>
      <c r="O22" s="33">
        <v>42192.540023148147</v>
      </c>
      <c r="P22" s="32" t="s">
        <v>20</v>
      </c>
      <c r="Q22" s="32" t="s">
        <v>80</v>
      </c>
      <c r="R22" s="33">
        <v>42172.671284722222</v>
      </c>
      <c r="S22" s="32" t="s">
        <v>168</v>
      </c>
      <c r="V22" s="32" t="s">
        <v>12</v>
      </c>
      <c r="W22" s="32" t="s">
        <v>30</v>
      </c>
      <c r="X22" s="32" t="s">
        <v>8</v>
      </c>
      <c r="Y22" s="32" t="s">
        <v>122</v>
      </c>
      <c r="AA22" s="32" t="s">
        <v>9</v>
      </c>
      <c r="AB22" s="32" t="s">
        <v>10</v>
      </c>
      <c r="AC22" s="32" t="s">
        <v>7</v>
      </c>
      <c r="AD22" s="32" t="s">
        <v>82</v>
      </c>
      <c r="AE22" s="32" t="s">
        <v>7</v>
      </c>
      <c r="AF22" s="32" t="s">
        <v>192</v>
      </c>
    </row>
    <row r="23" spans="2:34" x14ac:dyDescent="0.3">
      <c r="B23" s="32" t="s">
        <v>195</v>
      </c>
      <c r="C23" s="32" t="s">
        <v>195</v>
      </c>
      <c r="D23" s="32" t="s">
        <v>195</v>
      </c>
      <c r="F23" s="37" t="s">
        <v>273</v>
      </c>
      <c r="G23" s="19" t="str">
        <f t="shared" ca="1" si="0"/>
        <v>57761</v>
      </c>
      <c r="H23" s="32">
        <v>64333</v>
      </c>
      <c r="I23" s="32" t="s">
        <v>28</v>
      </c>
      <c r="J23" s="32" t="s">
        <v>182</v>
      </c>
      <c r="K23" s="32" t="s">
        <v>2</v>
      </c>
      <c r="L23" s="32" t="s">
        <v>80</v>
      </c>
      <c r="M23" s="32" t="s">
        <v>81</v>
      </c>
      <c r="O23" s="33">
        <v>42184.309374999997</v>
      </c>
      <c r="P23" s="32" t="s">
        <v>20</v>
      </c>
      <c r="Q23" s="32" t="s">
        <v>3</v>
      </c>
      <c r="R23" s="33">
        <v>42174.400312500002</v>
      </c>
      <c r="S23" s="32" t="s">
        <v>56</v>
      </c>
      <c r="T23" s="32" t="s">
        <v>16</v>
      </c>
      <c r="V23" s="32" t="s">
        <v>6</v>
      </c>
      <c r="W23" s="32" t="s">
        <v>30</v>
      </c>
      <c r="X23" s="32" t="s">
        <v>13</v>
      </c>
      <c r="Y23" s="32" t="s">
        <v>103</v>
      </c>
      <c r="AA23" s="32" t="s">
        <v>49</v>
      </c>
      <c r="AB23" s="32" t="s">
        <v>10</v>
      </c>
      <c r="AC23" s="32" t="s">
        <v>7</v>
      </c>
      <c r="AD23" s="32" t="s">
        <v>82</v>
      </c>
      <c r="AE23" s="32" t="s">
        <v>7</v>
      </c>
      <c r="AF23" s="32" t="s">
        <v>192</v>
      </c>
    </row>
    <row r="24" spans="2:34" x14ac:dyDescent="0.3">
      <c r="B24" s="32" t="s">
        <v>195</v>
      </c>
      <c r="C24" s="32" t="s">
        <v>195</v>
      </c>
      <c r="D24" s="32" t="s">
        <v>195</v>
      </c>
      <c r="F24" s="37" t="s">
        <v>283</v>
      </c>
      <c r="G24" s="19" t="str">
        <f t="shared" ca="1" si="0"/>
        <v>65346</v>
      </c>
      <c r="H24" s="32">
        <v>65354</v>
      </c>
      <c r="I24" s="32" t="s">
        <v>164</v>
      </c>
      <c r="J24" s="32" t="s">
        <v>218</v>
      </c>
      <c r="K24" s="32" t="s">
        <v>11</v>
      </c>
      <c r="L24" s="32" t="s">
        <v>80</v>
      </c>
      <c r="M24" s="32" t="s">
        <v>81</v>
      </c>
      <c r="O24" s="33">
        <v>42208.87636574074</v>
      </c>
      <c r="P24" s="32" t="s">
        <v>4</v>
      </c>
      <c r="Q24" s="32" t="s">
        <v>83</v>
      </c>
      <c r="R24" s="33">
        <v>42195.547500000001</v>
      </c>
      <c r="S24" s="32" t="s">
        <v>16</v>
      </c>
      <c r="V24" s="32" t="s">
        <v>17</v>
      </c>
      <c r="W24" s="32" t="s">
        <v>30</v>
      </c>
      <c r="X24" s="32" t="s">
        <v>13</v>
      </c>
      <c r="Y24" s="32" t="s">
        <v>19</v>
      </c>
      <c r="AA24" s="32" t="s">
        <v>49</v>
      </c>
      <c r="AB24" s="32" t="s">
        <v>10</v>
      </c>
      <c r="AC24" s="32" t="s">
        <v>7</v>
      </c>
      <c r="AD24" s="32" t="s">
        <v>82</v>
      </c>
      <c r="AE24" s="32" t="s">
        <v>7</v>
      </c>
      <c r="AF24" s="32" t="s">
        <v>192</v>
      </c>
    </row>
    <row r="25" spans="2:34" x14ac:dyDescent="0.3">
      <c r="B25" s="32" t="s">
        <v>195</v>
      </c>
      <c r="C25" s="32" t="s">
        <v>195</v>
      </c>
      <c r="D25" s="32" t="s">
        <v>195</v>
      </c>
      <c r="F25" s="37" t="s">
        <v>282</v>
      </c>
      <c r="G25" s="19" t="str">
        <f t="shared" ca="1" si="0"/>
        <v>65204</v>
      </c>
      <c r="H25" s="37">
        <v>65441</v>
      </c>
      <c r="I25" s="37" t="s">
        <v>21</v>
      </c>
      <c r="J25" s="37" t="s">
        <v>220</v>
      </c>
      <c r="K25" s="37" t="s">
        <v>11</v>
      </c>
      <c r="L25" s="37" t="s">
        <v>80</v>
      </c>
      <c r="M25" s="37" t="s">
        <v>81</v>
      </c>
      <c r="N25" s="37"/>
      <c r="O25" s="38">
        <v>42199.325162037036</v>
      </c>
      <c r="P25" s="37" t="s">
        <v>20</v>
      </c>
      <c r="Q25" s="37" t="s">
        <v>80</v>
      </c>
      <c r="R25" s="38">
        <v>42198.492395833331</v>
      </c>
      <c r="S25" s="37" t="s">
        <v>29</v>
      </c>
      <c r="T25" s="37"/>
      <c r="U25" s="37"/>
      <c r="V25" s="37" t="s">
        <v>17</v>
      </c>
      <c r="W25" s="37" t="s">
        <v>30</v>
      </c>
      <c r="X25" s="37" t="s">
        <v>8</v>
      </c>
      <c r="Y25" s="37" t="s">
        <v>153</v>
      </c>
      <c r="Z25" s="37"/>
      <c r="AA25" s="37" t="s">
        <v>9</v>
      </c>
      <c r="AB25" s="37" t="s">
        <v>10</v>
      </c>
      <c r="AC25" s="37" t="s">
        <v>7</v>
      </c>
      <c r="AD25" s="37" t="s">
        <v>82</v>
      </c>
      <c r="AE25" s="37" t="s">
        <v>7</v>
      </c>
      <c r="AF25" s="37" t="s">
        <v>186</v>
      </c>
    </row>
    <row r="26" spans="2:34" x14ac:dyDescent="0.3">
      <c r="B26" s="32" t="s">
        <v>195</v>
      </c>
      <c r="C26" s="32" t="s">
        <v>195</v>
      </c>
      <c r="D26" s="32" t="s">
        <v>195</v>
      </c>
      <c r="F26" s="37" t="s">
        <v>288</v>
      </c>
      <c r="G26" s="19" t="str">
        <f t="shared" ca="1" si="0"/>
        <v>64168</v>
      </c>
      <c r="H26" s="37">
        <v>65690</v>
      </c>
      <c r="I26" s="37" t="s">
        <v>23</v>
      </c>
      <c r="J26" s="37" t="s">
        <v>224</v>
      </c>
      <c r="K26" s="37" t="s">
        <v>11</v>
      </c>
      <c r="L26" s="37" t="s">
        <v>80</v>
      </c>
      <c r="M26" s="37" t="s">
        <v>81</v>
      </c>
      <c r="N26" s="37"/>
      <c r="O26" s="38">
        <v>42202.290509259263</v>
      </c>
      <c r="P26" s="37" t="s">
        <v>20</v>
      </c>
      <c r="Q26" s="37" t="s">
        <v>3</v>
      </c>
      <c r="R26" s="38">
        <v>42202.290509259263</v>
      </c>
      <c r="S26" s="37" t="s">
        <v>116</v>
      </c>
      <c r="T26" s="37" t="s">
        <v>223</v>
      </c>
      <c r="U26" s="37" t="s">
        <v>53</v>
      </c>
      <c r="V26" s="37" t="s">
        <v>17</v>
      </c>
      <c r="W26" s="37" t="s">
        <v>30</v>
      </c>
      <c r="X26" s="37" t="s">
        <v>24</v>
      </c>
      <c r="Y26" s="37" t="s">
        <v>47</v>
      </c>
      <c r="Z26" s="37"/>
      <c r="AA26" s="37" t="s">
        <v>49</v>
      </c>
      <c r="AB26" s="37" t="s">
        <v>10</v>
      </c>
      <c r="AC26" s="37" t="s">
        <v>7</v>
      </c>
      <c r="AD26" s="37" t="s">
        <v>82</v>
      </c>
      <c r="AE26" s="37" t="s">
        <v>7</v>
      </c>
      <c r="AF26" s="37" t="s">
        <v>192</v>
      </c>
    </row>
    <row r="27" spans="2:34" x14ac:dyDescent="0.3">
      <c r="B27" s="32" t="s">
        <v>195</v>
      </c>
      <c r="C27" s="32" t="s">
        <v>195</v>
      </c>
      <c r="D27" s="32" t="s">
        <v>195</v>
      </c>
      <c r="E27" s="37" t="s">
        <v>239</v>
      </c>
      <c r="G27" s="19" t="str">
        <f t="shared" ca="1" si="0"/>
        <v>65660</v>
      </c>
      <c r="H27" s="37">
        <v>65763</v>
      </c>
      <c r="I27" s="37" t="s">
        <v>317</v>
      </c>
      <c r="J27" s="37" t="s">
        <v>318</v>
      </c>
      <c r="K27" s="37" t="s">
        <v>2</v>
      </c>
      <c r="L27" s="37" t="s">
        <v>80</v>
      </c>
      <c r="M27" s="37" t="s">
        <v>81</v>
      </c>
      <c r="N27" s="37"/>
      <c r="O27" s="38">
        <v>42240.722812499997</v>
      </c>
      <c r="P27" s="37" t="s">
        <v>4</v>
      </c>
      <c r="Q27" s="37" t="s">
        <v>80</v>
      </c>
      <c r="R27" s="38">
        <v>42205.328796296293</v>
      </c>
      <c r="S27" s="37" t="s">
        <v>29</v>
      </c>
      <c r="T27" s="37"/>
      <c r="U27" s="37"/>
      <c r="V27" s="37" t="s">
        <v>6</v>
      </c>
      <c r="W27" s="37" t="s">
        <v>30</v>
      </c>
      <c r="X27" s="37" t="s">
        <v>13</v>
      </c>
      <c r="Y27" s="37" t="s">
        <v>19</v>
      </c>
      <c r="Z27" s="37"/>
      <c r="AA27" s="37" t="s">
        <v>9</v>
      </c>
      <c r="AB27" s="37" t="s">
        <v>10</v>
      </c>
      <c r="AC27" s="37" t="s">
        <v>7</v>
      </c>
      <c r="AD27" s="37" t="s">
        <v>82</v>
      </c>
      <c r="AE27" s="37" t="s">
        <v>7</v>
      </c>
      <c r="AF27" s="37" t="s">
        <v>186</v>
      </c>
      <c r="AG27" s="32" t="s">
        <v>7</v>
      </c>
      <c r="AH27" s="32" t="s">
        <v>7</v>
      </c>
    </row>
    <row r="28" spans="2:34" x14ac:dyDescent="0.3">
      <c r="C28" s="32" t="s">
        <v>195</v>
      </c>
      <c r="F28" s="37" t="s">
        <v>301</v>
      </c>
      <c r="G28" s="19" t="str">
        <f t="shared" ca="1" si="0"/>
        <v>66573</v>
      </c>
      <c r="H28" s="37">
        <v>66576</v>
      </c>
      <c r="I28" s="37" t="s">
        <v>234</v>
      </c>
      <c r="J28" s="37" t="s">
        <v>287</v>
      </c>
      <c r="K28" s="37" t="s">
        <v>11</v>
      </c>
      <c r="L28" s="37" t="s">
        <v>80</v>
      </c>
      <c r="M28" s="37" t="s">
        <v>81</v>
      </c>
      <c r="N28" s="37"/>
      <c r="O28" s="38">
        <v>42223.805532407408</v>
      </c>
      <c r="P28" s="37" t="s">
        <v>20</v>
      </c>
      <c r="Q28" s="37" t="s">
        <v>80</v>
      </c>
      <c r="R28" s="38">
        <v>42220.712812500002</v>
      </c>
      <c r="S28" s="37" t="s">
        <v>29</v>
      </c>
      <c r="T28" s="37"/>
      <c r="U28" s="37"/>
      <c r="V28" s="37" t="s">
        <v>17</v>
      </c>
      <c r="W28" s="37" t="s">
        <v>30</v>
      </c>
      <c r="X28" s="37" t="s">
        <v>13</v>
      </c>
      <c r="Y28" s="37" t="s">
        <v>236</v>
      </c>
      <c r="Z28" s="37"/>
      <c r="AA28" s="37" t="s">
        <v>49</v>
      </c>
      <c r="AB28" s="37" t="s">
        <v>10</v>
      </c>
      <c r="AC28" s="37" t="s">
        <v>44</v>
      </c>
      <c r="AD28" s="37" t="s">
        <v>82</v>
      </c>
      <c r="AE28" s="37" t="s">
        <v>7</v>
      </c>
      <c r="AF28" s="37" t="s">
        <v>186</v>
      </c>
    </row>
    <row r="29" spans="2:34" s="37" customFormat="1" x14ac:dyDescent="0.3">
      <c r="B29" s="37" t="s">
        <v>195</v>
      </c>
      <c r="C29" s="37" t="s">
        <v>195</v>
      </c>
      <c r="D29" s="37" t="s">
        <v>195</v>
      </c>
      <c r="G29" s="19" t="str">
        <f t="shared" ca="1" si="0"/>
        <v>55159</v>
      </c>
      <c r="H29" s="37">
        <v>66631</v>
      </c>
      <c r="I29" s="37" t="s">
        <v>39</v>
      </c>
      <c r="J29" s="37" t="s">
        <v>291</v>
      </c>
      <c r="K29" s="37" t="s">
        <v>11</v>
      </c>
      <c r="L29" s="37" t="s">
        <v>80</v>
      </c>
      <c r="M29" s="37" t="s">
        <v>81</v>
      </c>
      <c r="O29" s="38">
        <v>42222.314791666664</v>
      </c>
      <c r="P29" s="37" t="s">
        <v>20</v>
      </c>
      <c r="Q29" s="37" t="s">
        <v>3</v>
      </c>
      <c r="R29" s="38">
        <v>42221.481898148151</v>
      </c>
      <c r="S29" s="37" t="s">
        <v>29</v>
      </c>
      <c r="V29" s="37" t="s">
        <v>17</v>
      </c>
      <c r="W29" s="37" t="s">
        <v>30</v>
      </c>
      <c r="X29" s="37" t="s">
        <v>13</v>
      </c>
      <c r="Y29" s="37" t="s">
        <v>19</v>
      </c>
      <c r="AA29" s="37" t="s">
        <v>9</v>
      </c>
      <c r="AB29" s="37" t="s">
        <v>10</v>
      </c>
      <c r="AC29" s="37" t="s">
        <v>44</v>
      </c>
      <c r="AD29" s="37" t="s">
        <v>82</v>
      </c>
      <c r="AE29" s="37" t="s">
        <v>7</v>
      </c>
      <c r="AF29" s="37" t="s">
        <v>186</v>
      </c>
    </row>
    <row r="30" spans="2:34" s="37" customFormat="1" x14ac:dyDescent="0.3">
      <c r="B30" s="37" t="s">
        <v>195</v>
      </c>
      <c r="C30" s="37" t="s">
        <v>195</v>
      </c>
      <c r="D30" s="37" t="s">
        <v>195</v>
      </c>
      <c r="G30" s="19" t="str">
        <f t="shared" ca="1" si="0"/>
        <v>66713</v>
      </c>
      <c r="H30" s="37">
        <v>66727</v>
      </c>
      <c r="I30" s="37" t="s">
        <v>28</v>
      </c>
      <c r="J30" s="37" t="s">
        <v>293</v>
      </c>
      <c r="K30" s="37" t="s">
        <v>11</v>
      </c>
      <c r="L30" s="37" t="s">
        <v>80</v>
      </c>
      <c r="M30" s="37" t="s">
        <v>81</v>
      </c>
      <c r="O30" s="38">
        <v>42226.32372685185</v>
      </c>
      <c r="P30" s="37" t="s">
        <v>20</v>
      </c>
      <c r="Q30" s="37" t="s">
        <v>83</v>
      </c>
      <c r="R30" s="38">
        <v>42223.018923611111</v>
      </c>
      <c r="S30" s="37" t="s">
        <v>16</v>
      </c>
      <c r="V30" s="37" t="s">
        <v>17</v>
      </c>
      <c r="W30" s="37" t="s">
        <v>30</v>
      </c>
      <c r="X30" s="37" t="s">
        <v>13</v>
      </c>
      <c r="Y30" s="37" t="s">
        <v>292</v>
      </c>
      <c r="AA30" s="37" t="s">
        <v>49</v>
      </c>
      <c r="AB30" s="37" t="s">
        <v>10</v>
      </c>
      <c r="AC30" s="37" t="s">
        <v>44</v>
      </c>
      <c r="AD30" s="37" t="s">
        <v>82</v>
      </c>
      <c r="AE30" s="37" t="s">
        <v>7</v>
      </c>
      <c r="AF30" s="37" t="s">
        <v>186</v>
      </c>
    </row>
    <row r="31" spans="2:34" s="37" customFormat="1" x14ac:dyDescent="0.3">
      <c r="B31" s="37" t="s">
        <v>195</v>
      </c>
      <c r="C31" s="37" t="s">
        <v>195</v>
      </c>
      <c r="D31" s="37" t="s">
        <v>195</v>
      </c>
      <c r="E31" s="37" t="s">
        <v>239</v>
      </c>
      <c r="G31" s="19" t="str">
        <f t="shared" ca="1" si="0"/>
        <v>67034</v>
      </c>
      <c r="H31" s="37">
        <v>67042</v>
      </c>
      <c r="I31" s="37" t="s">
        <v>178</v>
      </c>
      <c r="J31" s="37" t="s">
        <v>310</v>
      </c>
      <c r="K31" s="37" t="s">
        <v>11</v>
      </c>
      <c r="L31" s="37" t="s">
        <v>80</v>
      </c>
      <c r="M31" s="37" t="s">
        <v>81</v>
      </c>
      <c r="O31" s="38">
        <v>42241.300405092596</v>
      </c>
      <c r="P31" s="37" t="s">
        <v>20</v>
      </c>
      <c r="Q31" s="37" t="s">
        <v>80</v>
      </c>
      <c r="R31" s="38">
        <v>42229.519328703704</v>
      </c>
      <c r="S31" s="37" t="s">
        <v>40</v>
      </c>
      <c r="V31" s="37" t="s">
        <v>12</v>
      </c>
      <c r="W31" s="37" t="s">
        <v>30</v>
      </c>
      <c r="X31" s="37" t="s">
        <v>13</v>
      </c>
      <c r="Y31" s="37" t="s">
        <v>19</v>
      </c>
      <c r="AA31" s="37" t="s">
        <v>9</v>
      </c>
      <c r="AB31" s="37" t="s">
        <v>10</v>
      </c>
      <c r="AC31" s="37" t="s">
        <v>7</v>
      </c>
      <c r="AD31" s="37" t="s">
        <v>82</v>
      </c>
      <c r="AE31" s="37" t="s">
        <v>7</v>
      </c>
      <c r="AF31" s="37" t="s">
        <v>186</v>
      </c>
      <c r="AG31" s="37" t="s">
        <v>7</v>
      </c>
      <c r="AH31" s="37" t="s">
        <v>7</v>
      </c>
    </row>
    <row r="32" spans="2:34" s="37" customFormat="1" x14ac:dyDescent="0.3">
      <c r="B32" s="37" t="s">
        <v>195</v>
      </c>
      <c r="C32" s="37" t="s">
        <v>195</v>
      </c>
      <c r="D32" s="37" t="s">
        <v>195</v>
      </c>
      <c r="E32" s="37" t="s">
        <v>239</v>
      </c>
      <c r="G32" s="19" t="str">
        <f t="shared" ca="1" si="0"/>
        <v>67131</v>
      </c>
      <c r="H32" s="37">
        <v>67219</v>
      </c>
      <c r="I32" s="37" t="s">
        <v>85</v>
      </c>
      <c r="J32" s="37" t="s">
        <v>312</v>
      </c>
      <c r="K32" s="37" t="s">
        <v>2</v>
      </c>
      <c r="L32" s="37" t="s">
        <v>80</v>
      </c>
      <c r="M32" s="37" t="s">
        <v>81</v>
      </c>
      <c r="O32" s="38">
        <v>42240.720405092594</v>
      </c>
      <c r="P32" s="37" t="s">
        <v>20</v>
      </c>
      <c r="Q32" s="37" t="s">
        <v>80</v>
      </c>
      <c r="R32" s="38">
        <v>42233.546944444446</v>
      </c>
      <c r="S32" s="37" t="s">
        <v>22</v>
      </c>
      <c r="V32" s="37" t="s">
        <v>17</v>
      </c>
      <c r="W32" s="37" t="s">
        <v>30</v>
      </c>
      <c r="X32" s="37" t="s">
        <v>8</v>
      </c>
      <c r="Y32" s="37" t="s">
        <v>122</v>
      </c>
      <c r="AA32" s="37" t="s">
        <v>9</v>
      </c>
      <c r="AB32" s="37" t="s">
        <v>10</v>
      </c>
      <c r="AC32" s="37" t="s">
        <v>7</v>
      </c>
      <c r="AD32" s="37" t="s">
        <v>82</v>
      </c>
      <c r="AE32" s="37" t="s">
        <v>7</v>
      </c>
      <c r="AF32" s="37" t="s">
        <v>186</v>
      </c>
      <c r="AG32" s="37" t="s">
        <v>7</v>
      </c>
      <c r="AH32" s="37" t="s">
        <v>7</v>
      </c>
    </row>
    <row r="33" spans="2:34" s="37" customFormat="1" x14ac:dyDescent="0.3">
      <c r="B33" s="37" t="s">
        <v>195</v>
      </c>
      <c r="C33" s="37" t="s">
        <v>195</v>
      </c>
      <c r="D33" s="37" t="s">
        <v>195</v>
      </c>
      <c r="E33" s="37" t="s">
        <v>239</v>
      </c>
      <c r="G33" s="19" t="str">
        <f t="shared" ca="1" si="0"/>
        <v>67242</v>
      </c>
      <c r="H33" s="37">
        <v>67250</v>
      </c>
      <c r="I33" s="37" t="s">
        <v>42</v>
      </c>
      <c r="J33" s="37" t="s">
        <v>313</v>
      </c>
      <c r="K33" s="37" t="s">
        <v>2</v>
      </c>
      <c r="L33" s="37" t="s">
        <v>80</v>
      </c>
      <c r="M33" s="37" t="s">
        <v>81</v>
      </c>
      <c r="O33" s="38">
        <v>42240.720289351855</v>
      </c>
      <c r="P33" s="37" t="s">
        <v>20</v>
      </c>
      <c r="Q33" s="37" t="s">
        <v>167</v>
      </c>
      <c r="R33" s="38">
        <v>42234.019467592596</v>
      </c>
      <c r="S33" s="37" t="s">
        <v>16</v>
      </c>
      <c r="V33" s="37" t="s">
        <v>6</v>
      </c>
      <c r="W33" s="37" t="s">
        <v>30</v>
      </c>
      <c r="X33" s="37" t="s">
        <v>13</v>
      </c>
      <c r="Y33" s="37" t="s">
        <v>292</v>
      </c>
      <c r="AA33" s="37" t="s">
        <v>9</v>
      </c>
      <c r="AB33" s="37" t="s">
        <v>10</v>
      </c>
      <c r="AC33" s="37" t="s">
        <v>7</v>
      </c>
      <c r="AD33" s="37" t="s">
        <v>82</v>
      </c>
      <c r="AE33" s="37" t="s">
        <v>7</v>
      </c>
      <c r="AF33" s="37" t="s">
        <v>186</v>
      </c>
      <c r="AG33" s="37" t="s">
        <v>7</v>
      </c>
      <c r="AH33" s="37" t="s">
        <v>7</v>
      </c>
    </row>
    <row r="34" spans="2:34" s="37" customFormat="1" x14ac:dyDescent="0.3">
      <c r="B34" s="37" t="s">
        <v>195</v>
      </c>
      <c r="C34" s="37" t="s">
        <v>329</v>
      </c>
      <c r="D34" s="37" t="s">
        <v>195</v>
      </c>
      <c r="E34" s="37" t="s">
        <v>239</v>
      </c>
      <c r="G34" s="19" t="str">
        <f t="shared" ca="1" si="0"/>
        <v>67608</v>
      </c>
      <c r="H34" s="37">
        <v>67613</v>
      </c>
      <c r="I34" s="37" t="s">
        <v>28</v>
      </c>
      <c r="J34" s="37" t="s">
        <v>319</v>
      </c>
      <c r="K34" s="37" t="s">
        <v>2</v>
      </c>
      <c r="L34" s="37" t="s">
        <v>80</v>
      </c>
      <c r="M34" s="37" t="s">
        <v>81</v>
      </c>
      <c r="O34" s="38">
        <v>42240.313981481479</v>
      </c>
      <c r="P34" s="37" t="s">
        <v>20</v>
      </c>
      <c r="Q34" s="37" t="s">
        <v>83</v>
      </c>
      <c r="R34" s="38">
        <v>42238.019421296296</v>
      </c>
      <c r="S34" s="37" t="s">
        <v>16</v>
      </c>
      <c r="V34" s="37" t="s">
        <v>6</v>
      </c>
      <c r="W34" s="37" t="s">
        <v>30</v>
      </c>
      <c r="X34" s="37" t="s">
        <v>13</v>
      </c>
      <c r="Y34" s="37" t="s">
        <v>292</v>
      </c>
      <c r="AA34" s="37" t="s">
        <v>49</v>
      </c>
      <c r="AB34" s="37" t="s">
        <v>10</v>
      </c>
      <c r="AC34" s="37" t="s">
        <v>7</v>
      </c>
      <c r="AD34" s="37" t="s">
        <v>82</v>
      </c>
      <c r="AE34" s="37" t="s">
        <v>7</v>
      </c>
      <c r="AF34" s="37" t="s">
        <v>186</v>
      </c>
      <c r="AG34" s="37" t="s">
        <v>7</v>
      </c>
      <c r="AH34" s="37" t="s">
        <v>7</v>
      </c>
    </row>
    <row r="35" spans="2:34" s="37" customFormat="1" x14ac:dyDescent="0.3">
      <c r="B35" s="37" t="s">
        <v>195</v>
      </c>
      <c r="C35" s="37" t="s">
        <v>195</v>
      </c>
      <c r="D35" s="37" t="s">
        <v>195</v>
      </c>
      <c r="G35" s="19" t="str">
        <f t="shared" ca="1" si="0"/>
        <v>67747</v>
      </c>
      <c r="H35" s="37">
        <v>67752</v>
      </c>
      <c r="I35" s="37" t="s">
        <v>39</v>
      </c>
      <c r="J35" s="37" t="s">
        <v>321</v>
      </c>
      <c r="K35" s="37" t="s">
        <v>11</v>
      </c>
      <c r="L35" s="37" t="s">
        <v>80</v>
      </c>
      <c r="M35" s="37" t="s">
        <v>81</v>
      </c>
      <c r="O35" s="38">
        <v>42242.726863425924</v>
      </c>
      <c r="P35" s="37" t="s">
        <v>20</v>
      </c>
      <c r="Q35" s="37" t="s">
        <v>3</v>
      </c>
      <c r="R35" s="38">
        <v>42241.635775462964</v>
      </c>
      <c r="S35" s="37" t="s">
        <v>16</v>
      </c>
      <c r="V35" s="37" t="s">
        <v>17</v>
      </c>
      <c r="W35" s="37" t="s">
        <v>30</v>
      </c>
      <c r="X35" s="37" t="s">
        <v>13</v>
      </c>
      <c r="Y35" s="37" t="s">
        <v>19</v>
      </c>
      <c r="AA35" s="37" t="s">
        <v>49</v>
      </c>
      <c r="AB35" s="37" t="s">
        <v>10</v>
      </c>
      <c r="AC35" s="37" t="s">
        <v>7</v>
      </c>
      <c r="AD35" s="37" t="s">
        <v>82</v>
      </c>
      <c r="AE35" s="37" t="s">
        <v>7</v>
      </c>
      <c r="AF35" s="37" t="s">
        <v>186</v>
      </c>
      <c r="AG35" s="37" t="s">
        <v>7</v>
      </c>
      <c r="AH35" s="37" t="s">
        <v>7</v>
      </c>
    </row>
    <row r="36" spans="2:34" s="37" customFormat="1" x14ac:dyDescent="0.3">
      <c r="B36" s="37" t="s">
        <v>195</v>
      </c>
      <c r="C36" s="37" t="s">
        <v>195</v>
      </c>
      <c r="D36" s="37" t="s">
        <v>195</v>
      </c>
      <c r="G36" s="19" t="str">
        <f t="shared" ca="1" si="0"/>
        <v>67772</v>
      </c>
      <c r="H36" s="37">
        <v>67775</v>
      </c>
      <c r="I36" s="37" t="s">
        <v>85</v>
      </c>
      <c r="J36" s="37" t="s">
        <v>323</v>
      </c>
      <c r="K36" s="37" t="s">
        <v>2</v>
      </c>
      <c r="L36" s="37" t="s">
        <v>80</v>
      </c>
      <c r="M36" s="37" t="s">
        <v>316</v>
      </c>
      <c r="O36" s="38">
        <v>42242.703263888892</v>
      </c>
      <c r="P36" s="37" t="s">
        <v>20</v>
      </c>
      <c r="Q36" s="37" t="s">
        <v>80</v>
      </c>
      <c r="R36" s="38">
        <v>42241.741631944446</v>
      </c>
      <c r="S36" s="37" t="s">
        <v>22</v>
      </c>
      <c r="V36" s="37" t="s">
        <v>17</v>
      </c>
      <c r="W36" s="37" t="s">
        <v>30</v>
      </c>
      <c r="X36" s="37" t="s">
        <v>8</v>
      </c>
      <c r="Y36" s="37" t="s">
        <v>38</v>
      </c>
      <c r="AA36" s="37" t="s">
        <v>49</v>
      </c>
      <c r="AB36" s="37" t="s">
        <v>10</v>
      </c>
      <c r="AC36" s="37" t="s">
        <v>7</v>
      </c>
      <c r="AD36" s="37" t="s">
        <v>82</v>
      </c>
      <c r="AE36" s="37" t="s">
        <v>327</v>
      </c>
      <c r="AF36" s="37" t="s">
        <v>256</v>
      </c>
      <c r="AG36" s="37" t="s">
        <v>7</v>
      </c>
      <c r="AH36" s="37" t="s">
        <v>7</v>
      </c>
    </row>
    <row r="37" spans="2:34" s="37" customFormat="1" x14ac:dyDescent="0.3">
      <c r="B37" s="37" t="s">
        <v>195</v>
      </c>
      <c r="C37" s="37" t="s">
        <v>195</v>
      </c>
      <c r="D37" s="37" t="s">
        <v>195</v>
      </c>
      <c r="F37" s="37">
        <v>60559</v>
      </c>
      <c r="G37" s="19" t="str">
        <f t="shared" ca="1" si="0"/>
        <v>67816</v>
      </c>
      <c r="H37" s="37">
        <v>67847</v>
      </c>
      <c r="I37" s="37" t="s">
        <v>37</v>
      </c>
      <c r="J37" s="37" t="s">
        <v>325</v>
      </c>
      <c r="K37" s="37" t="s">
        <v>2</v>
      </c>
      <c r="L37" s="37" t="s">
        <v>80</v>
      </c>
      <c r="M37" s="37" t="s">
        <v>81</v>
      </c>
      <c r="O37" s="38">
        <v>42242.500844907408</v>
      </c>
      <c r="P37" s="37" t="s">
        <v>20</v>
      </c>
      <c r="Q37" s="37" t="s">
        <v>83</v>
      </c>
      <c r="R37" s="38">
        <v>42242.361608796295</v>
      </c>
      <c r="S37" s="37" t="s">
        <v>16</v>
      </c>
      <c r="V37" s="37" t="s">
        <v>17</v>
      </c>
      <c r="W37" s="37" t="s">
        <v>326</v>
      </c>
      <c r="X37" s="37" t="s">
        <v>24</v>
      </c>
      <c r="Y37" s="37" t="s">
        <v>46</v>
      </c>
      <c r="AA37" s="37" t="s">
        <v>49</v>
      </c>
      <c r="AB37" s="37" t="s">
        <v>10</v>
      </c>
      <c r="AC37" s="37" t="s">
        <v>44</v>
      </c>
      <c r="AD37" s="37" t="s">
        <v>82</v>
      </c>
      <c r="AE37" s="37" t="s">
        <v>7</v>
      </c>
      <c r="AF37" s="37" t="s">
        <v>186</v>
      </c>
      <c r="AG37" s="37" t="s">
        <v>7</v>
      </c>
      <c r="AH37" s="37" t="s">
        <v>7</v>
      </c>
    </row>
    <row r="38" spans="2:34" s="37" customFormat="1" x14ac:dyDescent="0.3">
      <c r="B38" s="37" t="s">
        <v>195</v>
      </c>
      <c r="C38" s="37" t="s">
        <v>195</v>
      </c>
      <c r="D38" s="37" t="s">
        <v>239</v>
      </c>
      <c r="F38" s="37" t="s">
        <v>330</v>
      </c>
      <c r="G38" s="19" t="str">
        <f t="shared" ca="1" si="0"/>
        <v>67873</v>
      </c>
      <c r="H38" s="37">
        <v>67891</v>
      </c>
      <c r="I38" s="37" t="s">
        <v>39</v>
      </c>
      <c r="J38" s="37" t="s">
        <v>328</v>
      </c>
      <c r="K38" s="37" t="s">
        <v>11</v>
      </c>
      <c r="L38" s="37" t="s">
        <v>80</v>
      </c>
      <c r="M38" s="37" t="s">
        <v>81</v>
      </c>
      <c r="O38" s="38">
        <v>42243.321423611109</v>
      </c>
      <c r="P38" s="37" t="s">
        <v>20</v>
      </c>
      <c r="Q38" s="37" t="s">
        <v>80</v>
      </c>
      <c r="R38" s="38">
        <v>42243.019571759258</v>
      </c>
      <c r="S38" s="37" t="s">
        <v>29</v>
      </c>
      <c r="V38" s="37" t="s">
        <v>12</v>
      </c>
      <c r="W38" s="37" t="s">
        <v>30</v>
      </c>
      <c r="X38" s="37" t="s">
        <v>13</v>
      </c>
      <c r="Y38" s="37" t="s">
        <v>19</v>
      </c>
      <c r="AA38" s="37" t="s">
        <v>49</v>
      </c>
      <c r="AB38" s="37" t="s">
        <v>10</v>
      </c>
      <c r="AC38" s="37" t="s">
        <v>7</v>
      </c>
      <c r="AD38" s="37" t="s">
        <v>82</v>
      </c>
      <c r="AE38" s="37" t="s">
        <v>7</v>
      </c>
      <c r="AF38" s="37" t="s">
        <v>192</v>
      </c>
      <c r="AG38" s="37" t="s">
        <v>7</v>
      </c>
      <c r="AH38" s="37" t="s">
        <v>7</v>
      </c>
    </row>
    <row r="39" spans="2:34" s="37" customFormat="1" x14ac:dyDescent="0.3">
      <c r="G39" s="19" t="str">
        <f t="shared" ca="1" si="0"/>
        <v/>
      </c>
      <c r="O39" s="38"/>
      <c r="R39" s="38"/>
    </row>
    <row r="40" spans="2:34" s="37" customFormat="1" x14ac:dyDescent="0.3">
      <c r="G40" s="19" t="str">
        <f t="shared" ca="1" si="0"/>
        <v/>
      </c>
      <c r="O40" s="38"/>
      <c r="R40" s="38"/>
    </row>
    <row r="41" spans="2:34" s="37" customFormat="1" x14ac:dyDescent="0.3">
      <c r="G41" s="19" t="str">
        <f t="shared" ca="1" si="0"/>
        <v/>
      </c>
      <c r="O41" s="38"/>
      <c r="R41" s="38"/>
    </row>
    <row r="42" spans="2:34" s="37" customFormat="1" x14ac:dyDescent="0.3">
      <c r="G42" s="19" t="str">
        <f t="shared" ca="1" si="0"/>
        <v/>
      </c>
      <c r="O42" s="38"/>
      <c r="R42" s="38"/>
    </row>
    <row r="43" spans="2:34" s="37" customFormat="1" x14ac:dyDescent="0.3">
      <c r="G43" s="19"/>
      <c r="O43" s="38"/>
      <c r="R43" s="38"/>
    </row>
    <row r="44" spans="2:34" x14ac:dyDescent="0.3">
      <c r="F44" s="37" t="s">
        <v>297</v>
      </c>
      <c r="H44" s="32">
        <v>62237</v>
      </c>
      <c r="I44" s="32" t="s">
        <v>295</v>
      </c>
      <c r="J44" s="32" t="s">
        <v>296</v>
      </c>
      <c r="K44" s="32" t="s">
        <v>2</v>
      </c>
      <c r="L44" s="32" t="s">
        <v>80</v>
      </c>
      <c r="M44" s="32" t="s">
        <v>81</v>
      </c>
      <c r="O44" s="32">
        <v>42226.325868055559</v>
      </c>
      <c r="P44" s="32" t="s">
        <v>159</v>
      </c>
      <c r="Q44" s="32" t="s">
        <v>80</v>
      </c>
      <c r="R44" s="32">
        <v>42136.381041666667</v>
      </c>
      <c r="S44" s="32" t="s">
        <v>5</v>
      </c>
      <c r="V44" s="32" t="s">
        <v>6</v>
      </c>
      <c r="W44" s="32" t="s">
        <v>30</v>
      </c>
      <c r="X44" s="32" t="s">
        <v>13</v>
      </c>
      <c r="Y44" s="32" t="s">
        <v>236</v>
      </c>
      <c r="AA44" s="32" t="s">
        <v>7</v>
      </c>
      <c r="AB44" s="32" t="s">
        <v>10</v>
      </c>
      <c r="AC44" s="32" t="s">
        <v>7</v>
      </c>
      <c r="AD44" s="32" t="s">
        <v>82</v>
      </c>
      <c r="AE44" s="32" t="s">
        <v>7</v>
      </c>
      <c r="AF44" s="32" t="s">
        <v>7</v>
      </c>
    </row>
    <row r="45" spans="2:34" x14ac:dyDescent="0.3">
      <c r="D45" s="32">
        <f>SUBTOTAL(3,C2:C42)</f>
        <v>37</v>
      </c>
      <c r="G45" s="32" t="s">
        <v>142</v>
      </c>
    </row>
    <row r="51" spans="1:32" x14ac:dyDescent="0.3">
      <c r="G51" s="37"/>
    </row>
    <row r="52" spans="1:32" x14ac:dyDescent="0.3">
      <c r="G52" s="37"/>
    </row>
    <row r="53" spans="1:32" x14ac:dyDescent="0.3">
      <c r="G53" s="37"/>
    </row>
    <row r="54" spans="1:32" x14ac:dyDescent="0.3">
      <c r="G54" s="37"/>
    </row>
    <row r="55" spans="1:32" x14ac:dyDescent="0.3">
      <c r="D55" s="32" t="s">
        <v>206</v>
      </c>
      <c r="G55" s="19" t="str">
        <f ca="1">HYPERLINK(CONCATENATE("https://bugzilla.houston.hp.com:1181/bugzilla/show_bug.cgi?id=",MID(INDIRECT($G$45&amp;ROW()),9,5)),MID(INDIRECT($G$45&amp;ROW()),9,5))</f>
        <v>58413</v>
      </c>
      <c r="H55" s="32">
        <v>61084</v>
      </c>
      <c r="I55" s="32" t="s">
        <v>196</v>
      </c>
      <c r="J55" s="32" t="s">
        <v>197</v>
      </c>
      <c r="K55" s="32" t="s">
        <v>198</v>
      </c>
      <c r="L55" s="32" t="s">
        <v>80</v>
      </c>
      <c r="M55" s="32" t="s">
        <v>199</v>
      </c>
      <c r="N55" s="32" t="s">
        <v>158</v>
      </c>
      <c r="O55" s="34">
        <v>3.9988425925925927E-2</v>
      </c>
      <c r="P55" s="32" t="s">
        <v>200</v>
      </c>
      <c r="Q55" s="32" t="s">
        <v>201</v>
      </c>
      <c r="R55" s="37" t="s">
        <v>202</v>
      </c>
      <c r="S55" s="34">
        <v>42116</v>
      </c>
      <c r="T55" s="32" t="s">
        <v>84</v>
      </c>
      <c r="W55" s="32" t="s">
        <v>6</v>
      </c>
      <c r="X55" s="32" t="s">
        <v>30</v>
      </c>
      <c r="Y55" s="32" t="s">
        <v>203</v>
      </c>
      <c r="Z55" s="32" t="s">
        <v>204</v>
      </c>
      <c r="AB55" s="32" t="s">
        <v>9</v>
      </c>
      <c r="AC55" s="32" t="s">
        <v>205</v>
      </c>
      <c r="AD55" s="32" t="s">
        <v>7</v>
      </c>
      <c r="AE55" s="32" t="s">
        <v>7</v>
      </c>
    </row>
    <row r="56" spans="1:32" x14ac:dyDescent="0.3">
      <c r="G56" s="37"/>
    </row>
    <row r="57" spans="1:32" x14ac:dyDescent="0.3">
      <c r="A57" s="36" t="s">
        <v>247</v>
      </c>
      <c r="B57" s="32" t="s">
        <v>195</v>
      </c>
      <c r="C57" s="32" t="s">
        <v>298</v>
      </c>
      <c r="D57" s="32" t="s">
        <v>195</v>
      </c>
      <c r="G57" s="19" t="str">
        <f ca="1">HYPERLINK(CONCATENATE("https://bugzilla.houston.hp.com:1181/bugzilla/show_bug.cgi?id=",MID(INDIRECT($G$45&amp;ROW()),9,5)),MID(INDIRECT($G$45&amp;ROW()),9,5))</f>
        <v>65347</v>
      </c>
      <c r="H57" s="32">
        <v>65366</v>
      </c>
      <c r="I57" s="32" t="s">
        <v>37</v>
      </c>
      <c r="J57" s="32" t="s">
        <v>219</v>
      </c>
      <c r="K57" s="32" t="s">
        <v>2</v>
      </c>
      <c r="L57" s="32" t="s">
        <v>80</v>
      </c>
      <c r="M57" s="32" t="s">
        <v>81</v>
      </c>
      <c r="O57" s="33">
        <v>42207.365208333336</v>
      </c>
      <c r="P57" s="32" t="s">
        <v>20</v>
      </c>
      <c r="Q57" s="32" t="s">
        <v>80</v>
      </c>
      <c r="R57" s="33">
        <v>42195.55641203704</v>
      </c>
      <c r="S57" s="32" t="s">
        <v>29</v>
      </c>
      <c r="V57" s="32" t="s">
        <v>6</v>
      </c>
      <c r="W57" s="32" t="s">
        <v>30</v>
      </c>
      <c r="X57" s="32" t="s">
        <v>24</v>
      </c>
      <c r="Y57" s="32" t="s">
        <v>47</v>
      </c>
      <c r="AA57" s="32" t="s">
        <v>55</v>
      </c>
      <c r="AB57" s="32" t="s">
        <v>10</v>
      </c>
      <c r="AC57" s="32" t="s">
        <v>7</v>
      </c>
      <c r="AD57" s="32" t="s">
        <v>82</v>
      </c>
      <c r="AE57" s="32" t="s">
        <v>7</v>
      </c>
      <c r="AF57" s="32" t="s">
        <v>186</v>
      </c>
    </row>
    <row r="58" spans="1:32" s="37" customFormat="1" x14ac:dyDescent="0.3">
      <c r="A58" s="40" t="s">
        <v>290</v>
      </c>
      <c r="C58" s="37" t="s">
        <v>298</v>
      </c>
      <c r="F58" s="37" t="s">
        <v>280</v>
      </c>
      <c r="G58" s="19" t="str">
        <f ca="1">HYPERLINK(CONCATENATE("https://bugzilla.houston.hp.com:1181/bugzilla/show_bug.cgi?id=",MID(INDIRECT($G$45&amp;ROW()),9,5)),MID(INDIRECT($G$45&amp;ROW()),9,5))</f>
        <v>63791</v>
      </c>
      <c r="H58" s="37">
        <v>63895</v>
      </c>
      <c r="I58" s="37" t="s">
        <v>257</v>
      </c>
      <c r="J58" s="37" t="s">
        <v>255</v>
      </c>
      <c r="K58" s="37" t="s">
        <v>11</v>
      </c>
      <c r="L58" s="37" t="s">
        <v>80</v>
      </c>
      <c r="M58" s="37" t="s">
        <v>81</v>
      </c>
      <c r="O58" s="38">
        <v>42220.336099537039</v>
      </c>
      <c r="P58" s="37" t="s">
        <v>159</v>
      </c>
      <c r="Q58" s="37" t="s">
        <v>80</v>
      </c>
      <c r="R58" s="38">
        <v>42166.297685185185</v>
      </c>
      <c r="S58" s="37" t="s">
        <v>5</v>
      </c>
      <c r="V58" s="37" t="s">
        <v>12</v>
      </c>
      <c r="W58" s="37" t="s">
        <v>30</v>
      </c>
      <c r="X58" s="37" t="s">
        <v>13</v>
      </c>
      <c r="Y58" s="37" t="s">
        <v>19</v>
      </c>
      <c r="AA58" s="37" t="s">
        <v>7</v>
      </c>
      <c r="AB58" s="37" t="s">
        <v>10</v>
      </c>
      <c r="AC58" s="37" t="s">
        <v>7</v>
      </c>
      <c r="AD58" s="37" t="s">
        <v>82</v>
      </c>
      <c r="AE58" s="37" t="s">
        <v>7</v>
      </c>
      <c r="AF58" s="37" t="s">
        <v>7</v>
      </c>
    </row>
    <row r="59" spans="1:32" x14ac:dyDescent="0.3">
      <c r="A59" s="32" t="s">
        <v>294</v>
      </c>
      <c r="C59" s="32" t="s">
        <v>298</v>
      </c>
      <c r="F59" s="37" t="s">
        <v>279</v>
      </c>
      <c r="G59" s="19" t="str">
        <f ca="1">HYPERLINK(CONCATENATE("https://bugzilla.houston.hp.com:1181/bugzilla/show_bug.cgi?id=",MID(INDIRECT($G$45&amp;ROW()),9,5)),MID(INDIRECT($G$45&amp;ROW()),9,5))</f>
        <v>63709</v>
      </c>
      <c r="H59" s="32">
        <v>63744</v>
      </c>
      <c r="I59" s="32" t="s">
        <v>42</v>
      </c>
      <c r="J59" s="32" t="s">
        <v>254</v>
      </c>
      <c r="K59" s="32" t="s">
        <v>2</v>
      </c>
      <c r="L59" s="32" t="s">
        <v>80</v>
      </c>
      <c r="M59" s="32" t="s">
        <v>81</v>
      </c>
      <c r="O59" s="33">
        <v>42215.95212962963</v>
      </c>
      <c r="P59" s="32" t="s">
        <v>159</v>
      </c>
      <c r="Q59" s="32" t="s">
        <v>80</v>
      </c>
      <c r="R59" s="33">
        <v>42164.017395833333</v>
      </c>
      <c r="S59" s="32" t="s">
        <v>22</v>
      </c>
      <c r="V59" s="32" t="s">
        <v>6</v>
      </c>
      <c r="W59" s="32" t="s">
        <v>30</v>
      </c>
      <c r="X59" s="32" t="s">
        <v>24</v>
      </c>
      <c r="Y59" s="32" t="s">
        <v>46</v>
      </c>
      <c r="AA59" s="32" t="s">
        <v>7</v>
      </c>
      <c r="AB59" s="32" t="s">
        <v>10</v>
      </c>
      <c r="AC59" s="32" t="s">
        <v>7</v>
      </c>
      <c r="AD59" s="32" t="s">
        <v>82</v>
      </c>
      <c r="AE59" s="32" t="s">
        <v>7</v>
      </c>
      <c r="AF59" s="32" t="s">
        <v>7</v>
      </c>
    </row>
    <row r="60" spans="1:32" x14ac:dyDescent="0.3">
      <c r="A60" s="32" t="s">
        <v>300</v>
      </c>
      <c r="C60" s="32" t="s">
        <v>299</v>
      </c>
      <c r="F60" s="37" t="s">
        <v>284</v>
      </c>
      <c r="G60" s="19" t="str">
        <f ca="1">HYPERLINK(CONCATENATE("https://bugzilla.houston.hp.com:1181/bugzilla/show_bug.cgi?id=",MID(INDIRECT($G$45&amp;ROW()),9,5)),MID(INDIRECT($G$45&amp;ROW()),9,5))</f>
        <v>66200</v>
      </c>
      <c r="H60" s="37">
        <v>66204</v>
      </c>
      <c r="I60" s="37" t="s">
        <v>33</v>
      </c>
      <c r="J60" s="37" t="s">
        <v>250</v>
      </c>
      <c r="K60" s="37" t="s">
        <v>2</v>
      </c>
      <c r="L60" s="37" t="s">
        <v>80</v>
      </c>
      <c r="M60" s="37" t="s">
        <v>81</v>
      </c>
      <c r="N60" s="37"/>
      <c r="O60" s="38">
        <v>42220.255902777775</v>
      </c>
      <c r="P60" s="37" t="s">
        <v>20</v>
      </c>
      <c r="Q60" s="37" t="s">
        <v>80</v>
      </c>
      <c r="R60" s="38">
        <v>42213.518622685187</v>
      </c>
      <c r="S60" s="37" t="s">
        <v>22</v>
      </c>
      <c r="T60" s="37"/>
      <c r="U60" s="37"/>
      <c r="V60" s="37" t="s">
        <v>12</v>
      </c>
      <c r="W60" s="37" t="s">
        <v>30</v>
      </c>
      <c r="X60" s="37" t="s">
        <v>8</v>
      </c>
      <c r="Y60" s="37" t="s">
        <v>38</v>
      </c>
      <c r="Z60" s="37"/>
      <c r="AA60" s="37" t="s">
        <v>9</v>
      </c>
      <c r="AB60" s="37" t="s">
        <v>10</v>
      </c>
      <c r="AC60" s="37" t="s">
        <v>7</v>
      </c>
      <c r="AD60" s="37" t="s">
        <v>82</v>
      </c>
      <c r="AE60" s="37" t="s">
        <v>249</v>
      </c>
      <c r="AF60" s="37" t="s">
        <v>256</v>
      </c>
    </row>
    <row r="61" spans="1:32" s="37" customFormat="1" x14ac:dyDescent="0.3">
      <c r="G61" s="19"/>
      <c r="O61" s="38"/>
      <c r="R61" s="38"/>
    </row>
    <row r="62" spans="1:32" s="37" customFormat="1" x14ac:dyDescent="0.3">
      <c r="G62" s="19"/>
      <c r="O62" s="38"/>
      <c r="R62" s="38"/>
    </row>
    <row r="63" spans="1:32" x14ac:dyDescent="0.3">
      <c r="G63" s="37"/>
    </row>
    <row r="64" spans="1:32" x14ac:dyDescent="0.3">
      <c r="G64" s="2" t="s">
        <v>260</v>
      </c>
    </row>
    <row r="65" spans="7:7" x14ac:dyDescent="0.3">
      <c r="G65" s="2" t="s">
        <v>261</v>
      </c>
    </row>
    <row r="66" spans="7:7" x14ac:dyDescent="0.3">
      <c r="G66" s="2" t="s">
        <v>262</v>
      </c>
    </row>
    <row r="67" spans="7:7" x14ac:dyDescent="0.3">
      <c r="G67" s="2" t="s">
        <v>263</v>
      </c>
    </row>
    <row r="68" spans="7:7" x14ac:dyDescent="0.3">
      <c r="G68" s="2" t="s">
        <v>264</v>
      </c>
    </row>
  </sheetData>
  <autoFilter ref="B1:AF42"/>
  <sortState ref="A2:AH42">
    <sortCondition ref="H2:H42"/>
  </sortState>
  <conditionalFormatting sqref="H2:H42">
    <cfRule type="expression" dxfId="168" priority="29">
      <formula>IF(AA2="---",IF(AE2="---",1,0),0)</formula>
    </cfRule>
    <cfRule type="expression" dxfId="167" priority="30">
      <formula>IF(FIND("Denied",AA2),1,0)</formula>
    </cfRule>
    <cfRule type="expression" dxfId="166" priority="31">
      <formula>IF(FIND("Request",AA2),1,0)</formula>
    </cfRule>
    <cfRule type="expression" dxfId="165" priority="32">
      <formula>IF(FIND("Approve",AA2),1,0)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zoomScale="79" zoomScaleNormal="79" workbookViewId="0">
      <selection activeCell="F8" sqref="F8"/>
    </sheetView>
  </sheetViews>
  <sheetFormatPr defaultRowHeight="14.4" x14ac:dyDescent="0.3"/>
  <cols>
    <col min="1" max="1" width="54" style="111" customWidth="1"/>
    <col min="2" max="2" width="9.44140625" style="109" bestFit="1" customWidth="1"/>
    <col min="3" max="3" width="10.109375" style="108" bestFit="1" customWidth="1"/>
    <col min="4" max="4" width="6.21875" bestFit="1" customWidth="1"/>
    <col min="5" max="5" width="15.77734375" customWidth="1"/>
    <col min="6" max="6" width="160" bestFit="1" customWidth="1"/>
    <col min="7" max="7" width="7.44140625" bestFit="1" customWidth="1"/>
  </cols>
  <sheetData>
    <row r="1" spans="1:7" x14ac:dyDescent="0.3">
      <c r="B1" s="109" t="s">
        <v>1195</v>
      </c>
      <c r="C1" s="108" t="s">
        <v>1192</v>
      </c>
      <c r="D1" s="108" t="s">
        <v>145</v>
      </c>
      <c r="E1" s="108" t="s">
        <v>57</v>
      </c>
      <c r="F1" s="108" t="s">
        <v>58</v>
      </c>
      <c r="G1" s="108" t="s">
        <v>59</v>
      </c>
    </row>
    <row r="2" spans="1:7" ht="57.6" x14ac:dyDescent="0.3">
      <c r="A2" s="112" t="s">
        <v>1197</v>
      </c>
      <c r="B2" s="110">
        <v>42557</v>
      </c>
      <c r="C2" s="19"/>
      <c r="D2" s="42">
        <v>75649</v>
      </c>
      <c r="E2" s="108" t="s">
        <v>1017</v>
      </c>
      <c r="F2" s="108" t="s">
        <v>1070</v>
      </c>
      <c r="G2" s="108" t="s">
        <v>2</v>
      </c>
    </row>
    <row r="3" spans="1:7" x14ac:dyDescent="0.3">
      <c r="A3" s="112" t="s">
        <v>1196</v>
      </c>
      <c r="B3" s="110">
        <v>42557</v>
      </c>
      <c r="C3" s="19">
        <v>82443</v>
      </c>
      <c r="D3" s="42">
        <v>82460</v>
      </c>
      <c r="E3" s="108" t="s">
        <v>338</v>
      </c>
      <c r="F3" s="108" t="s">
        <v>1131</v>
      </c>
      <c r="G3" s="108" t="s">
        <v>11</v>
      </c>
    </row>
    <row r="4" spans="1:7" ht="28.8" x14ac:dyDescent="0.3">
      <c r="A4" s="112" t="s">
        <v>1198</v>
      </c>
      <c r="B4" s="110">
        <v>42557</v>
      </c>
      <c r="C4" s="42"/>
      <c r="D4" s="42">
        <v>83440</v>
      </c>
      <c r="E4" s="108" t="s">
        <v>972</v>
      </c>
      <c r="F4" s="108" t="s">
        <v>1110</v>
      </c>
      <c r="G4" s="108" t="s">
        <v>2</v>
      </c>
    </row>
    <row r="5" spans="1:7" x14ac:dyDescent="0.3">
      <c r="A5" s="112" t="s">
        <v>1196</v>
      </c>
      <c r="B5" s="110">
        <v>42557</v>
      </c>
      <c r="C5" s="19">
        <v>83497</v>
      </c>
      <c r="D5" s="42">
        <v>83498</v>
      </c>
      <c r="E5" s="108" t="s">
        <v>338</v>
      </c>
      <c r="F5" s="108" t="s">
        <v>1111</v>
      </c>
      <c r="G5" s="108" t="s">
        <v>2</v>
      </c>
    </row>
    <row r="6" spans="1:7" ht="28.8" x14ac:dyDescent="0.3">
      <c r="A6" s="112" t="s">
        <v>1199</v>
      </c>
      <c r="B6" s="110">
        <v>42557</v>
      </c>
      <c r="C6" s="42"/>
      <c r="D6" s="42">
        <v>83822</v>
      </c>
      <c r="E6" s="108" t="s">
        <v>342</v>
      </c>
      <c r="F6" s="108" t="s">
        <v>1117</v>
      </c>
      <c r="G6" s="108" t="s">
        <v>2</v>
      </c>
    </row>
    <row r="7" spans="1:7" x14ac:dyDescent="0.3">
      <c r="A7" s="112" t="s">
        <v>1196</v>
      </c>
      <c r="B7" s="110">
        <v>42557</v>
      </c>
      <c r="C7" s="19">
        <v>85210</v>
      </c>
      <c r="D7" s="42">
        <v>85404</v>
      </c>
      <c r="E7" s="108" t="s">
        <v>1077</v>
      </c>
      <c r="F7" s="108" t="s">
        <v>1186</v>
      </c>
      <c r="G7" s="108" t="s">
        <v>11</v>
      </c>
    </row>
    <row r="8" spans="1:7" x14ac:dyDescent="0.3">
      <c r="A8" s="112" t="s">
        <v>1194</v>
      </c>
      <c r="B8" s="110">
        <v>42557</v>
      </c>
      <c r="C8" s="19" t="s">
        <v>1193</v>
      </c>
      <c r="D8" s="42">
        <v>85407</v>
      </c>
      <c r="E8" s="108" t="s">
        <v>1118</v>
      </c>
      <c r="F8" s="108" t="s">
        <v>1187</v>
      </c>
      <c r="G8" s="108" t="s">
        <v>11</v>
      </c>
    </row>
  </sheetData>
  <autoFilter ref="E1:E8"/>
  <conditionalFormatting sqref="A2:B8">
    <cfRule type="expression" dxfId="164" priority="7">
      <formula>IF(FIND("Denied",V2),1,0)</formula>
    </cfRule>
    <cfRule type="expression" dxfId="163" priority="8">
      <formula>IF(FIND("Director",V2,11),1,0)</formula>
    </cfRule>
    <cfRule type="expression" dxfId="162" priority="9">
      <formula>IF(FIND("Approve",V2),1,0)</formula>
    </cfRule>
    <cfRule type="expression" dxfId="161" priority="10">
      <formula>IF(FIND("Request",V2),1,0)</formula>
    </cfRule>
    <cfRule type="expression" dxfId="160" priority="11">
      <formula>IF(FIND("Requested",AE2),1,0)</formula>
    </cfRule>
    <cfRule type="expression" dxfId="159" priority="12">
      <formula>IF(V2="---",IF(Z2="---",1,0),0)</formula>
    </cfRule>
  </conditionalFormatting>
  <conditionalFormatting sqref="C4 C6">
    <cfRule type="expression" dxfId="158" priority="1646">
      <formula>IF(FIND("Denied",W4),1,0)</formula>
    </cfRule>
    <cfRule type="expression" dxfId="157" priority="1647">
      <formula>IF(FIND("Director",W4,11),1,0)</formula>
    </cfRule>
    <cfRule type="expression" dxfId="156" priority="1648">
      <formula>IF(FIND("Approve",W4),1,0)</formula>
    </cfRule>
    <cfRule type="expression" dxfId="155" priority="1649">
      <formula>IF(FIND("Request",W4),1,0)</formula>
    </cfRule>
    <cfRule type="expression" dxfId="154" priority="1650">
      <formula>IF(FIND("Requested",AF4),1,0)</formula>
    </cfRule>
    <cfRule type="expression" dxfId="153" priority="1651">
      <formula>IF(W4="---",IF(AA4="---",1,0),0)</formula>
    </cfRule>
  </conditionalFormatting>
  <hyperlinks>
    <hyperlink ref="C8" r:id="rId1" display="https://bugzilla.houston.hpecorp.net:1181/bugzilla/show_bug.cgi?id=84189"/>
    <hyperlink ref="C5" r:id="rId2" tooltip="NEW - [Master] Cluster expansion from 2 to 4 nodes with user mapping enabled fails to apply mapping on expanded nodes (no errors but fails under the covers)" display="https://bugzilla.houston.hpecorp.net:1181/bugzilla/show_bug.cgi?id=83497"/>
    <hyperlink ref="C7" r:id="rId3" tooltip="ASSIGNED - [Master] dword value in registry being returned to PML as a String instead of an integer value." display="https://bugzilla.houston.hpecorp.net:1181/bugzilla/show_bug.cgi?id=85210"/>
    <hyperlink ref="C3" r:id="rId4" tooltip="ASSIGNED - [Master] no customer impact, but passive nodes may report exceptions for usermap healthchecks" display="https://bugzilla.houston.hpecorp.net:1181/bugzilla/show_bug.cgi?id=8244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ABB414A7-BD41-4848-86B4-5B5BB38A737B}">
            <xm:f>IF(FIND("Denied",RedZone!U2),1,0)</xm:f>
            <x14:dxf>
              <fill>
                <patternFill>
                  <bgColor rgb="FFFFFF00"/>
                </patternFill>
              </fill>
            </x14:dxf>
          </x14:cfRule>
          <x14:cfRule type="expression" priority="2" id="{ADDD2ACF-D7DB-41F2-9D8C-F9A28E300C90}">
            <xm:f>IF(FIND("Director",RedZone!U2,11),1,0)</xm:f>
            <x14:dxf>
              <fill>
                <patternFill>
                  <bgColor rgb="FF66F725"/>
                </patternFill>
              </fill>
            </x14:dxf>
          </x14:cfRule>
          <x14:cfRule type="expression" priority="3" id="{37818077-2067-4854-805D-4791FFCD9EC0}">
            <xm:f>IF(FIND("Approve",RedZone!U2),1,0)</xm:f>
            <x14:dxf>
              <fill>
                <patternFill>
                  <bgColor rgb="FF00B050"/>
                </patternFill>
              </fill>
            </x14:dxf>
          </x14:cfRule>
          <x14:cfRule type="expression" priority="4" id="{FCD33AE4-5C85-40DC-A781-26015D4D6106}">
            <xm:f>IF(FIND("Request",RedZone!U2),1,0)</xm:f>
            <x14:dxf>
              <fill>
                <patternFill>
                  <bgColor rgb="FF92D050"/>
                </patternFill>
              </fill>
            </x14:dxf>
          </x14:cfRule>
          <x14:cfRule type="expression" priority="5" id="{C23A1F51-CBED-4E03-8AC6-9A7FEF9083AC}">
            <xm:f>IF(FIND("Requested",RedZone!AD2),1,0)</xm:f>
            <x14:dxf>
              <fill>
                <patternFill>
                  <bgColor rgb="FF92D050"/>
                </patternFill>
              </fill>
            </x14:dxf>
          </x14:cfRule>
          <x14:cfRule type="expression" priority="6" id="{E6224CC1-EEBC-414B-B495-F29A538630EA}">
            <xm:f>IF(RedZone!U2="---",IF(RedZone!Y2="---",1,0),0)</xm:f>
            <x14:dxf>
              <fill>
                <patternFill>
                  <bgColor rgb="FFFF0000"/>
                </patternFill>
              </fill>
            </x14:dxf>
          </x14:cfRule>
          <xm:sqref>D2:D8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35"/>
  <sheetViews>
    <sheetView topLeftCell="A7" workbookViewId="0">
      <selection activeCell="D18" sqref="D18"/>
    </sheetView>
  </sheetViews>
  <sheetFormatPr defaultColWidth="9" defaultRowHeight="14.4" x14ac:dyDescent="0.3"/>
  <cols>
    <col min="1" max="1" width="7.77734375" bestFit="1" customWidth="1"/>
    <col min="2" max="2" width="6" bestFit="1" customWidth="1"/>
    <col min="3" max="3" width="21" customWidth="1"/>
    <col min="4" max="4" width="147.109375" bestFit="1" customWidth="1"/>
    <col min="5" max="5" width="7" bestFit="1" customWidth="1"/>
    <col min="6" max="6" width="24.6640625" bestFit="1" customWidth="1"/>
    <col min="7" max="7" width="194.44140625" bestFit="1" customWidth="1"/>
  </cols>
  <sheetData>
    <row r="1" spans="1:7" s="62" customFormat="1" x14ac:dyDescent="0.3">
      <c r="A1" s="62" t="s">
        <v>173</v>
      </c>
      <c r="B1" s="62" t="s">
        <v>1096</v>
      </c>
      <c r="C1" s="62" t="s">
        <v>1093</v>
      </c>
    </row>
    <row r="2" spans="1:7" ht="15" thickBot="1" x14ac:dyDescent="0.35">
      <c r="A2" s="64" t="str">
        <f ca="1">HYPERLINK(CONCATENATE("https://bugzilla.houston.hpecorp.net:1181/bugzilla/show_bug.cgi?id=",MID(INDIRECT("d"&amp;ROW()),9,5)),MID(INDIRECT("d"&amp;ROW()),9,5))</f>
        <v>67205</v>
      </c>
      <c r="B2" s="42">
        <v>75649</v>
      </c>
      <c r="C2" s="62" t="s">
        <v>1016</v>
      </c>
      <c r="D2" s="62" t="s">
        <v>1070</v>
      </c>
      <c r="E2" s="62" t="s">
        <v>652</v>
      </c>
      <c r="F2" s="62"/>
      <c r="G2" s="62"/>
    </row>
    <row r="3" spans="1:7" ht="15" thickBot="1" x14ac:dyDescent="0.35">
      <c r="A3" s="64" t="str">
        <f ca="1">HYPERLINK(CONCATENATE("https://bugzilla.houston.hpecorp.net:1181/bugzilla/show_bug.cgi?id=",MID(INDIRECT("d"&amp;ROW()),9,5)),MID(INDIRECT("d"&amp;ROW()),9,5))</f>
        <v>82058</v>
      </c>
      <c r="B3" s="42">
        <v>82063</v>
      </c>
      <c r="C3" s="62" t="s">
        <v>1017</v>
      </c>
      <c r="D3" s="62" t="s">
        <v>1087</v>
      </c>
      <c r="E3" s="62" t="s">
        <v>652</v>
      </c>
      <c r="F3" s="62"/>
      <c r="G3" s="62"/>
    </row>
    <row r="4" spans="1:7" ht="15" thickBot="1" x14ac:dyDescent="0.35">
      <c r="A4" s="64" t="str">
        <f t="shared" ref="A4:A32" ca="1" si="0">HYPERLINK(CONCATENATE("https://bugzilla.houston.hpecorp.net:1181/bugzilla/show_bug.cgi?id=",MID(INDIRECT("d"&amp;ROW()),9,5)),MID(INDIRECT("d"&amp;ROW()),9,5))</f>
        <v/>
      </c>
      <c r="D4" s="19"/>
      <c r="E4" s="62"/>
      <c r="F4" s="62"/>
      <c r="G4" s="62"/>
    </row>
    <row r="5" spans="1:7" ht="15" thickBot="1" x14ac:dyDescent="0.35">
      <c r="A5" s="64" t="str">
        <f t="shared" ca="1" si="0"/>
        <v/>
      </c>
      <c r="C5" t="s">
        <v>1094</v>
      </c>
    </row>
    <row r="6" spans="1:7" ht="15" thickBot="1" x14ac:dyDescent="0.35">
      <c r="A6" s="64" t="str">
        <f t="shared" ca="1" si="0"/>
        <v>72432</v>
      </c>
      <c r="B6" s="42">
        <v>72448</v>
      </c>
      <c r="C6" s="62" t="s">
        <v>581</v>
      </c>
      <c r="D6" s="62" t="s">
        <v>1081</v>
      </c>
    </row>
    <row r="7" spans="1:7" s="62" customFormat="1" ht="15" thickBot="1" x14ac:dyDescent="0.35">
      <c r="A7" s="64" t="str">
        <f t="shared" ca="1" si="0"/>
        <v>78873</v>
      </c>
      <c r="B7" s="42">
        <v>78885</v>
      </c>
      <c r="C7" s="62" t="s">
        <v>1077</v>
      </c>
      <c r="D7" s="62" t="s">
        <v>1021</v>
      </c>
    </row>
    <row r="8" spans="1:7" ht="15" thickBot="1" x14ac:dyDescent="0.35">
      <c r="A8" s="64" t="str">
        <f t="shared" ca="1" si="0"/>
        <v>82156</v>
      </c>
      <c r="B8" s="42">
        <v>82177</v>
      </c>
      <c r="C8" s="62" t="s">
        <v>336</v>
      </c>
      <c r="D8" s="62" t="s">
        <v>1090</v>
      </c>
      <c r="E8" s="62"/>
      <c r="F8" s="62"/>
      <c r="G8" s="62"/>
    </row>
    <row r="9" spans="1:7" ht="15" thickBot="1" x14ac:dyDescent="0.35">
      <c r="A9" s="64" t="str">
        <f t="shared" ca="1" si="0"/>
        <v/>
      </c>
      <c r="D9" s="19"/>
      <c r="E9" s="62"/>
      <c r="F9" s="62"/>
      <c r="G9" s="62"/>
    </row>
    <row r="10" spans="1:7" ht="15" thickBot="1" x14ac:dyDescent="0.35">
      <c r="A10" s="64" t="str">
        <f t="shared" ca="1" si="0"/>
        <v/>
      </c>
      <c r="C10" t="s">
        <v>105</v>
      </c>
      <c r="D10" s="19"/>
      <c r="E10" s="62"/>
      <c r="F10" s="62"/>
      <c r="G10" s="62"/>
    </row>
    <row r="11" spans="1:7" ht="15" thickBot="1" x14ac:dyDescent="0.35">
      <c r="A11" s="64" t="str">
        <f t="shared" ca="1" si="0"/>
        <v>70134</v>
      </c>
      <c r="B11" s="42">
        <v>70174</v>
      </c>
      <c r="C11" s="62" t="s">
        <v>338</v>
      </c>
      <c r="D11" s="62" t="s">
        <v>653</v>
      </c>
    </row>
    <row r="12" spans="1:7" s="62" customFormat="1" ht="15" thickBot="1" x14ac:dyDescent="0.35">
      <c r="A12" s="64" t="str">
        <f t="shared" ca="1" si="0"/>
        <v>77746</v>
      </c>
      <c r="B12" s="42">
        <v>78171</v>
      </c>
      <c r="C12" s="62" t="s">
        <v>995</v>
      </c>
      <c r="D12" s="62" t="s">
        <v>1001</v>
      </c>
    </row>
    <row r="13" spans="1:7" ht="15" thickBot="1" x14ac:dyDescent="0.35">
      <c r="A13" s="64" t="str">
        <f t="shared" ca="1" si="0"/>
        <v>78684</v>
      </c>
      <c r="B13" s="42">
        <v>78685</v>
      </c>
      <c r="C13" s="62" t="s">
        <v>995</v>
      </c>
      <c r="D13" s="62" t="s">
        <v>1008</v>
      </c>
      <c r="E13" s="62"/>
      <c r="F13" s="62"/>
      <c r="G13" s="62"/>
    </row>
    <row r="14" spans="1:7" ht="15" thickBot="1" x14ac:dyDescent="0.35">
      <c r="A14" s="64" t="str">
        <f t="shared" ca="1" si="0"/>
        <v>80212</v>
      </c>
      <c r="B14" s="42">
        <v>80230</v>
      </c>
      <c r="C14" s="62" t="s">
        <v>695</v>
      </c>
      <c r="D14" s="62" t="s">
        <v>1067</v>
      </c>
      <c r="E14" s="62"/>
      <c r="F14" s="62"/>
      <c r="G14" s="62"/>
    </row>
    <row r="15" spans="1:7" ht="15" thickBot="1" x14ac:dyDescent="0.35">
      <c r="A15" s="64" t="str">
        <f t="shared" ca="1" si="0"/>
        <v>81158</v>
      </c>
      <c r="B15" s="42">
        <v>81181</v>
      </c>
      <c r="C15" s="62" t="s">
        <v>335</v>
      </c>
      <c r="D15" s="62" t="s">
        <v>1076</v>
      </c>
      <c r="E15" s="62"/>
      <c r="F15" s="62"/>
      <c r="G15" s="62"/>
    </row>
    <row r="16" spans="1:7" ht="15" thickBot="1" x14ac:dyDescent="0.35">
      <c r="A16" s="64" t="str">
        <f t="shared" ca="1" si="0"/>
        <v>81404</v>
      </c>
      <c r="B16" s="42">
        <v>81413</v>
      </c>
      <c r="C16" s="62" t="s">
        <v>1058</v>
      </c>
      <c r="D16" s="62" t="s">
        <v>1078</v>
      </c>
      <c r="E16" s="62"/>
      <c r="F16" s="62"/>
      <c r="G16" s="62"/>
    </row>
    <row r="17" spans="1:7" ht="15" thickBot="1" x14ac:dyDescent="0.35">
      <c r="A17" s="64" t="str">
        <f t="shared" ca="1" si="0"/>
        <v>81731</v>
      </c>
      <c r="B17" s="42">
        <v>81782</v>
      </c>
      <c r="C17" s="62" t="s">
        <v>564</v>
      </c>
      <c r="D17" s="62" t="s">
        <v>1080</v>
      </c>
    </row>
    <row r="18" spans="1:7" s="62" customFormat="1" ht="15" thickBot="1" x14ac:dyDescent="0.35">
      <c r="A18" s="64" t="str">
        <f t="shared" ca="1" si="0"/>
        <v>82066</v>
      </c>
      <c r="B18" s="42">
        <v>82086</v>
      </c>
      <c r="C18" s="62" t="s">
        <v>1083</v>
      </c>
      <c r="D18" s="62" t="s">
        <v>1088</v>
      </c>
    </row>
    <row r="19" spans="1:7" ht="15" thickBot="1" x14ac:dyDescent="0.35">
      <c r="A19" s="64" t="str">
        <f t="shared" ca="1" si="0"/>
        <v>82301</v>
      </c>
      <c r="B19" s="42">
        <v>82313</v>
      </c>
      <c r="C19" s="62" t="s">
        <v>1057</v>
      </c>
      <c r="D19" s="62" t="s">
        <v>1092</v>
      </c>
      <c r="E19" s="62"/>
      <c r="F19" s="62"/>
      <c r="G19" s="62"/>
    </row>
    <row r="20" spans="1:7" ht="15" thickBot="1" x14ac:dyDescent="0.35">
      <c r="A20" s="64" t="str">
        <f t="shared" ca="1" si="0"/>
        <v/>
      </c>
      <c r="D20" s="19"/>
      <c r="E20" s="62"/>
      <c r="F20" s="62"/>
      <c r="G20" s="62"/>
    </row>
    <row r="21" spans="1:7" ht="15" thickBot="1" x14ac:dyDescent="0.35">
      <c r="A21" s="64" t="str">
        <f t="shared" ca="1" si="0"/>
        <v/>
      </c>
      <c r="C21" t="s">
        <v>1095</v>
      </c>
    </row>
    <row r="22" spans="1:7" ht="15" thickBot="1" x14ac:dyDescent="0.35">
      <c r="A22" s="64" t="str">
        <f t="shared" ca="1" si="0"/>
        <v>80257</v>
      </c>
      <c r="B22" s="42">
        <v>80287</v>
      </c>
      <c r="C22" s="62" t="s">
        <v>1068</v>
      </c>
      <c r="D22" s="62" t="s">
        <v>1066</v>
      </c>
    </row>
    <row r="23" spans="1:7" ht="15" thickBot="1" x14ac:dyDescent="0.35">
      <c r="A23" s="64" t="str">
        <f t="shared" ca="1" si="0"/>
        <v>81922</v>
      </c>
      <c r="B23" s="42">
        <v>81959</v>
      </c>
      <c r="C23" s="62" t="s">
        <v>374</v>
      </c>
      <c r="D23" s="62" t="s">
        <v>1091</v>
      </c>
    </row>
    <row r="24" spans="1:7" ht="15" thickBot="1" x14ac:dyDescent="0.35">
      <c r="A24" s="64" t="str">
        <f t="shared" ca="1" si="0"/>
        <v>81920</v>
      </c>
      <c r="B24" s="42">
        <v>81961</v>
      </c>
      <c r="C24" s="62" t="s">
        <v>336</v>
      </c>
      <c r="D24" s="62" t="s">
        <v>1082</v>
      </c>
    </row>
    <row r="25" spans="1:7" ht="15" thickBot="1" x14ac:dyDescent="0.35">
      <c r="A25" s="64" t="str">
        <f t="shared" ca="1" si="0"/>
        <v/>
      </c>
    </row>
    <row r="26" spans="1:7" ht="15" thickBot="1" x14ac:dyDescent="0.35">
      <c r="A26" s="64" t="str">
        <f t="shared" ca="1" si="0"/>
        <v/>
      </c>
      <c r="C26" t="s">
        <v>106</v>
      </c>
    </row>
    <row r="27" spans="1:7" ht="15" thickBot="1" x14ac:dyDescent="0.35">
      <c r="A27" s="64" t="str">
        <f t="shared" ca="1" si="0"/>
        <v>76407</v>
      </c>
      <c r="B27" s="42">
        <v>76599</v>
      </c>
      <c r="C27" s="62" t="s">
        <v>695</v>
      </c>
      <c r="D27" s="62" t="s">
        <v>719</v>
      </c>
    </row>
    <row r="28" spans="1:7" ht="15" thickBot="1" x14ac:dyDescent="0.35">
      <c r="A28" s="64" t="str">
        <f t="shared" ca="1" si="0"/>
        <v>80175</v>
      </c>
      <c r="B28" s="42">
        <v>80598</v>
      </c>
      <c r="C28" s="62" t="s">
        <v>338</v>
      </c>
      <c r="D28" s="62" t="s">
        <v>1069</v>
      </c>
    </row>
    <row r="29" spans="1:7" ht="15" thickBot="1" x14ac:dyDescent="0.35">
      <c r="A29" s="64" t="str">
        <f t="shared" ca="1" si="0"/>
        <v>80273</v>
      </c>
      <c r="B29" s="42">
        <v>80684</v>
      </c>
      <c r="C29" s="62" t="s">
        <v>1057</v>
      </c>
      <c r="D29" s="62" t="s">
        <v>1071</v>
      </c>
    </row>
    <row r="30" spans="1:7" ht="15" thickBot="1" x14ac:dyDescent="0.35">
      <c r="A30" s="64" t="str">
        <f t="shared" ca="1" si="0"/>
        <v>80769</v>
      </c>
      <c r="B30" s="42">
        <v>80795</v>
      </c>
      <c r="C30" s="62" t="s">
        <v>335</v>
      </c>
      <c r="D30" s="62" t="s">
        <v>1072</v>
      </c>
    </row>
    <row r="31" spans="1:7" ht="15" thickBot="1" x14ac:dyDescent="0.35">
      <c r="A31" s="64" t="str">
        <f t="shared" ca="1" si="0"/>
        <v>80892</v>
      </c>
      <c r="B31" s="42">
        <v>80895</v>
      </c>
      <c r="C31" s="62" t="s">
        <v>1017</v>
      </c>
      <c r="D31" s="62" t="s">
        <v>1073</v>
      </c>
    </row>
    <row r="32" spans="1:7" ht="15" thickBot="1" x14ac:dyDescent="0.35">
      <c r="A32" s="64" t="str">
        <f t="shared" ca="1" si="0"/>
        <v>82164</v>
      </c>
      <c r="B32" s="42">
        <v>82175</v>
      </c>
      <c r="C32" s="62" t="s">
        <v>581</v>
      </c>
      <c r="D32" s="62" t="s">
        <v>1089</v>
      </c>
    </row>
    <row r="35" spans="2:2" x14ac:dyDescent="0.3">
      <c r="B35">
        <f>SUBTOTAL(3,B2:B33)</f>
        <v>23</v>
      </c>
    </row>
  </sheetData>
  <conditionalFormatting sqref="B2:B3">
    <cfRule type="expression" dxfId="146" priority="25">
      <formula>IF(FIND("Denied",U2),1,0)</formula>
    </cfRule>
    <cfRule type="expression" dxfId="145" priority="26">
      <formula>IF(FIND("Director",U2,11),1,0)</formula>
    </cfRule>
    <cfRule type="expression" dxfId="144" priority="27">
      <formula>IF(FIND("Approve",U2),1,0)</formula>
    </cfRule>
    <cfRule type="expression" dxfId="143" priority="28">
      <formula>IF(FIND("Request",U2),1,0)</formula>
    </cfRule>
    <cfRule type="expression" dxfId="142" priority="29">
      <formula>IF(FIND("Requested",AD2),1,0)</formula>
    </cfRule>
    <cfRule type="expression" dxfId="141" priority="30">
      <formula>IF(U2="---",IF(Y2="---",1,0),0)</formula>
    </cfRule>
  </conditionalFormatting>
  <conditionalFormatting sqref="B6:B8">
    <cfRule type="expression" dxfId="140" priority="19">
      <formula>IF(FIND("Denied",U6),1,0)</formula>
    </cfRule>
    <cfRule type="expression" dxfId="139" priority="20">
      <formula>IF(FIND("Director",U6,11),1,0)</formula>
    </cfRule>
    <cfRule type="expression" dxfId="138" priority="21">
      <formula>IF(FIND("Approve",U6),1,0)</formula>
    </cfRule>
    <cfRule type="expression" dxfId="137" priority="22">
      <formula>IF(FIND("Request",U6),1,0)</formula>
    </cfRule>
    <cfRule type="expression" dxfId="136" priority="23">
      <formula>IF(FIND("Requested",AD6),1,0)</formula>
    </cfRule>
    <cfRule type="expression" dxfId="135" priority="24">
      <formula>IF(U6="---",IF(Y6="---",1,0),0)</formula>
    </cfRule>
  </conditionalFormatting>
  <conditionalFormatting sqref="B11:B19">
    <cfRule type="expression" dxfId="134" priority="13">
      <formula>IF(FIND("Denied",U11),1,0)</formula>
    </cfRule>
    <cfRule type="expression" dxfId="133" priority="14">
      <formula>IF(FIND("Director",U11,11),1,0)</formula>
    </cfRule>
    <cfRule type="expression" dxfId="132" priority="15">
      <formula>IF(FIND("Approve",U11),1,0)</formula>
    </cfRule>
    <cfRule type="expression" dxfId="131" priority="16">
      <formula>IF(FIND("Request",U11),1,0)</formula>
    </cfRule>
    <cfRule type="expression" dxfId="130" priority="17">
      <formula>IF(FIND("Requested",AD11),1,0)</formula>
    </cfRule>
    <cfRule type="expression" dxfId="129" priority="18">
      <formula>IF(U11="---",IF(Y11="---",1,0),0)</formula>
    </cfRule>
  </conditionalFormatting>
  <conditionalFormatting sqref="B22:B24">
    <cfRule type="expression" dxfId="128" priority="7">
      <formula>IF(FIND("Denied",U22),1,0)</formula>
    </cfRule>
    <cfRule type="expression" dxfId="127" priority="8">
      <formula>IF(FIND("Director",U22,11),1,0)</formula>
    </cfRule>
    <cfRule type="expression" dxfId="126" priority="9">
      <formula>IF(FIND("Approve",U22),1,0)</formula>
    </cfRule>
    <cfRule type="expression" dxfId="125" priority="10">
      <formula>IF(FIND("Request",U22),1,0)</formula>
    </cfRule>
    <cfRule type="expression" dxfId="124" priority="11">
      <formula>IF(FIND("Requested",AD22),1,0)</formula>
    </cfRule>
    <cfRule type="expression" dxfId="123" priority="12">
      <formula>IF(U22="---",IF(Y22="---",1,0),0)</formula>
    </cfRule>
  </conditionalFormatting>
  <conditionalFormatting sqref="B27:B32">
    <cfRule type="expression" dxfId="122" priority="1">
      <formula>IF(FIND("Denied",U27),1,0)</formula>
    </cfRule>
    <cfRule type="expression" dxfId="121" priority="2">
      <formula>IF(FIND("Director",U27,11),1,0)</formula>
    </cfRule>
    <cfRule type="expression" dxfId="120" priority="3">
      <formula>IF(FIND("Approve",U27),1,0)</formula>
    </cfRule>
    <cfRule type="expression" dxfId="119" priority="4">
      <formula>IF(FIND("Request",U27),1,0)</formula>
    </cfRule>
    <cfRule type="expression" dxfId="118" priority="5">
      <formula>IF(FIND("Requested",AD27),1,0)</formula>
    </cfRule>
    <cfRule type="expression" dxfId="117" priority="6">
      <formula>IF(U27="---",IF(Y27="---",1,0),0)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9" id="{C0BD5804-CD4C-4951-9FF0-77058A83CE45}">
            <xm:f>IF(FIND("Denied",extractMaster!X2),1,0)</xm:f>
            <x14:dxf>
              <fill>
                <patternFill>
                  <bgColor rgb="FFFFFF00"/>
                </patternFill>
              </fill>
            </x14:dxf>
          </x14:cfRule>
          <x14:cfRule type="expression" priority="50" id="{252A483A-652B-4359-BCF2-E31DED5A64B3}">
            <xm:f>IF(FIND("Director",extractMaster!X2,11),1,0)</xm:f>
            <x14:dxf>
              <fill>
                <patternFill>
                  <bgColor rgb="FF66F725"/>
                </patternFill>
              </fill>
            </x14:dxf>
          </x14:cfRule>
          <x14:cfRule type="expression" priority="51" id="{02185D5A-7D51-4F29-9B69-8C6947F420F5}">
            <xm:f>IF(FIND("Approve",extractMaster!X2),1,0)</xm:f>
            <x14:dxf>
              <fill>
                <patternFill>
                  <bgColor rgb="FF00B050"/>
                </patternFill>
              </fill>
            </x14:dxf>
          </x14:cfRule>
          <x14:cfRule type="expression" priority="52" id="{267EE9E0-046A-4AA3-80D5-955195395CED}">
            <xm:f>IF(FIND("Request",extractMaster!X2),1,0)</xm:f>
            <x14:dxf>
              <fill>
                <patternFill>
                  <bgColor rgb="FF92D050"/>
                </patternFill>
              </fill>
            </x14:dxf>
          </x14:cfRule>
          <x14:cfRule type="expression" priority="53" id="{47AA50DC-0DA2-4402-8599-39869DCB4FD3}">
            <xm:f>IF(FIND("Requested",extractMaster!AG2),1,0)</xm:f>
            <x14:dxf>
              <fill>
                <patternFill>
                  <bgColor rgb="FF92D050"/>
                </patternFill>
              </fill>
            </x14:dxf>
          </x14:cfRule>
          <x14:cfRule type="expression" priority="54" id="{AC2C5F9B-73AB-4391-A15A-DFCE3AEE48C8}">
            <xm:f>IF(extractMaster!X2="---",IF(extractMaster!AB2="---",1,0),0)</xm:f>
            <x14:dxf>
              <fill>
                <patternFill>
                  <bgColor rgb="FFFF0000"/>
                </patternFill>
              </fill>
            </x14:dxf>
          </x14:cfRule>
          <xm:sqref>E14:E15 E4</xm:sqref>
        </x14:conditionalFormatting>
        <x14:conditionalFormatting xmlns:xm="http://schemas.microsoft.com/office/excel/2006/main">
          <x14:cfRule type="expression" priority="1022" id="{C0BD5804-CD4C-4951-9FF0-77058A83CE45}">
            <xm:f>IF(FIND("Denied",extractMaster!X9),1,0)</xm:f>
            <x14:dxf>
              <fill>
                <patternFill>
                  <bgColor rgb="FFFFFF00"/>
                </patternFill>
              </fill>
            </x14:dxf>
          </x14:cfRule>
          <x14:cfRule type="expression" priority="1023" id="{252A483A-652B-4359-BCF2-E31DED5A64B3}">
            <xm:f>IF(FIND("Director",extractMaster!X9,11),1,0)</xm:f>
            <x14:dxf>
              <fill>
                <patternFill>
                  <bgColor rgb="FF66F725"/>
                </patternFill>
              </fill>
            </x14:dxf>
          </x14:cfRule>
          <x14:cfRule type="expression" priority="1024" id="{02185D5A-7D51-4F29-9B69-8C6947F420F5}">
            <xm:f>IF(FIND("Approve",extractMaster!X9),1,0)</xm:f>
            <x14:dxf>
              <fill>
                <patternFill>
                  <bgColor rgb="FF00B050"/>
                </patternFill>
              </fill>
            </x14:dxf>
          </x14:cfRule>
          <x14:cfRule type="expression" priority="1025" id="{267EE9E0-046A-4AA3-80D5-955195395CED}">
            <xm:f>IF(FIND("Request",extractMaster!X9),1,0)</xm:f>
            <x14:dxf>
              <fill>
                <patternFill>
                  <bgColor rgb="FF92D050"/>
                </patternFill>
              </fill>
            </x14:dxf>
          </x14:cfRule>
          <x14:cfRule type="expression" priority="1026" id="{47AA50DC-0DA2-4402-8599-39869DCB4FD3}">
            <xm:f>IF(FIND("Requested",extractMaster!AG9),1,0)</xm:f>
            <x14:dxf>
              <fill>
                <patternFill>
                  <bgColor rgb="FF92D050"/>
                </patternFill>
              </fill>
            </x14:dxf>
          </x14:cfRule>
          <x14:cfRule type="expression" priority="1027" id="{AC2C5F9B-73AB-4391-A15A-DFCE3AEE48C8}">
            <xm:f>IF(extractMaster!X9="---",IF(extractMaster!AB9="---",1,0),0)</xm:f>
            <x14:dxf>
              <fill>
                <patternFill>
                  <bgColor rgb="FFFF0000"/>
                </patternFill>
              </fill>
            </x14:dxf>
          </x14:cfRule>
          <xm:sqref>E8 E13</xm:sqref>
        </x14:conditionalFormatting>
        <x14:conditionalFormatting xmlns:xm="http://schemas.microsoft.com/office/excel/2006/main">
          <x14:cfRule type="expression" priority="1058" id="{C0BD5804-CD4C-4951-9FF0-77058A83CE45}">
            <xm:f>IF(FIND("Denied",extractMaster!X7),1,0)</xm:f>
            <x14:dxf>
              <fill>
                <patternFill>
                  <bgColor rgb="FFFFFF00"/>
                </patternFill>
              </fill>
            </x14:dxf>
          </x14:cfRule>
          <x14:cfRule type="expression" priority="1059" id="{252A483A-652B-4359-BCF2-E31DED5A64B3}">
            <xm:f>IF(FIND("Director",extractMaster!X7,11),1,0)</xm:f>
            <x14:dxf>
              <fill>
                <patternFill>
                  <bgColor rgb="FF66F725"/>
                </patternFill>
              </fill>
            </x14:dxf>
          </x14:cfRule>
          <x14:cfRule type="expression" priority="1060" id="{02185D5A-7D51-4F29-9B69-8C6947F420F5}">
            <xm:f>IF(FIND("Approve",extractMaster!X7),1,0)</xm:f>
            <x14:dxf>
              <fill>
                <patternFill>
                  <bgColor rgb="FF00B050"/>
                </patternFill>
              </fill>
            </x14:dxf>
          </x14:cfRule>
          <x14:cfRule type="expression" priority="1061" id="{267EE9E0-046A-4AA3-80D5-955195395CED}">
            <xm:f>IF(FIND("Request",extractMaster!X7),1,0)</xm:f>
            <x14:dxf>
              <fill>
                <patternFill>
                  <bgColor rgb="FF92D050"/>
                </patternFill>
              </fill>
            </x14:dxf>
          </x14:cfRule>
          <x14:cfRule type="expression" priority="1062" id="{47AA50DC-0DA2-4402-8599-39869DCB4FD3}">
            <xm:f>IF(FIND("Requested",extractMaster!AG7),1,0)</xm:f>
            <x14:dxf>
              <fill>
                <patternFill>
                  <bgColor rgb="FF92D050"/>
                </patternFill>
              </fill>
            </x14:dxf>
          </x14:cfRule>
          <x14:cfRule type="expression" priority="1063" id="{AC2C5F9B-73AB-4391-A15A-DFCE3AEE48C8}">
            <xm:f>IF(extractMaster!X7="---",IF(extractMaster!AB7="---",1,0),0)</xm:f>
            <x14:dxf>
              <fill>
                <patternFill>
                  <bgColor rgb="FFFF0000"/>
                </patternFill>
              </fill>
            </x14:dxf>
          </x14:cfRule>
          <xm:sqref>E10 E19:E20</xm:sqref>
        </x14:conditionalFormatting>
        <x14:conditionalFormatting xmlns:xm="http://schemas.microsoft.com/office/excel/2006/main">
          <x14:cfRule type="expression" priority="1106" id="{AB2EA50B-51C1-403B-9240-2854FE5D5CAF}">
            <xm:f>IF(FIND("Denied",extractMaster!X11),1,0)</xm:f>
            <x14:dxf>
              <fill>
                <patternFill>
                  <bgColor rgb="FFFFFF00"/>
                </patternFill>
              </fill>
            </x14:dxf>
          </x14:cfRule>
          <x14:cfRule type="expression" priority="1107" id="{8B41BFD0-8A1D-4B73-9E10-3C36440FA812}">
            <xm:f>IF(FIND("Director",extractMaster!X11,11),1,0)</xm:f>
            <x14:dxf>
              <fill>
                <patternFill>
                  <bgColor rgb="FF66F725"/>
                </patternFill>
              </fill>
            </x14:dxf>
          </x14:cfRule>
          <x14:cfRule type="expression" priority="1108" id="{1E2DD1F6-2567-4B0E-BA63-7546688037F5}">
            <xm:f>IF(FIND("Approve",extractMaster!X11),1,0)</xm:f>
            <x14:dxf>
              <fill>
                <patternFill>
                  <bgColor rgb="FF00B050"/>
                </patternFill>
              </fill>
            </x14:dxf>
          </x14:cfRule>
          <x14:cfRule type="expression" priority="1109" id="{6E2FAB11-D85E-447D-8F4E-29CBC9B08BCF}">
            <xm:f>IF(FIND("Request",extractMaster!X11),1,0)</xm:f>
            <x14:dxf>
              <fill>
                <patternFill>
                  <bgColor rgb="FF92D050"/>
                </patternFill>
              </fill>
            </x14:dxf>
          </x14:cfRule>
          <x14:cfRule type="expression" priority="1110" id="{97E7E2DE-CC42-49BE-95F6-22B91CC4E7A8}">
            <xm:f>IF(FIND("Requested",extractMaster!AG11),1,0)</xm:f>
            <x14:dxf>
              <fill>
                <patternFill>
                  <bgColor rgb="FF92D050"/>
                </patternFill>
              </fill>
            </x14:dxf>
          </x14:cfRule>
          <x14:cfRule type="expression" priority="1111" id="{E851356C-7823-47BA-828E-46B1C9706B2A}">
            <xm:f>IF(extractMaster!X11="---",IF(extractMaster!AB11="---",1,0),0)</xm:f>
            <x14:dxf>
              <fill>
                <patternFill>
                  <bgColor rgb="FFFF0000"/>
                </patternFill>
              </fill>
            </x14:dxf>
          </x14:cfRule>
          <xm:sqref>E16</xm:sqref>
        </x14:conditionalFormatting>
        <x14:conditionalFormatting xmlns:xm="http://schemas.microsoft.com/office/excel/2006/main">
          <x14:cfRule type="expression" priority="1160" id="{C0BD5804-CD4C-4951-9FF0-77058A83CE45}">
            <xm:f>IF(FIND("Denied",extractMaster!X8),1,0)</xm:f>
            <x14:dxf>
              <fill>
                <patternFill>
                  <bgColor rgb="FFFFFF00"/>
                </patternFill>
              </fill>
            </x14:dxf>
          </x14:cfRule>
          <x14:cfRule type="expression" priority="1161" id="{252A483A-652B-4359-BCF2-E31DED5A64B3}">
            <xm:f>IF(FIND("Director",extractMaster!X8,11),1,0)</xm:f>
            <x14:dxf>
              <fill>
                <patternFill>
                  <bgColor rgb="FF66F725"/>
                </patternFill>
              </fill>
            </x14:dxf>
          </x14:cfRule>
          <x14:cfRule type="expression" priority="1162" id="{02185D5A-7D51-4F29-9B69-8C6947F420F5}">
            <xm:f>IF(FIND("Approve",extractMaster!X8),1,0)</xm:f>
            <x14:dxf>
              <fill>
                <patternFill>
                  <bgColor rgb="FF00B050"/>
                </patternFill>
              </fill>
            </x14:dxf>
          </x14:cfRule>
          <x14:cfRule type="expression" priority="1163" id="{267EE9E0-046A-4AA3-80D5-955195395CED}">
            <xm:f>IF(FIND("Request",extractMaster!X8),1,0)</xm:f>
            <x14:dxf>
              <fill>
                <patternFill>
                  <bgColor rgb="FF92D050"/>
                </patternFill>
              </fill>
            </x14:dxf>
          </x14:cfRule>
          <x14:cfRule type="expression" priority="1164" id="{47AA50DC-0DA2-4402-8599-39869DCB4FD3}">
            <xm:f>IF(FIND("Requested",extractMaster!AG8),1,0)</xm:f>
            <x14:dxf>
              <fill>
                <patternFill>
                  <bgColor rgb="FF92D050"/>
                </patternFill>
              </fill>
            </x14:dxf>
          </x14:cfRule>
          <x14:cfRule type="expression" priority="1165" id="{AC2C5F9B-73AB-4391-A15A-DFCE3AEE48C8}">
            <xm:f>IF(extractMaster!X8="---",IF(extractMaster!AB8="---",1,0),0)</xm:f>
            <x14:dxf>
              <fill>
                <patternFill>
                  <bgColor rgb="FFFF0000"/>
                </patternFill>
              </fill>
            </x14:dxf>
          </x14:cfRule>
          <xm:sqref>E9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100"/>
  <sheetViews>
    <sheetView topLeftCell="E25" zoomScale="70" zoomScaleNormal="70" workbookViewId="0">
      <selection activeCell="H51" sqref="H51"/>
    </sheetView>
  </sheetViews>
  <sheetFormatPr defaultColWidth="6.77734375" defaultRowHeight="14.4" x14ac:dyDescent="0.3"/>
  <cols>
    <col min="1" max="1" width="6.77734375" style="30" hidden="1" customWidth="1"/>
    <col min="2" max="2" width="41.88671875" style="57" hidden="1" customWidth="1"/>
    <col min="3" max="3" width="13.5546875" style="30" hidden="1" customWidth="1"/>
    <col min="4" max="4" width="5.88671875" style="30" hidden="1" customWidth="1"/>
    <col min="5" max="5" width="6.88671875" style="30" bestFit="1" customWidth="1"/>
    <col min="6" max="6" width="6.33203125" style="51" bestFit="1" customWidth="1"/>
    <col min="7" max="7" width="28.44140625" style="30" bestFit="1" customWidth="1"/>
    <col min="8" max="8" width="116.21875" style="30" customWidth="1"/>
    <col min="9" max="9" width="8" style="30" bestFit="1" customWidth="1"/>
    <col min="10" max="10" width="9" style="30" customWidth="1"/>
    <col min="11" max="11" width="33.44140625" style="30" bestFit="1" customWidth="1"/>
    <col min="12" max="12" width="25.6640625" style="30" bestFit="1" customWidth="1"/>
    <col min="13" max="13" width="14.6640625" style="30" bestFit="1" customWidth="1"/>
    <col min="14" max="14" width="10.109375" style="30" bestFit="1" customWidth="1"/>
    <col min="15" max="15" width="26.77734375" style="30" bestFit="1" customWidth="1"/>
    <col min="16" max="16" width="15.6640625" style="30" bestFit="1" customWidth="1"/>
    <col min="17" max="17" width="30.109375" style="30" bestFit="1" customWidth="1"/>
    <col min="18" max="18" width="11.77734375" style="30" bestFit="1" customWidth="1"/>
    <col min="19" max="19" width="29.5546875" style="30" bestFit="1" customWidth="1"/>
    <col min="20" max="20" width="18" style="30" bestFit="1" customWidth="1"/>
    <col min="21" max="21" width="11.21875" style="30" bestFit="1" customWidth="1"/>
    <col min="22" max="22" width="15.21875" style="30" bestFit="1" customWidth="1"/>
    <col min="23" max="23" width="23.77734375" style="30" bestFit="1" customWidth="1"/>
    <col min="24" max="24" width="8.77734375" style="30" bestFit="1" customWidth="1"/>
    <col min="25" max="25" width="19.5546875" style="30" bestFit="1" customWidth="1"/>
    <col min="26" max="26" width="7.33203125" style="30" bestFit="1" customWidth="1"/>
    <col min="27" max="27" width="22.6640625" style="30" bestFit="1" customWidth="1"/>
    <col min="28" max="28" width="13.44140625" style="30" bestFit="1" customWidth="1"/>
    <col min="29" max="29" width="11.21875" style="30" bestFit="1" customWidth="1"/>
    <col min="30" max="30" width="31.6640625" style="30" bestFit="1" customWidth="1"/>
    <col min="31" max="32" width="11.88671875" style="30" bestFit="1" customWidth="1"/>
    <col min="33" max="33" width="4.33203125" style="30" bestFit="1" customWidth="1"/>
    <col min="34" max="34" width="7.88671875" style="30" bestFit="1" customWidth="1"/>
    <col min="35" max="16384" width="6.77734375" style="30"/>
  </cols>
  <sheetData>
    <row r="1" spans="1:34" s="49" customFormat="1" x14ac:dyDescent="0.3">
      <c r="A1" s="30" t="s">
        <v>968</v>
      </c>
      <c r="B1" s="56" t="s">
        <v>967</v>
      </c>
      <c r="C1" s="49" t="s">
        <v>0</v>
      </c>
      <c r="D1" s="49" t="s">
        <v>1</v>
      </c>
      <c r="E1" s="49" t="s">
        <v>173</v>
      </c>
      <c r="F1" s="47" t="s">
        <v>145</v>
      </c>
      <c r="G1" s="47" t="s">
        <v>57</v>
      </c>
      <c r="H1" s="47" t="s">
        <v>58</v>
      </c>
      <c r="I1" s="47" t="s">
        <v>59</v>
      </c>
      <c r="J1" s="47" t="s">
        <v>60</v>
      </c>
      <c r="K1" s="47" t="s">
        <v>61</v>
      </c>
      <c r="L1" s="47" t="s">
        <v>62</v>
      </c>
      <c r="M1" s="47" t="s">
        <v>63</v>
      </c>
      <c r="N1" s="47" t="s">
        <v>64</v>
      </c>
      <c r="O1" s="47" t="s">
        <v>65</v>
      </c>
      <c r="P1" s="47" t="s">
        <v>66</v>
      </c>
      <c r="Q1" s="47" t="s">
        <v>67</v>
      </c>
      <c r="R1" s="47" t="s">
        <v>68</v>
      </c>
      <c r="S1" s="47" t="s">
        <v>69</v>
      </c>
      <c r="T1" s="47" t="s">
        <v>70</v>
      </c>
      <c r="U1" s="47" t="s">
        <v>71</v>
      </c>
      <c r="V1" s="47" t="s">
        <v>72</v>
      </c>
      <c r="W1" s="47" t="s">
        <v>73</v>
      </c>
      <c r="X1" s="47" t="s">
        <v>74</v>
      </c>
      <c r="Y1" s="47" t="s">
        <v>75</v>
      </c>
      <c r="Z1" s="47" t="s">
        <v>76</v>
      </c>
      <c r="AA1" s="47" t="s">
        <v>77</v>
      </c>
      <c r="AB1" s="47" t="s">
        <v>78</v>
      </c>
      <c r="AC1" s="47" t="s">
        <v>79</v>
      </c>
      <c r="AD1" s="47" t="s">
        <v>615</v>
      </c>
      <c r="AE1" s="47" t="s">
        <v>308</v>
      </c>
      <c r="AF1" s="47" t="s">
        <v>307</v>
      </c>
      <c r="AG1" s="47" t="s">
        <v>621</v>
      </c>
      <c r="AH1" s="47" t="s">
        <v>622</v>
      </c>
    </row>
    <row r="2" spans="1:34" x14ac:dyDescent="0.3">
      <c r="C2" s="30">
        <v>5</v>
      </c>
      <c r="D2" s="30">
        <v>10</v>
      </c>
      <c r="E2" s="50" t="str">
        <f t="shared" ref="E2:E33" ca="1" si="0">HYPERLINK(CONCATENATE("https://bugzilla.houston.hpecorp.net:1181/bugzilla/show_bug.cgi?id=",MID(INDIRECT($A$100&amp;ROW()),9,5)),MID(INDIRECT($A$100&amp;ROW()),9,5))</f>
        <v>62843</v>
      </c>
      <c r="F2" s="42">
        <v>62850</v>
      </c>
      <c r="G2" s="47" t="s">
        <v>338</v>
      </c>
      <c r="H2" s="47" t="s">
        <v>648</v>
      </c>
      <c r="I2" s="47" t="s">
        <v>11</v>
      </c>
      <c r="J2" s="47" t="s">
        <v>569</v>
      </c>
      <c r="K2" s="47" t="s">
        <v>81</v>
      </c>
      <c r="L2" s="47"/>
      <c r="M2" s="48">
        <v>42444.475868055553</v>
      </c>
      <c r="N2" s="47" t="s">
        <v>159</v>
      </c>
      <c r="O2" s="47" t="s">
        <v>80</v>
      </c>
      <c r="P2" s="48">
        <v>42146.516840277778</v>
      </c>
      <c r="Q2" s="47" t="s">
        <v>718</v>
      </c>
      <c r="R2" s="47"/>
      <c r="S2" s="47" t="s">
        <v>347</v>
      </c>
      <c r="T2" s="47" t="s">
        <v>12</v>
      </c>
      <c r="U2" s="47" t="s">
        <v>30</v>
      </c>
      <c r="V2" s="47" t="s">
        <v>8</v>
      </c>
      <c r="W2" s="47" t="s">
        <v>216</v>
      </c>
      <c r="X2" s="47"/>
      <c r="Y2" s="47" t="s">
        <v>7</v>
      </c>
      <c r="Z2" s="47" t="s">
        <v>10</v>
      </c>
      <c r="AA2" s="47" t="s">
        <v>7</v>
      </c>
      <c r="AB2" s="47" t="s">
        <v>82</v>
      </c>
      <c r="AC2" s="47" t="s">
        <v>7</v>
      </c>
      <c r="AD2" s="47" t="s">
        <v>7</v>
      </c>
      <c r="AE2" s="47" t="s">
        <v>7</v>
      </c>
      <c r="AF2" s="47" t="s">
        <v>7</v>
      </c>
      <c r="AG2" s="47" t="s">
        <v>7</v>
      </c>
      <c r="AH2" s="47" t="s">
        <v>623</v>
      </c>
    </row>
    <row r="3" spans="1:34" x14ac:dyDescent="0.3">
      <c r="A3" s="30" t="s">
        <v>1012</v>
      </c>
      <c r="B3" s="53"/>
      <c r="C3" s="30">
        <v>5</v>
      </c>
      <c r="D3" s="30">
        <v>18</v>
      </c>
      <c r="E3" s="50" t="str">
        <f t="shared" ca="1" si="0"/>
        <v>66612</v>
      </c>
      <c r="F3" s="42">
        <v>66618</v>
      </c>
      <c r="G3" s="47" t="s">
        <v>995</v>
      </c>
      <c r="H3" s="47" t="s">
        <v>649</v>
      </c>
      <c r="I3" s="47" t="s">
        <v>2</v>
      </c>
      <c r="J3" s="47" t="s">
        <v>569</v>
      </c>
      <c r="K3" s="47" t="s">
        <v>81</v>
      </c>
      <c r="L3" s="47"/>
      <c r="M3" s="48">
        <v>42458.022187499999</v>
      </c>
      <c r="N3" s="47" t="s">
        <v>20</v>
      </c>
      <c r="O3" s="47" t="s">
        <v>569</v>
      </c>
      <c r="P3" s="48">
        <v>42221.380497685182</v>
      </c>
      <c r="Q3" s="47" t="s">
        <v>84</v>
      </c>
      <c r="R3" s="47"/>
      <c r="S3" s="47" t="s">
        <v>717</v>
      </c>
      <c r="T3" s="47" t="s">
        <v>17</v>
      </c>
      <c r="U3" s="47" t="s">
        <v>30</v>
      </c>
      <c r="V3" s="47" t="s">
        <v>13</v>
      </c>
      <c r="W3" s="47" t="s">
        <v>19</v>
      </c>
      <c r="X3" s="47"/>
      <c r="Y3" s="47" t="s">
        <v>7</v>
      </c>
      <c r="Z3" s="47" t="s">
        <v>10</v>
      </c>
      <c r="AA3" s="47" t="s">
        <v>7</v>
      </c>
      <c r="AB3" s="47" t="s">
        <v>82</v>
      </c>
      <c r="AC3" s="47" t="s">
        <v>7</v>
      </c>
      <c r="AD3" s="47" t="s">
        <v>7</v>
      </c>
      <c r="AE3" s="47" t="s">
        <v>7</v>
      </c>
      <c r="AF3" s="47" t="s">
        <v>7</v>
      </c>
      <c r="AG3" s="47" t="s">
        <v>7</v>
      </c>
      <c r="AH3" s="47" t="s">
        <v>7</v>
      </c>
    </row>
    <row r="4" spans="1:34" x14ac:dyDescent="0.3">
      <c r="A4" s="30" t="s">
        <v>1010</v>
      </c>
      <c r="B4" s="52"/>
      <c r="C4" s="30">
        <v>11</v>
      </c>
      <c r="D4" s="30">
        <v>18</v>
      </c>
      <c r="E4" s="50" t="str">
        <f t="shared" ca="1" si="0"/>
        <v>67882</v>
      </c>
      <c r="F4" s="42">
        <v>68614</v>
      </c>
      <c r="G4" s="47" t="s">
        <v>343</v>
      </c>
      <c r="H4" s="47" t="s">
        <v>669</v>
      </c>
      <c r="I4" s="47" t="s">
        <v>11</v>
      </c>
      <c r="J4" s="47" t="s">
        <v>569</v>
      </c>
      <c r="K4" s="47" t="s">
        <v>81</v>
      </c>
      <c r="L4" s="47"/>
      <c r="M4" s="48">
        <v>42444.201597222222</v>
      </c>
      <c r="N4" s="47" t="s">
        <v>20</v>
      </c>
      <c r="O4" s="47" t="s">
        <v>80</v>
      </c>
      <c r="P4" s="48">
        <v>42251.397013888891</v>
      </c>
      <c r="Q4" s="47" t="s">
        <v>56</v>
      </c>
      <c r="R4" s="47"/>
      <c r="S4" s="47" t="s">
        <v>975</v>
      </c>
      <c r="T4" s="47" t="s">
        <v>17</v>
      </c>
      <c r="U4" s="47" t="s">
        <v>30</v>
      </c>
      <c r="V4" s="47" t="s">
        <v>24</v>
      </c>
      <c r="W4" s="47" t="s">
        <v>46</v>
      </c>
      <c r="X4" s="47"/>
      <c r="Y4" s="47" t="s">
        <v>7</v>
      </c>
      <c r="Z4" s="47" t="s">
        <v>10</v>
      </c>
      <c r="AA4" s="47" t="s">
        <v>7</v>
      </c>
      <c r="AB4" s="47" t="s">
        <v>82</v>
      </c>
      <c r="AC4" s="47" t="s">
        <v>7</v>
      </c>
      <c r="AD4" s="47" t="s">
        <v>7</v>
      </c>
      <c r="AE4" s="47" t="s">
        <v>7</v>
      </c>
      <c r="AF4" s="47" t="s">
        <v>7</v>
      </c>
      <c r="AG4" s="47" t="s">
        <v>7</v>
      </c>
      <c r="AH4" s="47" t="s">
        <v>7</v>
      </c>
    </row>
    <row r="5" spans="1:34" x14ac:dyDescent="0.3">
      <c r="A5" s="51"/>
      <c r="B5" s="53"/>
      <c r="C5" s="30">
        <v>11</v>
      </c>
      <c r="D5" s="30">
        <v>19</v>
      </c>
      <c r="E5" s="50" t="str">
        <f t="shared" ca="1" si="0"/>
        <v>69107</v>
      </c>
      <c r="F5" s="42">
        <v>69120</v>
      </c>
      <c r="G5" s="47" t="s">
        <v>1025</v>
      </c>
      <c r="H5" s="47" t="s">
        <v>651</v>
      </c>
      <c r="I5" s="47" t="s">
        <v>2</v>
      </c>
      <c r="J5" s="47" t="s">
        <v>569</v>
      </c>
      <c r="K5" s="47" t="s">
        <v>81</v>
      </c>
      <c r="L5" s="47"/>
      <c r="M5" s="48">
        <v>42450.395219907405</v>
      </c>
      <c r="N5" s="47" t="s">
        <v>20</v>
      </c>
      <c r="O5" s="47" t="s">
        <v>569</v>
      </c>
      <c r="P5" s="48">
        <v>42263.02138888889</v>
      </c>
      <c r="Q5" s="47" t="s">
        <v>116</v>
      </c>
      <c r="R5" s="47"/>
      <c r="S5" s="47" t="s">
        <v>717</v>
      </c>
      <c r="T5" s="47" t="s">
        <v>17</v>
      </c>
      <c r="U5" s="47" t="s">
        <v>30</v>
      </c>
      <c r="V5" s="47" t="s">
        <v>24</v>
      </c>
      <c r="W5" s="47" t="s">
        <v>31</v>
      </c>
      <c r="X5" s="47"/>
      <c r="Y5" s="47" t="s">
        <v>7</v>
      </c>
      <c r="Z5" s="47" t="s">
        <v>10</v>
      </c>
      <c r="AA5" s="47" t="s">
        <v>7</v>
      </c>
      <c r="AB5" s="47" t="s">
        <v>82</v>
      </c>
      <c r="AC5" s="47" t="s">
        <v>7</v>
      </c>
      <c r="AD5" s="47" t="s">
        <v>7</v>
      </c>
      <c r="AE5" s="47" t="s">
        <v>7</v>
      </c>
      <c r="AF5" s="47" t="s">
        <v>7</v>
      </c>
      <c r="AG5" s="47" t="s">
        <v>7</v>
      </c>
      <c r="AH5" s="47" t="s">
        <v>7</v>
      </c>
    </row>
    <row r="6" spans="1:34" x14ac:dyDescent="0.3">
      <c r="A6" s="51" t="s">
        <v>1011</v>
      </c>
      <c r="B6" s="60"/>
      <c r="C6" s="30">
        <v>10</v>
      </c>
      <c r="D6" s="30">
        <v>19</v>
      </c>
      <c r="E6" s="50" t="str">
        <f t="shared" ca="1" si="0"/>
        <v>68981</v>
      </c>
      <c r="F6" s="42">
        <v>69179</v>
      </c>
      <c r="G6" s="47" t="s">
        <v>972</v>
      </c>
      <c r="H6" s="47" t="s">
        <v>973</v>
      </c>
      <c r="I6" s="47" t="s">
        <v>2</v>
      </c>
      <c r="J6" s="47" t="s">
        <v>569</v>
      </c>
      <c r="K6" s="47" t="s">
        <v>81</v>
      </c>
      <c r="L6" s="47" t="s">
        <v>380</v>
      </c>
      <c r="M6" s="48">
        <v>42440.88144675926</v>
      </c>
      <c r="N6" s="47" t="s">
        <v>4</v>
      </c>
      <c r="O6" s="47" t="s">
        <v>48</v>
      </c>
      <c r="P6" s="48">
        <v>42263.489675925928</v>
      </c>
      <c r="Q6" s="47" t="s">
        <v>116</v>
      </c>
      <c r="R6" s="47"/>
      <c r="S6" s="47" t="s">
        <v>974</v>
      </c>
      <c r="T6" s="47" t="s">
        <v>17</v>
      </c>
      <c r="U6" s="47" t="s">
        <v>30</v>
      </c>
      <c r="V6" s="47" t="s">
        <v>24</v>
      </c>
      <c r="W6" s="47" t="s">
        <v>31</v>
      </c>
      <c r="X6" s="47"/>
      <c r="Y6" s="47" t="s">
        <v>7</v>
      </c>
      <c r="Z6" s="47" t="s">
        <v>10</v>
      </c>
      <c r="AA6" s="47" t="s">
        <v>7</v>
      </c>
      <c r="AB6" s="47" t="s">
        <v>82</v>
      </c>
      <c r="AC6" s="47" t="s">
        <v>7</v>
      </c>
      <c r="AD6" s="47" t="s">
        <v>7</v>
      </c>
      <c r="AE6" s="47" t="s">
        <v>7</v>
      </c>
      <c r="AF6" s="47" t="s">
        <v>309</v>
      </c>
      <c r="AG6" s="47" t="s">
        <v>7</v>
      </c>
      <c r="AH6" s="47" t="s">
        <v>7</v>
      </c>
    </row>
    <row r="7" spans="1:34" x14ac:dyDescent="0.3">
      <c r="C7" s="30">
        <v>11</v>
      </c>
      <c r="D7" s="30">
        <v>12</v>
      </c>
      <c r="E7" s="50" t="str">
        <f t="shared" ca="1" si="0"/>
        <v>70134</v>
      </c>
      <c r="F7" s="42">
        <v>70174</v>
      </c>
      <c r="G7" s="47" t="s">
        <v>338</v>
      </c>
      <c r="H7" s="47" t="s">
        <v>653</v>
      </c>
      <c r="I7" s="47" t="s">
        <v>2</v>
      </c>
      <c r="J7" s="47" t="s">
        <v>569</v>
      </c>
      <c r="K7" s="47" t="s">
        <v>81</v>
      </c>
      <c r="L7" s="47"/>
      <c r="M7" s="48">
        <v>42444.688368055555</v>
      </c>
      <c r="N7" s="47" t="s">
        <v>20</v>
      </c>
      <c r="O7" s="47" t="s">
        <v>569</v>
      </c>
      <c r="P7" s="48">
        <v>42279.022291666668</v>
      </c>
      <c r="Q7" s="47" t="s">
        <v>43</v>
      </c>
      <c r="R7" s="47"/>
      <c r="S7" s="47" t="s">
        <v>616</v>
      </c>
      <c r="T7" s="47" t="s">
        <v>12</v>
      </c>
      <c r="U7" s="47" t="s">
        <v>30</v>
      </c>
      <c r="V7" s="47" t="s">
        <v>8</v>
      </c>
      <c r="W7" s="47" t="s">
        <v>122</v>
      </c>
      <c r="X7" s="47"/>
      <c r="Y7" s="47" t="s">
        <v>7</v>
      </c>
      <c r="Z7" s="47" t="s">
        <v>10</v>
      </c>
      <c r="AA7" s="47" t="s">
        <v>7</v>
      </c>
      <c r="AB7" s="47" t="s">
        <v>82</v>
      </c>
      <c r="AC7" s="47" t="s">
        <v>7</v>
      </c>
      <c r="AD7" s="47" t="s">
        <v>7</v>
      </c>
      <c r="AE7" s="47" t="s">
        <v>7</v>
      </c>
      <c r="AF7" s="47" t="s">
        <v>7</v>
      </c>
      <c r="AG7" s="47" t="s">
        <v>7</v>
      </c>
      <c r="AH7" s="47" t="s">
        <v>7</v>
      </c>
    </row>
    <row r="8" spans="1:34" x14ac:dyDescent="0.3">
      <c r="A8" s="51"/>
      <c r="B8" s="52"/>
      <c r="C8" s="30">
        <v>11</v>
      </c>
      <c r="D8" s="30">
        <v>13</v>
      </c>
      <c r="E8" s="50" t="str">
        <f t="shared" ca="1" si="0"/>
        <v>71492</v>
      </c>
      <c r="F8" s="42">
        <v>71533</v>
      </c>
      <c r="G8" s="47" t="s">
        <v>1044</v>
      </c>
      <c r="H8" s="47" t="s">
        <v>682</v>
      </c>
      <c r="I8" s="47" t="s">
        <v>2</v>
      </c>
      <c r="J8" s="47" t="s">
        <v>569</v>
      </c>
      <c r="K8" s="47" t="s">
        <v>81</v>
      </c>
      <c r="L8" s="47"/>
      <c r="M8" s="48">
        <v>42458.254675925928</v>
      </c>
      <c r="N8" s="47" t="s">
        <v>20</v>
      </c>
      <c r="O8" s="47" t="s">
        <v>48</v>
      </c>
      <c r="P8" s="48">
        <v>42303.521412037036</v>
      </c>
      <c r="Q8" s="47" t="s">
        <v>5</v>
      </c>
      <c r="R8" s="47"/>
      <c r="S8" s="47" t="s">
        <v>975</v>
      </c>
      <c r="T8" s="47" t="s">
        <v>6</v>
      </c>
      <c r="U8" s="47" t="s">
        <v>30</v>
      </c>
      <c r="V8" s="47" t="s">
        <v>13</v>
      </c>
      <c r="W8" s="47" t="s">
        <v>35</v>
      </c>
      <c r="X8" s="47"/>
      <c r="Y8" s="47" t="s">
        <v>7</v>
      </c>
      <c r="Z8" s="47" t="s">
        <v>10</v>
      </c>
      <c r="AA8" s="47" t="s">
        <v>7</v>
      </c>
      <c r="AB8" s="47" t="s">
        <v>82</v>
      </c>
      <c r="AC8" s="47" t="s">
        <v>7</v>
      </c>
      <c r="AD8" s="47" t="s">
        <v>7</v>
      </c>
      <c r="AE8" s="47" t="s">
        <v>7</v>
      </c>
      <c r="AF8" s="47" t="s">
        <v>7</v>
      </c>
      <c r="AG8" s="47" t="s">
        <v>7</v>
      </c>
      <c r="AH8" s="47" t="s">
        <v>7</v>
      </c>
    </row>
    <row r="9" spans="1:34" x14ac:dyDescent="0.3">
      <c r="A9" s="51" t="s">
        <v>1011</v>
      </c>
      <c r="B9" s="60"/>
      <c r="C9" s="30">
        <v>12</v>
      </c>
      <c r="D9" s="30">
        <v>19</v>
      </c>
      <c r="E9" s="50" t="str">
        <f t="shared" ca="1" si="0"/>
        <v>71864</v>
      </c>
      <c r="F9" s="42">
        <v>71880</v>
      </c>
      <c r="G9" s="47" t="s">
        <v>596</v>
      </c>
      <c r="H9" s="47" t="s">
        <v>654</v>
      </c>
      <c r="I9" s="47" t="s">
        <v>2</v>
      </c>
      <c r="J9" s="47" t="s">
        <v>569</v>
      </c>
      <c r="K9" s="47" t="s">
        <v>81</v>
      </c>
      <c r="L9" s="47"/>
      <c r="M9" s="48">
        <v>42433.338090277779</v>
      </c>
      <c r="N9" s="47" t="s">
        <v>20</v>
      </c>
      <c r="O9" s="47" t="s">
        <v>48</v>
      </c>
      <c r="P9" s="48">
        <v>42307.521273148152</v>
      </c>
      <c r="Q9" s="47" t="s">
        <v>315</v>
      </c>
      <c r="R9" s="47"/>
      <c r="S9" s="47" t="s">
        <v>347</v>
      </c>
      <c r="T9" s="47" t="s">
        <v>6</v>
      </c>
      <c r="U9" s="47" t="s">
        <v>30</v>
      </c>
      <c r="V9" s="47" t="s">
        <v>8</v>
      </c>
      <c r="W9" s="47" t="s">
        <v>38</v>
      </c>
      <c r="X9" s="47"/>
      <c r="Y9" s="47" t="s">
        <v>7</v>
      </c>
      <c r="Z9" s="47" t="s">
        <v>89</v>
      </c>
      <c r="AA9" s="47" t="s">
        <v>7</v>
      </c>
      <c r="AB9" s="47" t="s">
        <v>82</v>
      </c>
      <c r="AC9" s="47" t="s">
        <v>7</v>
      </c>
      <c r="AD9" s="47" t="s">
        <v>7</v>
      </c>
      <c r="AE9" s="47" t="s">
        <v>7</v>
      </c>
      <c r="AF9" s="47" t="s">
        <v>7</v>
      </c>
      <c r="AG9" s="47" t="s">
        <v>7</v>
      </c>
      <c r="AH9" s="47" t="s">
        <v>623</v>
      </c>
    </row>
    <row r="10" spans="1:34" x14ac:dyDescent="0.3">
      <c r="A10" s="51" t="s">
        <v>1011</v>
      </c>
      <c r="C10" s="30">
        <v>10</v>
      </c>
      <c r="D10" s="30">
        <v>10</v>
      </c>
      <c r="E10" s="50" t="str">
        <f t="shared" ca="1" si="0"/>
        <v>72735</v>
      </c>
      <c r="F10" s="42">
        <v>72770</v>
      </c>
      <c r="G10" s="47" t="s">
        <v>1017</v>
      </c>
      <c r="H10" s="47" t="s">
        <v>687</v>
      </c>
      <c r="I10" s="47" t="s">
        <v>11</v>
      </c>
      <c r="J10" s="47" t="s">
        <v>569</v>
      </c>
      <c r="K10" s="47" t="s">
        <v>81</v>
      </c>
      <c r="L10" s="47"/>
      <c r="M10" s="48">
        <v>42458.029432870368</v>
      </c>
      <c r="N10" s="47" t="s">
        <v>20</v>
      </c>
      <c r="O10" s="47" t="s">
        <v>48</v>
      </c>
      <c r="P10" s="48">
        <v>42325.022280092591</v>
      </c>
      <c r="Q10" s="47" t="s">
        <v>50</v>
      </c>
      <c r="R10" s="47"/>
      <c r="S10" s="47" t="s">
        <v>975</v>
      </c>
      <c r="T10" s="47" t="s">
        <v>17</v>
      </c>
      <c r="U10" s="47" t="s">
        <v>30</v>
      </c>
      <c r="V10" s="47" t="s">
        <v>13</v>
      </c>
      <c r="W10" s="47" t="s">
        <v>19</v>
      </c>
      <c r="X10" s="47"/>
      <c r="Y10" s="47" t="s">
        <v>7</v>
      </c>
      <c r="Z10" s="47" t="s">
        <v>10</v>
      </c>
      <c r="AA10" s="47" t="s">
        <v>7</v>
      </c>
      <c r="AB10" s="47" t="s">
        <v>82</v>
      </c>
      <c r="AC10" s="47" t="s">
        <v>7</v>
      </c>
      <c r="AD10" s="47" t="s">
        <v>7</v>
      </c>
      <c r="AE10" s="47" t="s">
        <v>7</v>
      </c>
      <c r="AF10" s="47" t="s">
        <v>7</v>
      </c>
      <c r="AG10" s="47" t="s">
        <v>7</v>
      </c>
      <c r="AH10" s="47" t="s">
        <v>7</v>
      </c>
    </row>
    <row r="11" spans="1:34" x14ac:dyDescent="0.3">
      <c r="A11" s="51" t="s">
        <v>1011</v>
      </c>
      <c r="B11" s="60"/>
      <c r="C11" s="30">
        <v>20</v>
      </c>
      <c r="D11" s="30">
        <v>20</v>
      </c>
      <c r="E11" s="50" t="str">
        <f t="shared" ca="1" si="0"/>
        <v>73524</v>
      </c>
      <c r="F11" s="42">
        <v>73569</v>
      </c>
      <c r="G11" s="47" t="s">
        <v>1007</v>
      </c>
      <c r="H11" s="47" t="s">
        <v>693</v>
      </c>
      <c r="I11" s="47" t="s">
        <v>2</v>
      </c>
      <c r="J11" s="47" t="s">
        <v>569</v>
      </c>
      <c r="K11" s="47" t="s">
        <v>81</v>
      </c>
      <c r="L11" s="47"/>
      <c r="M11" s="48">
        <v>42447.318611111114</v>
      </c>
      <c r="N11" s="47" t="s">
        <v>20</v>
      </c>
      <c r="O11" s="47" t="s">
        <v>48</v>
      </c>
      <c r="P11" s="48">
        <v>42340.522152777776</v>
      </c>
      <c r="Q11" s="47" t="s">
        <v>50</v>
      </c>
      <c r="R11" s="47"/>
      <c r="S11" s="47" t="s">
        <v>975</v>
      </c>
      <c r="T11" s="47" t="s">
        <v>6</v>
      </c>
      <c r="U11" s="47" t="s">
        <v>30</v>
      </c>
      <c r="V11" s="47" t="s">
        <v>13</v>
      </c>
      <c r="W11" s="47" t="s">
        <v>19</v>
      </c>
      <c r="X11" s="47"/>
      <c r="Y11" s="47" t="s">
        <v>7</v>
      </c>
      <c r="Z11" s="47" t="s">
        <v>10</v>
      </c>
      <c r="AA11" s="47" t="s">
        <v>44</v>
      </c>
      <c r="AB11" s="47" t="s">
        <v>82</v>
      </c>
      <c r="AC11" s="47" t="s">
        <v>7</v>
      </c>
      <c r="AD11" s="47" t="s">
        <v>7</v>
      </c>
      <c r="AE11" s="47" t="s">
        <v>7</v>
      </c>
      <c r="AF11" s="47" t="s">
        <v>7</v>
      </c>
      <c r="AG11" s="47" t="s">
        <v>7</v>
      </c>
      <c r="AH11" s="47" t="s">
        <v>7</v>
      </c>
    </row>
    <row r="12" spans="1:34" x14ac:dyDescent="0.3">
      <c r="A12" s="51"/>
      <c r="B12" s="60"/>
      <c r="C12" s="30">
        <v>0</v>
      </c>
      <c r="D12" s="30">
        <v>20</v>
      </c>
      <c r="E12" s="50" t="str">
        <f t="shared" ca="1" si="0"/>
        <v>73682</v>
      </c>
      <c r="F12" s="42">
        <v>73706</v>
      </c>
      <c r="G12" s="47" t="s">
        <v>564</v>
      </c>
      <c r="H12" s="47" t="s">
        <v>657</v>
      </c>
      <c r="I12" s="47" t="s">
        <v>11</v>
      </c>
      <c r="J12" s="47" t="s">
        <v>569</v>
      </c>
      <c r="K12" s="47" t="s">
        <v>81</v>
      </c>
      <c r="L12" s="47"/>
      <c r="M12" s="48">
        <v>42453.45103009259</v>
      </c>
      <c r="N12" s="47" t="s">
        <v>20</v>
      </c>
      <c r="O12" s="47" t="s">
        <v>48</v>
      </c>
      <c r="P12" s="48">
        <v>42342.521863425929</v>
      </c>
      <c r="Q12" s="47" t="s">
        <v>600</v>
      </c>
      <c r="R12" s="47"/>
      <c r="S12" s="47" t="s">
        <v>975</v>
      </c>
      <c r="T12" s="47" t="s">
        <v>17</v>
      </c>
      <c r="U12" s="47" t="s">
        <v>30</v>
      </c>
      <c r="V12" s="47" t="s">
        <v>13</v>
      </c>
      <c r="W12" s="47" t="s">
        <v>19</v>
      </c>
      <c r="X12" s="47"/>
      <c r="Y12" s="47" t="s">
        <v>7</v>
      </c>
      <c r="Z12" s="47" t="s">
        <v>10</v>
      </c>
      <c r="AA12" s="47" t="s">
        <v>44</v>
      </c>
      <c r="AB12" s="47" t="s">
        <v>82</v>
      </c>
      <c r="AC12" s="47" t="s">
        <v>7</v>
      </c>
      <c r="AD12" s="47" t="s">
        <v>7</v>
      </c>
      <c r="AE12" s="47" t="s">
        <v>7</v>
      </c>
      <c r="AF12" s="47" t="s">
        <v>309</v>
      </c>
      <c r="AG12" s="47" t="s">
        <v>7</v>
      </c>
      <c r="AH12" s="47" t="s">
        <v>7</v>
      </c>
    </row>
    <row r="13" spans="1:34" x14ac:dyDescent="0.3">
      <c r="A13" s="51"/>
      <c r="B13" s="60"/>
      <c r="C13" s="30">
        <v>19</v>
      </c>
      <c r="D13" s="30">
        <v>20</v>
      </c>
      <c r="E13" s="50" t="str">
        <f t="shared" ca="1" si="0"/>
        <v>74252</v>
      </c>
      <c r="F13" s="42">
        <v>74306</v>
      </c>
      <c r="G13" s="47" t="s">
        <v>1050</v>
      </c>
      <c r="H13" s="47" t="s">
        <v>983</v>
      </c>
      <c r="I13" s="47" t="s">
        <v>2</v>
      </c>
      <c r="J13" s="47" t="s">
        <v>569</v>
      </c>
      <c r="K13" s="47" t="s">
        <v>81</v>
      </c>
      <c r="L13" s="47"/>
      <c r="M13" s="48">
        <v>42452.455104166664</v>
      </c>
      <c r="N13" s="47" t="s">
        <v>20</v>
      </c>
      <c r="O13" s="47" t="s">
        <v>80</v>
      </c>
      <c r="P13" s="48">
        <v>42354.522233796299</v>
      </c>
      <c r="Q13" s="47" t="s">
        <v>242</v>
      </c>
      <c r="R13" s="47"/>
      <c r="S13" s="47" t="s">
        <v>347</v>
      </c>
      <c r="T13" s="47" t="s">
        <v>6</v>
      </c>
      <c r="U13" s="47" t="s">
        <v>30</v>
      </c>
      <c r="V13" s="47" t="s">
        <v>13</v>
      </c>
      <c r="W13" s="47" t="s">
        <v>19</v>
      </c>
      <c r="X13" s="47"/>
      <c r="Y13" s="47" t="s">
        <v>7</v>
      </c>
      <c r="Z13" s="47" t="s">
        <v>10</v>
      </c>
      <c r="AA13" s="47" t="s">
        <v>44</v>
      </c>
      <c r="AB13" s="47" t="s">
        <v>82</v>
      </c>
      <c r="AC13" s="47" t="s">
        <v>7</v>
      </c>
      <c r="AD13" s="47" t="s">
        <v>7</v>
      </c>
      <c r="AE13" s="47" t="s">
        <v>7</v>
      </c>
      <c r="AF13" s="47" t="s">
        <v>7</v>
      </c>
      <c r="AG13" s="47" t="s">
        <v>7</v>
      </c>
      <c r="AH13" s="47" t="s">
        <v>623</v>
      </c>
    </row>
    <row r="14" spans="1:34" x14ac:dyDescent="0.3">
      <c r="A14" s="51"/>
      <c r="B14" s="60"/>
      <c r="C14" s="30">
        <v>19</v>
      </c>
      <c r="D14" s="30">
        <v>20</v>
      </c>
      <c r="E14" s="50" t="str">
        <f t="shared" ca="1" si="0"/>
        <v>74834</v>
      </c>
      <c r="F14" s="42">
        <v>74849</v>
      </c>
      <c r="G14" s="47" t="s">
        <v>1007</v>
      </c>
      <c r="H14" s="47" t="s">
        <v>712</v>
      </c>
      <c r="I14" s="47" t="s">
        <v>11</v>
      </c>
      <c r="J14" s="47" t="s">
        <v>569</v>
      </c>
      <c r="K14" s="47" t="s">
        <v>81</v>
      </c>
      <c r="L14" s="47"/>
      <c r="M14" s="48">
        <v>42446.09815972222</v>
      </c>
      <c r="N14" s="47" t="s">
        <v>159</v>
      </c>
      <c r="O14" s="47" t="s">
        <v>569</v>
      </c>
      <c r="P14" s="48">
        <v>42375.022812499999</v>
      </c>
      <c r="Q14" s="47" t="s">
        <v>628</v>
      </c>
      <c r="R14" s="47"/>
      <c r="S14" s="47" t="s">
        <v>717</v>
      </c>
      <c r="T14" s="47" t="s">
        <v>17</v>
      </c>
      <c r="U14" s="47" t="s">
        <v>30</v>
      </c>
      <c r="V14" s="47" t="s">
        <v>13</v>
      </c>
      <c r="W14" s="47" t="s">
        <v>103</v>
      </c>
      <c r="X14" s="47"/>
      <c r="Y14" s="47" t="s">
        <v>7</v>
      </c>
      <c r="Z14" s="47" t="s">
        <v>10</v>
      </c>
      <c r="AA14" s="47" t="s">
        <v>44</v>
      </c>
      <c r="AB14" s="47" t="s">
        <v>82</v>
      </c>
      <c r="AC14" s="47" t="s">
        <v>7</v>
      </c>
      <c r="AD14" s="47" t="s">
        <v>7</v>
      </c>
      <c r="AE14" s="47" t="s">
        <v>7</v>
      </c>
      <c r="AF14" s="47" t="s">
        <v>309</v>
      </c>
      <c r="AG14" s="47" t="s">
        <v>7</v>
      </c>
      <c r="AH14" s="47" t="s">
        <v>7</v>
      </c>
    </row>
    <row r="15" spans="1:34" x14ac:dyDescent="0.3">
      <c r="A15" s="51"/>
      <c r="B15" s="60"/>
      <c r="C15" s="30">
        <v>1</v>
      </c>
      <c r="D15" s="30">
        <v>21</v>
      </c>
      <c r="E15" s="50" t="str">
        <f t="shared" ca="1" si="0"/>
        <v>61184</v>
      </c>
      <c r="F15" s="42">
        <v>74861</v>
      </c>
      <c r="G15" s="47" t="s">
        <v>337</v>
      </c>
      <c r="H15" s="47" t="s">
        <v>658</v>
      </c>
      <c r="I15" s="47" t="s">
        <v>2</v>
      </c>
      <c r="J15" s="47" t="s">
        <v>569</v>
      </c>
      <c r="K15" s="47" t="s">
        <v>81</v>
      </c>
      <c r="L15" s="47"/>
      <c r="M15" s="48">
        <v>42423.925324074073</v>
      </c>
      <c r="N15" s="47" t="s">
        <v>20</v>
      </c>
      <c r="O15" s="47" t="s">
        <v>80</v>
      </c>
      <c r="P15" s="48">
        <v>42375.33935185185</v>
      </c>
      <c r="Q15" s="47" t="s">
        <v>22</v>
      </c>
      <c r="R15" s="47" t="s">
        <v>29</v>
      </c>
      <c r="S15" s="47" t="s">
        <v>347</v>
      </c>
      <c r="T15" s="47" t="s">
        <v>17</v>
      </c>
      <c r="U15" s="47" t="s">
        <v>30</v>
      </c>
      <c r="V15" s="47" t="s">
        <v>8</v>
      </c>
      <c r="W15" s="47" t="s">
        <v>153</v>
      </c>
      <c r="X15" s="47"/>
      <c r="Y15" s="47" t="s">
        <v>7</v>
      </c>
      <c r="Z15" s="47" t="s">
        <v>10</v>
      </c>
      <c r="AA15" s="47" t="s">
        <v>7</v>
      </c>
      <c r="AB15" s="47" t="s">
        <v>82</v>
      </c>
      <c r="AC15" s="47" t="s">
        <v>7</v>
      </c>
      <c r="AD15" s="47" t="s">
        <v>7</v>
      </c>
      <c r="AE15" s="47" t="s">
        <v>7</v>
      </c>
      <c r="AF15" s="47" t="s">
        <v>7</v>
      </c>
      <c r="AG15" s="47" t="s">
        <v>7</v>
      </c>
      <c r="AH15" s="47" t="s">
        <v>623</v>
      </c>
    </row>
    <row r="16" spans="1:34" x14ac:dyDescent="0.3">
      <c r="A16" s="51"/>
      <c r="B16" s="60"/>
      <c r="C16" s="30">
        <v>19</v>
      </c>
      <c r="D16" s="30">
        <v>21</v>
      </c>
      <c r="E16" s="50" t="str">
        <f t="shared" ca="1" si="0"/>
        <v>75384</v>
      </c>
      <c r="F16" s="42">
        <v>75397</v>
      </c>
      <c r="G16" s="47" t="s">
        <v>1015</v>
      </c>
      <c r="H16" s="47" t="s">
        <v>659</v>
      </c>
      <c r="I16" s="47" t="s">
        <v>2</v>
      </c>
      <c r="J16" s="47" t="s">
        <v>569</v>
      </c>
      <c r="K16" s="47" t="s">
        <v>81</v>
      </c>
      <c r="L16" s="47"/>
      <c r="M16" s="48">
        <v>42443.657939814817</v>
      </c>
      <c r="N16" s="47" t="s">
        <v>20</v>
      </c>
      <c r="O16" s="47" t="s">
        <v>48</v>
      </c>
      <c r="P16" s="48">
        <v>42388.52412037037</v>
      </c>
      <c r="Q16" s="47" t="s">
        <v>638</v>
      </c>
      <c r="R16" s="47"/>
      <c r="S16" s="47" t="s">
        <v>347</v>
      </c>
      <c r="T16" s="47" t="s">
        <v>6</v>
      </c>
      <c r="U16" s="47" t="s">
        <v>30</v>
      </c>
      <c r="V16" s="47" t="s">
        <v>24</v>
      </c>
      <c r="W16" s="47" t="s">
        <v>46</v>
      </c>
      <c r="X16" s="47"/>
      <c r="Y16" s="47" t="s">
        <v>7</v>
      </c>
      <c r="Z16" s="47" t="s">
        <v>10</v>
      </c>
      <c r="AA16" s="47" t="s">
        <v>7</v>
      </c>
      <c r="AB16" s="47" t="s">
        <v>82</v>
      </c>
      <c r="AC16" s="47" t="s">
        <v>7</v>
      </c>
      <c r="AD16" s="47" t="s">
        <v>7</v>
      </c>
      <c r="AE16" s="47" t="s">
        <v>7</v>
      </c>
      <c r="AF16" s="47" t="s">
        <v>7</v>
      </c>
      <c r="AG16" s="47" t="s">
        <v>7</v>
      </c>
      <c r="AH16" s="47" t="s">
        <v>623</v>
      </c>
    </row>
    <row r="17" spans="1:34" x14ac:dyDescent="0.3">
      <c r="A17" s="51" t="s">
        <v>1011</v>
      </c>
      <c r="B17" s="60"/>
      <c r="C17" s="30">
        <v>6</v>
      </c>
      <c r="D17" s="30">
        <v>21</v>
      </c>
      <c r="E17" s="50" t="str">
        <f t="shared" ca="1" si="0"/>
        <v>75405</v>
      </c>
      <c r="F17" s="42">
        <v>75421</v>
      </c>
      <c r="G17" s="47" t="s">
        <v>632</v>
      </c>
      <c r="H17" s="47" t="s">
        <v>660</v>
      </c>
      <c r="I17" s="47" t="s">
        <v>2</v>
      </c>
      <c r="J17" s="47" t="s">
        <v>569</v>
      </c>
      <c r="K17" s="47" t="s">
        <v>81</v>
      </c>
      <c r="L17" s="47"/>
      <c r="M17" s="48">
        <v>42457.624976851854</v>
      </c>
      <c r="N17" s="47" t="s">
        <v>20</v>
      </c>
      <c r="O17" s="47" t="s">
        <v>48</v>
      </c>
      <c r="P17" s="48">
        <v>42389.023472222223</v>
      </c>
      <c r="Q17" s="47" t="s">
        <v>638</v>
      </c>
      <c r="R17" s="47"/>
      <c r="S17" s="47" t="s">
        <v>347</v>
      </c>
      <c r="T17" s="47" t="s">
        <v>6</v>
      </c>
      <c r="U17" s="47" t="s">
        <v>30</v>
      </c>
      <c r="V17" s="47" t="s">
        <v>8</v>
      </c>
      <c r="W17" s="47" t="s">
        <v>216</v>
      </c>
      <c r="X17" s="47"/>
      <c r="Y17" s="47" t="s">
        <v>7</v>
      </c>
      <c r="Z17" s="47" t="s">
        <v>10</v>
      </c>
      <c r="AA17" s="47" t="s">
        <v>7</v>
      </c>
      <c r="AB17" s="47" t="s">
        <v>82</v>
      </c>
      <c r="AC17" s="47" t="s">
        <v>7</v>
      </c>
      <c r="AD17" s="47" t="s">
        <v>7</v>
      </c>
      <c r="AE17" s="47" t="s">
        <v>7</v>
      </c>
      <c r="AF17" s="47" t="s">
        <v>7</v>
      </c>
      <c r="AG17" s="47" t="s">
        <v>7</v>
      </c>
      <c r="AH17" s="47" t="s">
        <v>7</v>
      </c>
    </row>
    <row r="18" spans="1:34" s="51" customFormat="1" x14ac:dyDescent="0.3">
      <c r="A18" s="51" t="s">
        <v>1011</v>
      </c>
      <c r="B18" s="60"/>
      <c r="C18" s="30">
        <v>20</v>
      </c>
      <c r="D18" s="30">
        <v>31</v>
      </c>
      <c r="E18" s="50" t="str">
        <f t="shared" ca="1" si="0"/>
        <v>75400</v>
      </c>
      <c r="F18" s="42">
        <v>75553</v>
      </c>
      <c r="G18" s="47" t="s">
        <v>343</v>
      </c>
      <c r="H18" s="47" t="s">
        <v>715</v>
      </c>
      <c r="I18" s="47" t="s">
        <v>2</v>
      </c>
      <c r="J18" s="47" t="s">
        <v>569</v>
      </c>
      <c r="K18" s="47" t="s">
        <v>81</v>
      </c>
      <c r="L18" s="47"/>
      <c r="M18" s="48">
        <v>42423.925706018519</v>
      </c>
      <c r="N18" s="47" t="s">
        <v>20</v>
      </c>
      <c r="O18" s="47" t="s">
        <v>48</v>
      </c>
      <c r="P18" s="48">
        <v>42389.523587962962</v>
      </c>
      <c r="Q18" s="47" t="s">
        <v>638</v>
      </c>
      <c r="R18" s="47"/>
      <c r="S18" s="47" t="s">
        <v>347</v>
      </c>
      <c r="T18" s="47" t="s">
        <v>6</v>
      </c>
      <c r="U18" s="47" t="s">
        <v>30</v>
      </c>
      <c r="V18" s="47" t="s">
        <v>8</v>
      </c>
      <c r="W18" s="47" t="s">
        <v>38</v>
      </c>
      <c r="X18" s="47"/>
      <c r="Y18" s="47" t="s">
        <v>7</v>
      </c>
      <c r="Z18" s="47" t="s">
        <v>10</v>
      </c>
      <c r="AA18" s="47" t="s">
        <v>7</v>
      </c>
      <c r="AB18" s="47" t="s">
        <v>82</v>
      </c>
      <c r="AC18" s="47" t="s">
        <v>7</v>
      </c>
      <c r="AD18" s="47" t="s">
        <v>7</v>
      </c>
      <c r="AE18" s="47" t="s">
        <v>7</v>
      </c>
      <c r="AF18" s="47" t="s">
        <v>7</v>
      </c>
      <c r="AG18" s="47" t="s">
        <v>7</v>
      </c>
      <c r="AH18" s="47" t="s">
        <v>7</v>
      </c>
    </row>
    <row r="19" spans="1:34" x14ac:dyDescent="0.3">
      <c r="B19" s="52"/>
      <c r="C19" s="30">
        <v>11</v>
      </c>
      <c r="D19" s="30">
        <v>11</v>
      </c>
      <c r="E19" s="50" t="str">
        <f t="shared" ca="1" si="0"/>
        <v>75387</v>
      </c>
      <c r="F19" s="42">
        <v>75555</v>
      </c>
      <c r="G19" s="47" t="s">
        <v>338</v>
      </c>
      <c r="H19" s="47" t="s">
        <v>661</v>
      </c>
      <c r="I19" s="47" t="s">
        <v>11</v>
      </c>
      <c r="J19" s="47" t="s">
        <v>569</v>
      </c>
      <c r="K19" s="47" t="s">
        <v>81</v>
      </c>
      <c r="L19" s="47"/>
      <c r="M19" s="48">
        <v>42433.351944444446</v>
      </c>
      <c r="N19" s="47" t="s">
        <v>20</v>
      </c>
      <c r="O19" s="47" t="s">
        <v>48</v>
      </c>
      <c r="P19" s="48">
        <v>42389.523923611108</v>
      </c>
      <c r="Q19" s="47" t="s">
        <v>638</v>
      </c>
      <c r="R19" s="47"/>
      <c r="S19" s="47" t="s">
        <v>347</v>
      </c>
      <c r="T19" s="47" t="s">
        <v>12</v>
      </c>
      <c r="U19" s="47" t="s">
        <v>30</v>
      </c>
      <c r="V19" s="47" t="s">
        <v>8</v>
      </c>
      <c r="W19" s="47" t="s">
        <v>153</v>
      </c>
      <c r="X19" s="47"/>
      <c r="Y19" s="47" t="s">
        <v>7</v>
      </c>
      <c r="Z19" s="47" t="s">
        <v>10</v>
      </c>
      <c r="AA19" s="47" t="s">
        <v>7</v>
      </c>
      <c r="AB19" s="47" t="s">
        <v>82</v>
      </c>
      <c r="AC19" s="47" t="s">
        <v>7</v>
      </c>
      <c r="AD19" s="47" t="s">
        <v>7</v>
      </c>
      <c r="AE19" s="47" t="s">
        <v>7</v>
      </c>
      <c r="AF19" s="47" t="s">
        <v>7</v>
      </c>
      <c r="AG19" s="47" t="s">
        <v>7</v>
      </c>
      <c r="AH19" s="47" t="s">
        <v>623</v>
      </c>
    </row>
    <row r="20" spans="1:34" x14ac:dyDescent="0.3">
      <c r="A20" s="51" t="s">
        <v>1011</v>
      </c>
      <c r="B20" s="60"/>
      <c r="C20" s="30">
        <v>21</v>
      </c>
      <c r="D20" s="30">
        <v>34</v>
      </c>
      <c r="E20" s="50" t="str">
        <f t="shared" ca="1" si="0"/>
        <v>67205</v>
      </c>
      <c r="F20" s="42">
        <v>75649</v>
      </c>
      <c r="G20" s="47" t="s">
        <v>331</v>
      </c>
      <c r="H20" s="47" t="s">
        <v>662</v>
      </c>
      <c r="I20" s="47" t="s">
        <v>2</v>
      </c>
      <c r="J20" s="47" t="s">
        <v>569</v>
      </c>
      <c r="K20" s="47" t="s">
        <v>81</v>
      </c>
      <c r="L20" s="47"/>
      <c r="M20" s="48">
        <v>42423.942094907405</v>
      </c>
      <c r="N20" s="47" t="s">
        <v>20</v>
      </c>
      <c r="O20" s="47" t="s">
        <v>83</v>
      </c>
      <c r="P20" s="48">
        <v>42390.520092592589</v>
      </c>
      <c r="Q20" s="47" t="s">
        <v>16</v>
      </c>
      <c r="R20" s="47"/>
      <c r="S20" s="47" t="s">
        <v>347</v>
      </c>
      <c r="T20" s="47" t="s">
        <v>6</v>
      </c>
      <c r="U20" s="47" t="s">
        <v>30</v>
      </c>
      <c r="V20" s="47" t="s">
        <v>13</v>
      </c>
      <c r="W20" s="47" t="s">
        <v>19</v>
      </c>
      <c r="X20" s="47"/>
      <c r="Y20" s="47" t="s">
        <v>7</v>
      </c>
      <c r="Z20" s="47" t="s">
        <v>10</v>
      </c>
      <c r="AA20" s="47" t="s">
        <v>7</v>
      </c>
      <c r="AB20" s="47" t="s">
        <v>82</v>
      </c>
      <c r="AC20" s="47" t="s">
        <v>7</v>
      </c>
      <c r="AD20" s="47" t="s">
        <v>7</v>
      </c>
      <c r="AE20" s="47" t="s">
        <v>363</v>
      </c>
      <c r="AF20" s="47" t="s">
        <v>7</v>
      </c>
      <c r="AG20" s="47" t="s">
        <v>7</v>
      </c>
      <c r="AH20" s="47" t="s">
        <v>623</v>
      </c>
    </row>
    <row r="21" spans="1:34" x14ac:dyDescent="0.3">
      <c r="A21" s="51" t="s">
        <v>1013</v>
      </c>
      <c r="B21" s="53"/>
      <c r="C21" s="30">
        <v>5</v>
      </c>
      <c r="D21" s="30">
        <v>11</v>
      </c>
      <c r="E21" s="50" t="str">
        <f t="shared" ca="1" si="0"/>
        <v>57072</v>
      </c>
      <c r="F21" s="42">
        <v>75733</v>
      </c>
      <c r="G21" s="47" t="s">
        <v>336</v>
      </c>
      <c r="H21" s="47" t="s">
        <v>663</v>
      </c>
      <c r="I21" s="47" t="s">
        <v>2</v>
      </c>
      <c r="J21" s="47" t="s">
        <v>569</v>
      </c>
      <c r="K21" s="47" t="s">
        <v>81</v>
      </c>
      <c r="L21" s="47"/>
      <c r="M21" s="48">
        <v>42423.9371875</v>
      </c>
      <c r="N21" s="47" t="s">
        <v>20</v>
      </c>
      <c r="O21" s="47" t="s">
        <v>3</v>
      </c>
      <c r="P21" s="48">
        <v>42391.330185185187</v>
      </c>
      <c r="Q21" s="47" t="s">
        <v>56</v>
      </c>
      <c r="R21" s="47"/>
      <c r="S21" s="47" t="s">
        <v>347</v>
      </c>
      <c r="T21" s="47" t="s">
        <v>6</v>
      </c>
      <c r="U21" s="47" t="s">
        <v>30</v>
      </c>
      <c r="V21" s="47" t="s">
        <v>8</v>
      </c>
      <c r="W21" s="47" t="s">
        <v>38</v>
      </c>
      <c r="X21" s="47"/>
      <c r="Y21" s="47" t="s">
        <v>7</v>
      </c>
      <c r="Z21" s="47" t="s">
        <v>10</v>
      </c>
      <c r="AA21" s="47" t="s">
        <v>7</v>
      </c>
      <c r="AB21" s="47" t="s">
        <v>82</v>
      </c>
      <c r="AC21" s="47" t="s">
        <v>7</v>
      </c>
      <c r="AD21" s="47" t="s">
        <v>7</v>
      </c>
      <c r="AE21" s="47" t="s">
        <v>7</v>
      </c>
      <c r="AF21" s="47" t="s">
        <v>7</v>
      </c>
      <c r="AG21" s="47" t="s">
        <v>7</v>
      </c>
      <c r="AH21" s="47" t="s">
        <v>623</v>
      </c>
    </row>
    <row r="22" spans="1:34" x14ac:dyDescent="0.3">
      <c r="A22" s="51"/>
      <c r="B22" s="60"/>
      <c r="C22" s="30">
        <v>7</v>
      </c>
      <c r="D22" s="30">
        <v>35</v>
      </c>
      <c r="E22" s="50" t="str">
        <f t="shared" ca="1" si="0"/>
        <v>52678</v>
      </c>
      <c r="F22" s="42">
        <v>75735</v>
      </c>
      <c r="G22" s="47" t="s">
        <v>335</v>
      </c>
      <c r="H22" s="47" t="s">
        <v>664</v>
      </c>
      <c r="I22" s="47" t="s">
        <v>2</v>
      </c>
      <c r="J22" s="47" t="s">
        <v>569</v>
      </c>
      <c r="K22" s="47" t="s">
        <v>81</v>
      </c>
      <c r="L22" s="47"/>
      <c r="M22" s="48">
        <v>42423.931759259256</v>
      </c>
      <c r="N22" s="47" t="s">
        <v>20</v>
      </c>
      <c r="O22" s="47" t="s">
        <v>3</v>
      </c>
      <c r="P22" s="48">
        <v>42391.330474537041</v>
      </c>
      <c r="Q22" s="47" t="s">
        <v>5</v>
      </c>
      <c r="R22" s="47"/>
      <c r="S22" s="47" t="s">
        <v>347</v>
      </c>
      <c r="T22" s="47" t="s">
        <v>6</v>
      </c>
      <c r="U22" s="47" t="s">
        <v>30</v>
      </c>
      <c r="V22" s="47" t="s">
        <v>24</v>
      </c>
      <c r="W22" s="47" t="s">
        <v>31</v>
      </c>
      <c r="X22" s="47"/>
      <c r="Y22" s="47" t="s">
        <v>7</v>
      </c>
      <c r="Z22" s="47" t="s">
        <v>10</v>
      </c>
      <c r="AA22" s="47" t="s">
        <v>7</v>
      </c>
      <c r="AB22" s="47" t="s">
        <v>82</v>
      </c>
      <c r="AC22" s="47" t="s">
        <v>7</v>
      </c>
      <c r="AD22" s="47" t="s">
        <v>7</v>
      </c>
      <c r="AE22" s="47" t="s">
        <v>7</v>
      </c>
      <c r="AF22" s="47" t="s">
        <v>7</v>
      </c>
      <c r="AG22" s="47" t="s">
        <v>7</v>
      </c>
      <c r="AH22" s="47" t="s">
        <v>623</v>
      </c>
    </row>
    <row r="23" spans="1:34" x14ac:dyDescent="0.3">
      <c r="A23" s="51"/>
      <c r="B23" s="60"/>
      <c r="C23" s="30">
        <v>25</v>
      </c>
      <c r="D23" s="30">
        <v>39</v>
      </c>
      <c r="E23" s="50" t="str">
        <f t="shared" ca="1" si="0"/>
        <v>61897</v>
      </c>
      <c r="F23" s="42">
        <v>75737</v>
      </c>
      <c r="G23" s="47" t="s">
        <v>342</v>
      </c>
      <c r="H23" s="47" t="s">
        <v>665</v>
      </c>
      <c r="I23" s="47" t="s">
        <v>2</v>
      </c>
      <c r="J23" s="47" t="s">
        <v>569</v>
      </c>
      <c r="K23" s="47" t="s">
        <v>81</v>
      </c>
      <c r="L23" s="47"/>
      <c r="M23" s="48">
        <v>42423.931122685186</v>
      </c>
      <c r="N23" s="47" t="s">
        <v>20</v>
      </c>
      <c r="O23" s="47" t="s">
        <v>3</v>
      </c>
      <c r="P23" s="48">
        <v>42391.330868055556</v>
      </c>
      <c r="Q23" s="47" t="s">
        <v>40</v>
      </c>
      <c r="R23" s="47"/>
      <c r="S23" s="47" t="s">
        <v>347</v>
      </c>
      <c r="T23" s="47" t="s">
        <v>6</v>
      </c>
      <c r="U23" s="47" t="s">
        <v>30</v>
      </c>
      <c r="V23" s="47" t="s">
        <v>8</v>
      </c>
      <c r="W23" s="47" t="s">
        <v>27</v>
      </c>
      <c r="X23" s="47"/>
      <c r="Y23" s="47" t="s">
        <v>7</v>
      </c>
      <c r="Z23" s="47" t="s">
        <v>10</v>
      </c>
      <c r="AA23" s="47" t="s">
        <v>7</v>
      </c>
      <c r="AB23" s="47" t="s">
        <v>82</v>
      </c>
      <c r="AC23" s="47" t="s">
        <v>7</v>
      </c>
      <c r="AD23" s="47" t="s">
        <v>7</v>
      </c>
      <c r="AE23" s="47" t="s">
        <v>7</v>
      </c>
      <c r="AF23" s="47" t="s">
        <v>7</v>
      </c>
      <c r="AG23" s="47" t="s">
        <v>7</v>
      </c>
      <c r="AH23" s="47" t="s">
        <v>623</v>
      </c>
    </row>
    <row r="24" spans="1:34" x14ac:dyDescent="0.3">
      <c r="A24" s="51" t="s">
        <v>1011</v>
      </c>
      <c r="C24" s="30">
        <v>25</v>
      </c>
      <c r="D24" s="30">
        <v>39</v>
      </c>
      <c r="E24" s="50" t="str">
        <f t="shared" ca="1" si="0"/>
        <v>75854</v>
      </c>
      <c r="F24" s="42">
        <v>75891</v>
      </c>
      <c r="G24" s="47" t="s">
        <v>597</v>
      </c>
      <c r="H24" s="47" t="s">
        <v>720</v>
      </c>
      <c r="I24" s="47" t="s">
        <v>2</v>
      </c>
      <c r="J24" s="47" t="s">
        <v>569</v>
      </c>
      <c r="K24" s="47" t="s">
        <v>81</v>
      </c>
      <c r="L24" s="47"/>
      <c r="M24" s="48">
        <v>42446.239027777781</v>
      </c>
      <c r="N24" s="47" t="s">
        <v>20</v>
      </c>
      <c r="O24" s="47" t="s">
        <v>48</v>
      </c>
      <c r="P24" s="48">
        <v>42395.296689814815</v>
      </c>
      <c r="Q24" s="47" t="s">
        <v>638</v>
      </c>
      <c r="R24" s="47"/>
      <c r="S24" s="47" t="s">
        <v>347</v>
      </c>
      <c r="T24" s="47" t="s">
        <v>6</v>
      </c>
      <c r="U24" s="47" t="s">
        <v>30</v>
      </c>
      <c r="V24" s="47" t="s">
        <v>13</v>
      </c>
      <c r="W24" s="47" t="s">
        <v>19</v>
      </c>
      <c r="X24" s="47"/>
      <c r="Y24" s="47" t="s">
        <v>7</v>
      </c>
      <c r="Z24" s="47" t="s">
        <v>10</v>
      </c>
      <c r="AA24" s="47" t="s">
        <v>7</v>
      </c>
      <c r="AB24" s="47" t="s">
        <v>82</v>
      </c>
      <c r="AC24" s="47" t="s">
        <v>7</v>
      </c>
      <c r="AD24" s="47" t="s">
        <v>7</v>
      </c>
      <c r="AE24" s="47" t="s">
        <v>7</v>
      </c>
      <c r="AF24" s="47" t="s">
        <v>7</v>
      </c>
      <c r="AG24" s="47" t="s">
        <v>7</v>
      </c>
      <c r="AH24" s="47" t="s">
        <v>623</v>
      </c>
    </row>
    <row r="25" spans="1:34" x14ac:dyDescent="0.3">
      <c r="A25" s="51"/>
      <c r="C25" s="30">
        <v>22</v>
      </c>
      <c r="D25" s="30">
        <v>39</v>
      </c>
      <c r="E25" s="50" t="str">
        <f t="shared" ca="1" si="0"/>
        <v>75770</v>
      </c>
      <c r="F25" s="42">
        <v>75911</v>
      </c>
      <c r="G25" s="47" t="s">
        <v>972</v>
      </c>
      <c r="H25" s="47" t="s">
        <v>709</v>
      </c>
      <c r="I25" s="47" t="s">
        <v>2</v>
      </c>
      <c r="J25" s="47" t="s">
        <v>569</v>
      </c>
      <c r="K25" s="47" t="s">
        <v>81</v>
      </c>
      <c r="L25" s="47"/>
      <c r="M25" s="48">
        <v>42438.482638888891</v>
      </c>
      <c r="N25" s="47" t="s">
        <v>20</v>
      </c>
      <c r="O25" s="47" t="s">
        <v>48</v>
      </c>
      <c r="P25" s="48">
        <v>42395.328229166669</v>
      </c>
      <c r="Q25" s="47" t="s">
        <v>638</v>
      </c>
      <c r="R25" s="47"/>
      <c r="S25" s="47" t="s">
        <v>347</v>
      </c>
      <c r="T25" s="47" t="s">
        <v>6</v>
      </c>
      <c r="U25" s="47" t="s">
        <v>30</v>
      </c>
      <c r="V25" s="47" t="s">
        <v>24</v>
      </c>
      <c r="W25" s="47" t="s">
        <v>31</v>
      </c>
      <c r="X25" s="47"/>
      <c r="Y25" s="47" t="s">
        <v>7</v>
      </c>
      <c r="Z25" s="47" t="s">
        <v>10</v>
      </c>
      <c r="AA25" s="47" t="s">
        <v>7</v>
      </c>
      <c r="AB25" s="47" t="s">
        <v>82</v>
      </c>
      <c r="AC25" s="47" t="s">
        <v>7</v>
      </c>
      <c r="AD25" s="47" t="s">
        <v>7</v>
      </c>
      <c r="AE25" s="47" t="s">
        <v>7</v>
      </c>
      <c r="AF25" s="47" t="s">
        <v>7</v>
      </c>
      <c r="AG25" s="47" t="s">
        <v>7</v>
      </c>
      <c r="AH25" s="47" t="s">
        <v>623</v>
      </c>
    </row>
    <row r="26" spans="1:34" x14ac:dyDescent="0.3">
      <c r="A26" s="51"/>
      <c r="C26" s="30">
        <v>13</v>
      </c>
      <c r="D26" s="30">
        <v>42</v>
      </c>
      <c r="E26" s="50" t="str">
        <f t="shared" ca="1" si="0"/>
        <v>55967</v>
      </c>
      <c r="F26" s="42">
        <v>76142</v>
      </c>
      <c r="G26" s="47" t="s">
        <v>1007</v>
      </c>
      <c r="H26" s="47" t="s">
        <v>939</v>
      </c>
      <c r="I26" s="47" t="s">
        <v>11</v>
      </c>
      <c r="J26" s="47" t="s">
        <v>569</v>
      </c>
      <c r="K26" s="47" t="s">
        <v>81</v>
      </c>
      <c r="L26" s="47"/>
      <c r="M26" s="48">
        <v>42446.449236111112</v>
      </c>
      <c r="N26" s="47" t="s">
        <v>20</v>
      </c>
      <c r="O26" s="47" t="s">
        <v>3</v>
      </c>
      <c r="P26" s="48">
        <v>42396.884375000001</v>
      </c>
      <c r="Q26" s="47" t="s">
        <v>29</v>
      </c>
      <c r="R26" s="47"/>
      <c r="S26" s="47" t="s">
        <v>975</v>
      </c>
      <c r="T26" s="47" t="s">
        <v>17</v>
      </c>
      <c r="U26" s="47" t="s">
        <v>30</v>
      </c>
      <c r="V26" s="47" t="s">
        <v>8</v>
      </c>
      <c r="W26" s="47" t="s">
        <v>122</v>
      </c>
      <c r="X26" s="47"/>
      <c r="Y26" s="47" t="s">
        <v>7</v>
      </c>
      <c r="Z26" s="47" t="s">
        <v>10</v>
      </c>
      <c r="AA26" s="47" t="s">
        <v>44</v>
      </c>
      <c r="AB26" s="47" t="s">
        <v>82</v>
      </c>
      <c r="AC26" s="47" t="s">
        <v>7</v>
      </c>
      <c r="AD26" s="47" t="s">
        <v>7</v>
      </c>
      <c r="AE26" s="47" t="s">
        <v>7</v>
      </c>
      <c r="AF26" s="47" t="s">
        <v>7</v>
      </c>
      <c r="AG26" s="47" t="s">
        <v>7</v>
      </c>
      <c r="AH26" s="47" t="s">
        <v>7</v>
      </c>
    </row>
    <row r="27" spans="1:34" x14ac:dyDescent="0.3">
      <c r="A27" s="51" t="s">
        <v>1011</v>
      </c>
      <c r="C27" s="30">
        <v>22</v>
      </c>
      <c r="D27" s="30">
        <v>42</v>
      </c>
      <c r="E27" s="50" t="str">
        <f t="shared" ca="1" si="0"/>
        <v>76028</v>
      </c>
      <c r="F27" s="42">
        <v>76182</v>
      </c>
      <c r="G27" s="47" t="s">
        <v>324</v>
      </c>
      <c r="H27" s="47" t="s">
        <v>834</v>
      </c>
      <c r="I27" s="47" t="s">
        <v>2</v>
      </c>
      <c r="J27" s="47" t="s">
        <v>569</v>
      </c>
      <c r="K27" s="47" t="s">
        <v>81</v>
      </c>
      <c r="L27" s="47"/>
      <c r="M27" s="48">
        <v>42419.417164351849</v>
      </c>
      <c r="N27" s="47" t="s">
        <v>20</v>
      </c>
      <c r="O27" s="47" t="s">
        <v>569</v>
      </c>
      <c r="P27" s="48">
        <v>42397.023622685185</v>
      </c>
      <c r="Q27" s="47" t="s">
        <v>628</v>
      </c>
      <c r="R27" s="47"/>
      <c r="S27" s="47" t="s">
        <v>366</v>
      </c>
      <c r="T27" s="47" t="s">
        <v>17</v>
      </c>
      <c r="U27" s="47" t="s">
        <v>30</v>
      </c>
      <c r="V27" s="47" t="s">
        <v>13</v>
      </c>
      <c r="W27" s="47" t="s">
        <v>14</v>
      </c>
      <c r="X27" s="47"/>
      <c r="Y27" s="47" t="s">
        <v>7</v>
      </c>
      <c r="Z27" s="47" t="s">
        <v>10</v>
      </c>
      <c r="AA27" s="47" t="s">
        <v>7</v>
      </c>
      <c r="AB27" s="47" t="s">
        <v>82</v>
      </c>
      <c r="AC27" s="47" t="s">
        <v>7</v>
      </c>
      <c r="AD27" s="47" t="s">
        <v>7</v>
      </c>
      <c r="AE27" s="47" t="s">
        <v>7</v>
      </c>
      <c r="AF27" s="47" t="s">
        <v>309</v>
      </c>
      <c r="AG27" s="47" t="s">
        <v>7</v>
      </c>
      <c r="AH27" s="47" t="s">
        <v>7</v>
      </c>
    </row>
    <row r="28" spans="1:34" x14ac:dyDescent="0.3">
      <c r="A28" s="51"/>
      <c r="C28" s="30">
        <v>3</v>
      </c>
      <c r="D28" s="30">
        <v>43</v>
      </c>
      <c r="E28" s="50" t="str">
        <f t="shared" ca="1" si="0"/>
        <v>76338</v>
      </c>
      <c r="F28" s="42">
        <v>76372</v>
      </c>
      <c r="G28" s="47" t="s">
        <v>1007</v>
      </c>
      <c r="H28" s="47" t="s">
        <v>984</v>
      </c>
      <c r="I28" s="47" t="s">
        <v>11</v>
      </c>
      <c r="J28" s="47" t="s">
        <v>569</v>
      </c>
      <c r="K28" s="47" t="s">
        <v>81</v>
      </c>
      <c r="L28" s="47"/>
      <c r="M28" s="48">
        <v>42440.470891203702</v>
      </c>
      <c r="N28" s="47" t="s">
        <v>20</v>
      </c>
      <c r="O28" s="47" t="s">
        <v>569</v>
      </c>
      <c r="P28" s="48">
        <v>42401.523518518516</v>
      </c>
      <c r="Q28" s="47" t="s">
        <v>628</v>
      </c>
      <c r="R28" s="47"/>
      <c r="S28" s="47" t="s">
        <v>717</v>
      </c>
      <c r="T28" s="47" t="s">
        <v>17</v>
      </c>
      <c r="U28" s="47" t="s">
        <v>30</v>
      </c>
      <c r="V28" s="47" t="s">
        <v>13</v>
      </c>
      <c r="W28" s="47" t="s">
        <v>14</v>
      </c>
      <c r="X28" s="47"/>
      <c r="Y28" s="47" t="s">
        <v>7</v>
      </c>
      <c r="Z28" s="47" t="s">
        <v>10</v>
      </c>
      <c r="AA28" s="47" t="s">
        <v>7</v>
      </c>
      <c r="AB28" s="47" t="s">
        <v>82</v>
      </c>
      <c r="AC28" s="47" t="s">
        <v>7</v>
      </c>
      <c r="AD28" s="47" t="s">
        <v>7</v>
      </c>
      <c r="AE28" s="47" t="s">
        <v>7</v>
      </c>
      <c r="AF28" s="47" t="s">
        <v>7</v>
      </c>
      <c r="AG28" s="47" t="s">
        <v>7</v>
      </c>
      <c r="AH28" s="47" t="s">
        <v>7</v>
      </c>
    </row>
    <row r="29" spans="1:34" x14ac:dyDescent="0.3">
      <c r="A29" s="51"/>
      <c r="C29" s="30">
        <v>25</v>
      </c>
      <c r="D29" s="30">
        <v>46</v>
      </c>
      <c r="E29" s="50" t="str">
        <f t="shared" ca="1" si="0"/>
        <v>76320</v>
      </c>
      <c r="F29" s="42">
        <v>76386</v>
      </c>
      <c r="G29" s="47" t="s">
        <v>1057</v>
      </c>
      <c r="H29" s="47" t="s">
        <v>1023</v>
      </c>
      <c r="I29" s="47" t="s">
        <v>2</v>
      </c>
      <c r="J29" s="47" t="s">
        <v>569</v>
      </c>
      <c r="K29" s="47" t="s">
        <v>1024</v>
      </c>
      <c r="L29" s="47"/>
      <c r="M29" s="48">
        <v>42458.26489583333</v>
      </c>
      <c r="N29" s="47" t="s">
        <v>20</v>
      </c>
      <c r="O29" s="47" t="s">
        <v>48</v>
      </c>
      <c r="P29" s="48">
        <v>42401.974259259259</v>
      </c>
      <c r="Q29" s="47" t="s">
        <v>638</v>
      </c>
      <c r="R29" s="47"/>
      <c r="S29" s="47" t="s">
        <v>366</v>
      </c>
      <c r="T29" s="47" t="s">
        <v>6</v>
      </c>
      <c r="U29" s="47" t="s">
        <v>30</v>
      </c>
      <c r="V29" s="47" t="s">
        <v>8</v>
      </c>
      <c r="W29" s="47" t="s">
        <v>479</v>
      </c>
      <c r="X29" s="47"/>
      <c r="Y29" s="47" t="s">
        <v>7</v>
      </c>
      <c r="Z29" s="47" t="s">
        <v>10</v>
      </c>
      <c r="AA29" s="47" t="s">
        <v>7</v>
      </c>
      <c r="AB29" s="47" t="s">
        <v>82</v>
      </c>
      <c r="AC29" s="47" t="s">
        <v>7</v>
      </c>
      <c r="AD29" s="47" t="s">
        <v>7</v>
      </c>
      <c r="AE29" s="47" t="s">
        <v>7</v>
      </c>
      <c r="AF29" s="47" t="s">
        <v>7</v>
      </c>
      <c r="AG29" s="47" t="s">
        <v>7</v>
      </c>
      <c r="AH29" s="47" t="s">
        <v>623</v>
      </c>
    </row>
    <row r="30" spans="1:34" x14ac:dyDescent="0.3">
      <c r="A30" s="51"/>
      <c r="C30" s="30">
        <v>12</v>
      </c>
      <c r="D30" s="30">
        <v>47</v>
      </c>
      <c r="E30" s="50" t="str">
        <f t="shared" ca="1" si="0"/>
        <v>76402</v>
      </c>
      <c r="F30" s="42">
        <v>76447</v>
      </c>
      <c r="G30" s="47" t="s">
        <v>1059</v>
      </c>
      <c r="H30" s="47" t="s">
        <v>969</v>
      </c>
      <c r="I30" s="47" t="s">
        <v>2</v>
      </c>
      <c r="J30" s="47" t="s">
        <v>569</v>
      </c>
      <c r="K30" s="47" t="s">
        <v>81</v>
      </c>
      <c r="L30" s="47"/>
      <c r="M30" s="48">
        <v>42458.059548611112</v>
      </c>
      <c r="N30" s="47" t="s">
        <v>20</v>
      </c>
      <c r="O30" s="47" t="s">
        <v>80</v>
      </c>
      <c r="P30" s="48">
        <v>42402.523645833331</v>
      </c>
      <c r="Q30" s="47" t="s">
        <v>16</v>
      </c>
      <c r="R30" s="47"/>
      <c r="S30" s="47" t="s">
        <v>366</v>
      </c>
      <c r="T30" s="47" t="s">
        <v>6</v>
      </c>
      <c r="U30" s="47" t="s">
        <v>30</v>
      </c>
      <c r="V30" s="47" t="s">
        <v>13</v>
      </c>
      <c r="W30" s="47" t="s">
        <v>19</v>
      </c>
      <c r="X30" s="47"/>
      <c r="Y30" s="47" t="s">
        <v>7</v>
      </c>
      <c r="Z30" s="47" t="s">
        <v>10</v>
      </c>
      <c r="AA30" s="47" t="s">
        <v>7</v>
      </c>
      <c r="AB30" s="47" t="s">
        <v>82</v>
      </c>
      <c r="AC30" s="47" t="s">
        <v>7</v>
      </c>
      <c r="AD30" s="47" t="s">
        <v>7</v>
      </c>
      <c r="AE30" s="47" t="s">
        <v>7</v>
      </c>
      <c r="AF30" s="47" t="s">
        <v>7</v>
      </c>
      <c r="AG30" s="47" t="s">
        <v>7</v>
      </c>
      <c r="AH30" s="47" t="s">
        <v>7</v>
      </c>
    </row>
    <row r="31" spans="1:34" x14ac:dyDescent="0.3">
      <c r="A31" s="51"/>
      <c r="C31" s="30">
        <v>11</v>
      </c>
      <c r="D31" s="30">
        <v>47</v>
      </c>
      <c r="E31" s="50" t="str">
        <f t="shared" ca="1" si="0"/>
        <v>76407</v>
      </c>
      <c r="F31" s="42">
        <v>76599</v>
      </c>
      <c r="G31" s="47" t="s">
        <v>1045</v>
      </c>
      <c r="H31" s="47" t="s">
        <v>719</v>
      </c>
      <c r="I31" s="47" t="s">
        <v>11</v>
      </c>
      <c r="J31" s="47" t="s">
        <v>569</v>
      </c>
      <c r="K31" s="47" t="s">
        <v>81</v>
      </c>
      <c r="L31" s="47"/>
      <c r="M31" s="48">
        <v>42451.271006944444</v>
      </c>
      <c r="N31" s="47" t="s">
        <v>20</v>
      </c>
      <c r="O31" s="47" t="s">
        <v>569</v>
      </c>
      <c r="P31" s="48">
        <v>42405.023993055554</v>
      </c>
      <c r="Q31" s="47" t="s">
        <v>628</v>
      </c>
      <c r="R31" s="47"/>
      <c r="S31" s="47" t="s">
        <v>616</v>
      </c>
      <c r="T31" s="47" t="s">
        <v>17</v>
      </c>
      <c r="U31" s="47" t="s">
        <v>30</v>
      </c>
      <c r="V31" s="47" t="s">
        <v>13</v>
      </c>
      <c r="W31" s="47" t="s">
        <v>19</v>
      </c>
      <c r="X31" s="47"/>
      <c r="Y31" s="47" t="s">
        <v>7</v>
      </c>
      <c r="Z31" s="47" t="s">
        <v>10</v>
      </c>
      <c r="AA31" s="47" t="s">
        <v>7</v>
      </c>
      <c r="AB31" s="47" t="s">
        <v>82</v>
      </c>
      <c r="AC31" s="47" t="s">
        <v>7</v>
      </c>
      <c r="AD31" s="47" t="s">
        <v>7</v>
      </c>
      <c r="AE31" s="47" t="s">
        <v>7</v>
      </c>
      <c r="AF31" s="47" t="s">
        <v>7</v>
      </c>
      <c r="AG31" s="47" t="s">
        <v>7</v>
      </c>
      <c r="AH31" s="47" t="s">
        <v>7</v>
      </c>
    </row>
    <row r="32" spans="1:34" x14ac:dyDescent="0.3">
      <c r="A32" s="51"/>
      <c r="C32" s="30">
        <v>22</v>
      </c>
      <c r="D32" s="30">
        <v>47</v>
      </c>
      <c r="E32" s="50" t="str">
        <f t="shared" ca="1" si="0"/>
        <v>76850</v>
      </c>
      <c r="F32" s="42">
        <v>76899</v>
      </c>
      <c r="G32" s="47" t="s">
        <v>342</v>
      </c>
      <c r="H32" s="47" t="s">
        <v>836</v>
      </c>
      <c r="I32" s="47" t="s">
        <v>11</v>
      </c>
      <c r="J32" s="47" t="s">
        <v>569</v>
      </c>
      <c r="K32" s="47" t="s">
        <v>81</v>
      </c>
      <c r="L32" s="47"/>
      <c r="M32" s="48">
        <v>42423.730138888888</v>
      </c>
      <c r="N32" s="47" t="s">
        <v>20</v>
      </c>
      <c r="O32" s="47" t="s">
        <v>569</v>
      </c>
      <c r="P32" s="48">
        <v>42410.523726851854</v>
      </c>
      <c r="Q32" s="47" t="s">
        <v>628</v>
      </c>
      <c r="R32" s="47"/>
      <c r="S32" s="47" t="s">
        <v>616</v>
      </c>
      <c r="T32" s="47" t="s">
        <v>17</v>
      </c>
      <c r="U32" s="47" t="s">
        <v>30</v>
      </c>
      <c r="V32" s="47" t="s">
        <v>8</v>
      </c>
      <c r="W32" s="47" t="s">
        <v>38</v>
      </c>
      <c r="X32" s="47"/>
      <c r="Y32" s="47" t="s">
        <v>7</v>
      </c>
      <c r="Z32" s="47" t="s">
        <v>10</v>
      </c>
      <c r="AA32" s="47" t="s">
        <v>7</v>
      </c>
      <c r="AB32" s="47" t="s">
        <v>82</v>
      </c>
      <c r="AC32" s="47" t="s">
        <v>7</v>
      </c>
      <c r="AD32" s="47" t="s">
        <v>7</v>
      </c>
      <c r="AE32" s="47" t="s">
        <v>7</v>
      </c>
      <c r="AF32" s="47" t="s">
        <v>7</v>
      </c>
      <c r="AG32" s="47" t="s">
        <v>7</v>
      </c>
      <c r="AH32" s="47" t="s">
        <v>7</v>
      </c>
    </row>
    <row r="33" spans="1:34" x14ac:dyDescent="0.3">
      <c r="A33" s="51"/>
      <c r="C33" s="30">
        <v>25</v>
      </c>
      <c r="D33" s="30">
        <v>47</v>
      </c>
      <c r="E33" s="50" t="str">
        <f t="shared" ca="1" si="0"/>
        <v>77012</v>
      </c>
      <c r="F33" s="42">
        <v>77561</v>
      </c>
      <c r="G33" s="47" t="s">
        <v>1003</v>
      </c>
      <c r="H33" s="47" t="s">
        <v>978</v>
      </c>
      <c r="I33" s="47" t="s">
        <v>2</v>
      </c>
      <c r="J33" s="47" t="s">
        <v>569</v>
      </c>
      <c r="K33" s="47" t="s">
        <v>81</v>
      </c>
      <c r="L33" s="47"/>
      <c r="M33" s="48">
        <v>42450.086539351854</v>
      </c>
      <c r="N33" s="47" t="s">
        <v>20</v>
      </c>
      <c r="O33" s="47" t="s">
        <v>569</v>
      </c>
      <c r="P33" s="48">
        <v>42423.524918981479</v>
      </c>
      <c r="Q33" s="47" t="s">
        <v>628</v>
      </c>
      <c r="R33" s="47"/>
      <c r="S33" s="47" t="s">
        <v>366</v>
      </c>
      <c r="T33" s="47" t="s">
        <v>12</v>
      </c>
      <c r="U33" s="47" t="s">
        <v>30</v>
      </c>
      <c r="V33" s="47" t="s">
        <v>8</v>
      </c>
      <c r="W33" s="47" t="s">
        <v>122</v>
      </c>
      <c r="X33" s="47"/>
      <c r="Y33" s="47" t="s">
        <v>7</v>
      </c>
      <c r="Z33" s="47" t="s">
        <v>10</v>
      </c>
      <c r="AA33" s="47" t="s">
        <v>7</v>
      </c>
      <c r="AB33" s="47" t="s">
        <v>82</v>
      </c>
      <c r="AC33" s="47" t="s">
        <v>7</v>
      </c>
      <c r="AD33" s="47" t="s">
        <v>7</v>
      </c>
      <c r="AE33" s="47" t="s">
        <v>7</v>
      </c>
      <c r="AF33" s="47" t="s">
        <v>7</v>
      </c>
      <c r="AG33" s="47" t="s">
        <v>7</v>
      </c>
      <c r="AH33" s="47" t="s">
        <v>7</v>
      </c>
    </row>
    <row r="34" spans="1:34" x14ac:dyDescent="0.3">
      <c r="A34" s="30" t="s">
        <v>1010</v>
      </c>
      <c r="C34" s="30">
        <v>5</v>
      </c>
      <c r="D34" s="30">
        <v>48</v>
      </c>
      <c r="E34" s="50" t="str">
        <f t="shared" ref="E34:E65" ca="1" si="1">HYPERLINK(CONCATENATE("https://bugzilla.houston.hpecorp.net:1181/bugzilla/show_bug.cgi?id=",MID(INDIRECT($A$100&amp;ROW()),9,5)),MID(INDIRECT($A$100&amp;ROW()),9,5))</f>
        <v>77554</v>
      </c>
      <c r="F34" s="42">
        <v>77608</v>
      </c>
      <c r="G34" s="47" t="s">
        <v>1003</v>
      </c>
      <c r="H34" s="47" t="s">
        <v>979</v>
      </c>
      <c r="I34" s="47" t="s">
        <v>11</v>
      </c>
      <c r="J34" s="47" t="s">
        <v>569</v>
      </c>
      <c r="K34" s="47" t="s">
        <v>81</v>
      </c>
      <c r="L34" s="47"/>
      <c r="M34" s="48">
        <v>42457.96398148148</v>
      </c>
      <c r="N34" s="47" t="s">
        <v>20</v>
      </c>
      <c r="O34" s="47" t="s">
        <v>569</v>
      </c>
      <c r="P34" s="48">
        <v>42424.024618055555</v>
      </c>
      <c r="Q34" s="47" t="s">
        <v>628</v>
      </c>
      <c r="R34" s="47"/>
      <c r="S34" s="47" t="s">
        <v>717</v>
      </c>
      <c r="T34" s="47" t="s">
        <v>17</v>
      </c>
      <c r="U34" s="47" t="s">
        <v>30</v>
      </c>
      <c r="V34" s="47" t="s">
        <v>8</v>
      </c>
      <c r="W34" s="47" t="s">
        <v>971</v>
      </c>
      <c r="X34" s="47"/>
      <c r="Y34" s="47" t="s">
        <v>7</v>
      </c>
      <c r="Z34" s="47" t="s">
        <v>10</v>
      </c>
      <c r="AA34" s="47" t="s">
        <v>7</v>
      </c>
      <c r="AB34" s="47" t="s">
        <v>82</v>
      </c>
      <c r="AC34" s="47" t="s">
        <v>7</v>
      </c>
      <c r="AD34" s="47" t="s">
        <v>7</v>
      </c>
      <c r="AE34" s="47" t="s">
        <v>7</v>
      </c>
      <c r="AF34" s="47" t="s">
        <v>7</v>
      </c>
      <c r="AG34" s="47" t="s">
        <v>7</v>
      </c>
      <c r="AH34" s="47" t="s">
        <v>7</v>
      </c>
    </row>
    <row r="35" spans="1:34" x14ac:dyDescent="0.3">
      <c r="A35" s="30" t="s">
        <v>1010</v>
      </c>
      <c r="C35" s="30">
        <v>10</v>
      </c>
      <c r="D35" s="30">
        <v>48</v>
      </c>
      <c r="E35" s="50" t="str">
        <f t="shared" ca="1" si="1"/>
        <v>77594</v>
      </c>
      <c r="F35" s="42">
        <v>77680</v>
      </c>
      <c r="G35" s="47" t="s">
        <v>1007</v>
      </c>
      <c r="H35" s="47" t="s">
        <v>981</v>
      </c>
      <c r="I35" s="47" t="s">
        <v>2</v>
      </c>
      <c r="J35" s="47" t="s">
        <v>569</v>
      </c>
      <c r="K35" s="47" t="s">
        <v>81</v>
      </c>
      <c r="L35" s="47"/>
      <c r="M35" s="48">
        <v>42443.435902777775</v>
      </c>
      <c r="N35" s="47" t="s">
        <v>20</v>
      </c>
      <c r="O35" s="47" t="s">
        <v>569</v>
      </c>
      <c r="P35" s="48">
        <v>42424.524386574078</v>
      </c>
      <c r="Q35" s="47" t="s">
        <v>982</v>
      </c>
      <c r="R35" s="47"/>
      <c r="S35" s="47" t="s">
        <v>717</v>
      </c>
      <c r="T35" s="47" t="s">
        <v>17</v>
      </c>
      <c r="U35" s="47" t="s">
        <v>30</v>
      </c>
      <c r="V35" s="47" t="s">
        <v>13</v>
      </c>
      <c r="W35" s="47" t="s">
        <v>14</v>
      </c>
      <c r="X35" s="47"/>
      <c r="Y35" s="47" t="s">
        <v>7</v>
      </c>
      <c r="Z35" s="47" t="s">
        <v>10</v>
      </c>
      <c r="AA35" s="47" t="s">
        <v>7</v>
      </c>
      <c r="AB35" s="47" t="s">
        <v>82</v>
      </c>
      <c r="AC35" s="47" t="s">
        <v>7</v>
      </c>
      <c r="AD35" s="47" t="s">
        <v>7</v>
      </c>
      <c r="AE35" s="47" t="s">
        <v>7</v>
      </c>
      <c r="AF35" s="47" t="s">
        <v>7</v>
      </c>
      <c r="AG35" s="47" t="s">
        <v>7</v>
      </c>
      <c r="AH35" s="47" t="s">
        <v>7</v>
      </c>
    </row>
    <row r="36" spans="1:34" x14ac:dyDescent="0.3">
      <c r="A36" s="30" t="s">
        <v>1010</v>
      </c>
      <c r="C36" s="30">
        <v>21</v>
      </c>
      <c r="D36" s="30">
        <v>52</v>
      </c>
      <c r="E36" s="50" t="str">
        <f t="shared" ca="1" si="1"/>
        <v>77692</v>
      </c>
      <c r="F36" s="42">
        <v>77706</v>
      </c>
      <c r="G36" s="47" t="s">
        <v>324</v>
      </c>
      <c r="H36" s="47" t="s">
        <v>985</v>
      </c>
      <c r="I36" s="47" t="s">
        <v>11</v>
      </c>
      <c r="J36" s="47" t="s">
        <v>569</v>
      </c>
      <c r="K36" s="47" t="s">
        <v>81</v>
      </c>
      <c r="L36" s="47"/>
      <c r="M36" s="48">
        <v>42431.316817129627</v>
      </c>
      <c r="N36" s="47" t="s">
        <v>20</v>
      </c>
      <c r="O36" s="47" t="s">
        <v>569</v>
      </c>
      <c r="P36" s="48">
        <v>42425.02412037037</v>
      </c>
      <c r="Q36" s="47" t="s">
        <v>628</v>
      </c>
      <c r="R36" s="47"/>
      <c r="S36" s="47" t="s">
        <v>616</v>
      </c>
      <c r="T36" s="47" t="s">
        <v>17</v>
      </c>
      <c r="U36" s="47" t="s">
        <v>30</v>
      </c>
      <c r="V36" s="47" t="s">
        <v>8</v>
      </c>
      <c r="W36" s="47" t="s">
        <v>971</v>
      </c>
      <c r="X36" s="47"/>
      <c r="Y36" s="47" t="s">
        <v>7</v>
      </c>
      <c r="Z36" s="47" t="s">
        <v>10</v>
      </c>
      <c r="AA36" s="47" t="s">
        <v>7</v>
      </c>
      <c r="AB36" s="47" t="s">
        <v>82</v>
      </c>
      <c r="AC36" s="47" t="s">
        <v>7</v>
      </c>
      <c r="AD36" s="47" t="s">
        <v>7</v>
      </c>
      <c r="AE36" s="47" t="s">
        <v>7</v>
      </c>
      <c r="AF36" s="47" t="s">
        <v>7</v>
      </c>
      <c r="AG36" s="47" t="s">
        <v>7</v>
      </c>
      <c r="AH36" s="47" t="s">
        <v>7</v>
      </c>
    </row>
    <row r="37" spans="1:34" x14ac:dyDescent="0.3">
      <c r="A37" s="51"/>
      <c r="B37" s="53"/>
      <c r="C37" s="30">
        <v>4</v>
      </c>
      <c r="D37" s="30">
        <v>14</v>
      </c>
      <c r="E37" s="50" t="str">
        <f t="shared" ca="1" si="1"/>
        <v>77761</v>
      </c>
      <c r="F37" s="42">
        <v>77773</v>
      </c>
      <c r="G37" s="47" t="s">
        <v>324</v>
      </c>
      <c r="H37" s="47" t="s">
        <v>986</v>
      </c>
      <c r="I37" s="47" t="s">
        <v>2</v>
      </c>
      <c r="J37" s="47" t="s">
        <v>569</v>
      </c>
      <c r="K37" s="47" t="s">
        <v>81</v>
      </c>
      <c r="L37" s="47"/>
      <c r="M37" s="48">
        <v>42450.623993055553</v>
      </c>
      <c r="N37" s="47" t="s">
        <v>20</v>
      </c>
      <c r="O37" s="47" t="s">
        <v>80</v>
      </c>
      <c r="P37" s="48">
        <v>42426.024108796293</v>
      </c>
      <c r="Q37" s="47" t="s">
        <v>116</v>
      </c>
      <c r="R37" s="47"/>
      <c r="S37" s="47" t="s">
        <v>366</v>
      </c>
      <c r="T37" s="47" t="s">
        <v>6</v>
      </c>
      <c r="U37" s="47" t="s">
        <v>30</v>
      </c>
      <c r="V37" s="47" t="s">
        <v>13</v>
      </c>
      <c r="W37" s="47" t="s">
        <v>19</v>
      </c>
      <c r="X37" s="47"/>
      <c r="Y37" s="47" t="s">
        <v>7</v>
      </c>
      <c r="Z37" s="47" t="s">
        <v>10</v>
      </c>
      <c r="AA37" s="47" t="s">
        <v>44</v>
      </c>
      <c r="AB37" s="47" t="s">
        <v>82</v>
      </c>
      <c r="AC37" s="47" t="s">
        <v>7</v>
      </c>
      <c r="AD37" s="47" t="s">
        <v>7</v>
      </c>
      <c r="AE37" s="47" t="s">
        <v>7</v>
      </c>
      <c r="AF37" s="47" t="s">
        <v>7</v>
      </c>
      <c r="AG37" s="47" t="s">
        <v>7</v>
      </c>
      <c r="AH37" s="47" t="s">
        <v>623</v>
      </c>
    </row>
    <row r="38" spans="1:34" x14ac:dyDescent="0.3">
      <c r="A38" s="30" t="s">
        <v>1010</v>
      </c>
      <c r="C38" s="30">
        <v>21</v>
      </c>
      <c r="D38" s="30">
        <v>52</v>
      </c>
      <c r="E38" s="50" t="str">
        <f t="shared" ca="1" si="1"/>
        <v>77756</v>
      </c>
      <c r="F38" s="42">
        <v>77775</v>
      </c>
      <c r="G38" s="47" t="s">
        <v>337</v>
      </c>
      <c r="H38" s="47" t="s">
        <v>987</v>
      </c>
      <c r="I38" s="47" t="s">
        <v>652</v>
      </c>
      <c r="J38" s="47" t="s">
        <v>569</v>
      </c>
      <c r="K38" s="47" t="s">
        <v>81</v>
      </c>
      <c r="L38" s="47"/>
      <c r="M38" s="48">
        <v>42457.363379629627</v>
      </c>
      <c r="N38" s="47" t="s">
        <v>20</v>
      </c>
      <c r="O38" s="47" t="s">
        <v>569</v>
      </c>
      <c r="P38" s="48">
        <v>42426.024363425924</v>
      </c>
      <c r="Q38" s="47" t="s">
        <v>628</v>
      </c>
      <c r="R38" s="47"/>
      <c r="S38" s="47" t="s">
        <v>717</v>
      </c>
      <c r="T38" s="47" t="s">
        <v>17</v>
      </c>
      <c r="U38" s="47" t="s">
        <v>30</v>
      </c>
      <c r="V38" s="47" t="s">
        <v>13</v>
      </c>
      <c r="W38" s="47" t="s">
        <v>19</v>
      </c>
      <c r="X38" s="47"/>
      <c r="Y38" s="47" t="s">
        <v>7</v>
      </c>
      <c r="Z38" s="47" t="s">
        <v>10</v>
      </c>
      <c r="AA38" s="47" t="s">
        <v>7</v>
      </c>
      <c r="AB38" s="47" t="s">
        <v>82</v>
      </c>
      <c r="AC38" s="47" t="s">
        <v>1054</v>
      </c>
      <c r="AD38" s="47" t="s">
        <v>7</v>
      </c>
      <c r="AE38" s="47" t="s">
        <v>7</v>
      </c>
      <c r="AF38" s="47" t="s">
        <v>309</v>
      </c>
      <c r="AG38" s="47" t="s">
        <v>7</v>
      </c>
      <c r="AH38" s="47" t="s">
        <v>7</v>
      </c>
    </row>
    <row r="39" spans="1:34" x14ac:dyDescent="0.3">
      <c r="A39" s="30" t="s">
        <v>1010</v>
      </c>
      <c r="C39" s="30">
        <v>21</v>
      </c>
      <c r="D39" s="30">
        <v>52</v>
      </c>
      <c r="E39" s="50" t="str">
        <f t="shared" ca="1" si="1"/>
        <v>77493</v>
      </c>
      <c r="F39" s="42">
        <v>77891</v>
      </c>
      <c r="G39" s="47" t="s">
        <v>1016</v>
      </c>
      <c r="H39" s="47" t="s">
        <v>997</v>
      </c>
      <c r="I39" s="47" t="s">
        <v>11</v>
      </c>
      <c r="J39" s="47" t="s">
        <v>569</v>
      </c>
      <c r="K39" s="47" t="s">
        <v>81</v>
      </c>
      <c r="L39" s="47"/>
      <c r="M39" s="48">
        <v>42451.309733796297</v>
      </c>
      <c r="N39" s="47" t="s">
        <v>20</v>
      </c>
      <c r="O39" s="47" t="s">
        <v>569</v>
      </c>
      <c r="P39" s="48">
        <v>42429.524467592593</v>
      </c>
      <c r="Q39" s="47" t="s">
        <v>628</v>
      </c>
      <c r="R39" s="47"/>
      <c r="S39" s="47" t="s">
        <v>616</v>
      </c>
      <c r="T39" s="47" t="s">
        <v>17</v>
      </c>
      <c r="U39" s="47" t="s">
        <v>30</v>
      </c>
      <c r="V39" s="47" t="s">
        <v>13</v>
      </c>
      <c r="W39" s="47" t="s">
        <v>35</v>
      </c>
      <c r="X39" s="47"/>
      <c r="Y39" s="47" t="s">
        <v>7</v>
      </c>
      <c r="Z39" s="47" t="s">
        <v>10</v>
      </c>
      <c r="AA39" s="47" t="s">
        <v>7</v>
      </c>
      <c r="AB39" s="47" t="s">
        <v>82</v>
      </c>
      <c r="AC39" s="47" t="s">
        <v>7</v>
      </c>
      <c r="AD39" s="47" t="s">
        <v>7</v>
      </c>
      <c r="AE39" s="47" t="s">
        <v>7</v>
      </c>
      <c r="AF39" s="47" t="s">
        <v>7</v>
      </c>
      <c r="AG39" s="47" t="s">
        <v>7</v>
      </c>
      <c r="AH39" s="47" t="s">
        <v>7</v>
      </c>
    </row>
    <row r="40" spans="1:34" x14ac:dyDescent="0.3">
      <c r="A40" s="30" t="s">
        <v>1010</v>
      </c>
      <c r="C40" s="30">
        <v>21</v>
      </c>
      <c r="D40" s="30">
        <v>53</v>
      </c>
      <c r="E40" s="50" t="str">
        <f t="shared" ca="1" si="1"/>
        <v>78061</v>
      </c>
      <c r="F40" s="42">
        <v>78076</v>
      </c>
      <c r="G40" s="47" t="s">
        <v>1017</v>
      </c>
      <c r="H40" s="47" t="s">
        <v>988</v>
      </c>
      <c r="I40" s="47" t="s">
        <v>11</v>
      </c>
      <c r="J40" s="47" t="s">
        <v>569</v>
      </c>
      <c r="K40" s="47" t="s">
        <v>81</v>
      </c>
      <c r="L40" s="47"/>
      <c r="M40" s="48">
        <v>42444.098368055558</v>
      </c>
      <c r="N40" s="47" t="s">
        <v>20</v>
      </c>
      <c r="O40" s="47" t="s">
        <v>561</v>
      </c>
      <c r="P40" s="48">
        <v>42431.524340277778</v>
      </c>
      <c r="Q40" s="47" t="s">
        <v>16</v>
      </c>
      <c r="R40" s="47"/>
      <c r="S40" s="47" t="s">
        <v>366</v>
      </c>
      <c r="T40" s="47" t="s">
        <v>17</v>
      </c>
      <c r="U40" s="47" t="s">
        <v>30</v>
      </c>
      <c r="V40" s="47" t="s">
        <v>13</v>
      </c>
      <c r="W40" s="47" t="s">
        <v>19</v>
      </c>
      <c r="X40" s="47"/>
      <c r="Y40" s="47" t="s">
        <v>7</v>
      </c>
      <c r="Z40" s="47" t="s">
        <v>10</v>
      </c>
      <c r="AA40" s="47" t="s">
        <v>7</v>
      </c>
      <c r="AB40" s="47" t="s">
        <v>82</v>
      </c>
      <c r="AC40" s="47" t="s">
        <v>7</v>
      </c>
      <c r="AD40" s="47" t="s">
        <v>7</v>
      </c>
      <c r="AE40" s="47" t="s">
        <v>7</v>
      </c>
      <c r="AF40" s="47" t="s">
        <v>7</v>
      </c>
      <c r="AG40" s="47" t="s">
        <v>7</v>
      </c>
      <c r="AH40" s="47" t="s">
        <v>7</v>
      </c>
    </row>
    <row r="41" spans="1:34" x14ac:dyDescent="0.3">
      <c r="A41" s="30" t="s">
        <v>1010</v>
      </c>
      <c r="C41" s="30">
        <v>10</v>
      </c>
      <c r="D41" s="30">
        <v>54</v>
      </c>
      <c r="E41" s="50" t="str">
        <f t="shared" ca="1" si="1"/>
        <v>77990</v>
      </c>
      <c r="F41" s="42">
        <v>78078</v>
      </c>
      <c r="G41" s="47" t="s">
        <v>343</v>
      </c>
      <c r="H41" s="47" t="s">
        <v>989</v>
      </c>
      <c r="I41" s="47" t="s">
        <v>2</v>
      </c>
      <c r="J41" s="47" t="s">
        <v>569</v>
      </c>
      <c r="K41" s="47" t="s">
        <v>81</v>
      </c>
      <c r="L41" s="47"/>
      <c r="M41" s="48">
        <v>42439.48232638889</v>
      </c>
      <c r="N41" s="47" t="s">
        <v>20</v>
      </c>
      <c r="O41" s="47" t="s">
        <v>48</v>
      </c>
      <c r="P41" s="48">
        <v>42431.525046296294</v>
      </c>
      <c r="Q41" s="47" t="s">
        <v>16</v>
      </c>
      <c r="R41" s="47"/>
      <c r="S41" s="47" t="s">
        <v>366</v>
      </c>
      <c r="T41" s="47" t="s">
        <v>17</v>
      </c>
      <c r="U41" s="47" t="s">
        <v>30</v>
      </c>
      <c r="V41" s="47" t="s">
        <v>13</v>
      </c>
      <c r="W41" s="47" t="s">
        <v>292</v>
      </c>
      <c r="X41" s="47"/>
      <c r="Y41" s="47" t="s">
        <v>7</v>
      </c>
      <c r="Z41" s="47" t="s">
        <v>10</v>
      </c>
      <c r="AA41" s="47" t="s">
        <v>7</v>
      </c>
      <c r="AB41" s="47" t="s">
        <v>82</v>
      </c>
      <c r="AC41" s="47" t="s">
        <v>7</v>
      </c>
      <c r="AD41" s="47" t="s">
        <v>7</v>
      </c>
      <c r="AE41" s="47" t="s">
        <v>7</v>
      </c>
      <c r="AF41" s="47" t="s">
        <v>7</v>
      </c>
      <c r="AG41" s="47" t="s">
        <v>7</v>
      </c>
      <c r="AH41" s="47" t="s">
        <v>7</v>
      </c>
    </row>
    <row r="42" spans="1:34" x14ac:dyDescent="0.3">
      <c r="A42" s="51"/>
      <c r="C42" s="30">
        <v>21</v>
      </c>
      <c r="D42" s="30">
        <v>54</v>
      </c>
      <c r="E42" s="50" t="str">
        <f t="shared" ca="1" si="1"/>
        <v>77746</v>
      </c>
      <c r="F42" s="42">
        <v>78171</v>
      </c>
      <c r="G42" s="47" t="s">
        <v>324</v>
      </c>
      <c r="H42" s="47" t="s">
        <v>1001</v>
      </c>
      <c r="I42" s="47" t="s">
        <v>2</v>
      </c>
      <c r="J42" s="47" t="s">
        <v>569</v>
      </c>
      <c r="K42" s="47" t="s">
        <v>81</v>
      </c>
      <c r="L42" s="47"/>
      <c r="M42" s="48">
        <v>42432.525983796295</v>
      </c>
      <c r="N42" s="47" t="s">
        <v>20</v>
      </c>
      <c r="O42" s="47" t="s">
        <v>569</v>
      </c>
      <c r="P42" s="48">
        <v>42432.525983796295</v>
      </c>
      <c r="Q42" s="47" t="s">
        <v>5</v>
      </c>
      <c r="R42" s="47"/>
      <c r="S42" s="47" t="s">
        <v>366</v>
      </c>
      <c r="T42" s="47" t="s">
        <v>12</v>
      </c>
      <c r="U42" s="47" t="s">
        <v>30</v>
      </c>
      <c r="V42" s="47" t="s">
        <v>24</v>
      </c>
      <c r="W42" s="47" t="s">
        <v>47</v>
      </c>
      <c r="X42" s="47"/>
      <c r="Y42" s="47" t="s">
        <v>7</v>
      </c>
      <c r="Z42" s="47" t="s">
        <v>10</v>
      </c>
      <c r="AA42" s="47" t="s">
        <v>7</v>
      </c>
      <c r="AB42" s="47" t="s">
        <v>82</v>
      </c>
      <c r="AC42" s="47" t="s">
        <v>7</v>
      </c>
      <c r="AD42" s="47" t="s">
        <v>7</v>
      </c>
      <c r="AE42" s="47" t="s">
        <v>7</v>
      </c>
      <c r="AF42" s="47" t="s">
        <v>7</v>
      </c>
      <c r="AG42" s="47" t="s">
        <v>7</v>
      </c>
      <c r="AH42" s="47" t="s">
        <v>7</v>
      </c>
    </row>
    <row r="43" spans="1:34" x14ac:dyDescent="0.3">
      <c r="A43" s="51"/>
      <c r="C43" s="30">
        <v>25</v>
      </c>
      <c r="D43" s="30">
        <v>54</v>
      </c>
      <c r="E43" s="50" t="str">
        <f t="shared" ca="1" si="1"/>
        <v>78177</v>
      </c>
      <c r="F43" s="42">
        <v>78197</v>
      </c>
      <c r="G43" s="47" t="s">
        <v>1058</v>
      </c>
      <c r="H43" s="47" t="s">
        <v>1002</v>
      </c>
      <c r="I43" s="47" t="s">
        <v>2</v>
      </c>
      <c r="J43" s="47" t="s">
        <v>569</v>
      </c>
      <c r="K43" s="47" t="s">
        <v>81</v>
      </c>
      <c r="L43" s="47"/>
      <c r="M43" s="48">
        <v>42458.08011574074</v>
      </c>
      <c r="N43" s="47" t="s">
        <v>20</v>
      </c>
      <c r="O43" s="47" t="s">
        <v>569</v>
      </c>
      <c r="P43" s="48">
        <v>42433.024340277778</v>
      </c>
      <c r="Q43" s="47" t="s">
        <v>628</v>
      </c>
      <c r="R43" s="47"/>
      <c r="S43" s="47" t="s">
        <v>616</v>
      </c>
      <c r="T43" s="47" t="s">
        <v>6</v>
      </c>
      <c r="U43" s="47" t="s">
        <v>30</v>
      </c>
      <c r="V43" s="47" t="s">
        <v>8</v>
      </c>
      <c r="W43" s="47" t="s">
        <v>153</v>
      </c>
      <c r="X43" s="47"/>
      <c r="Y43" s="47" t="s">
        <v>7</v>
      </c>
      <c r="Z43" s="47" t="s">
        <v>10</v>
      </c>
      <c r="AA43" s="47" t="s">
        <v>7</v>
      </c>
      <c r="AB43" s="47" t="s">
        <v>82</v>
      </c>
      <c r="AC43" s="47" t="s">
        <v>7</v>
      </c>
      <c r="AD43" s="47" t="s">
        <v>7</v>
      </c>
      <c r="AE43" s="47" t="s">
        <v>7</v>
      </c>
      <c r="AF43" s="47" t="s">
        <v>7</v>
      </c>
      <c r="AG43" s="47" t="s">
        <v>7</v>
      </c>
      <c r="AH43" s="47" t="s">
        <v>7</v>
      </c>
    </row>
    <row r="44" spans="1:34" x14ac:dyDescent="0.3">
      <c r="A44" s="30" t="s">
        <v>1010</v>
      </c>
      <c r="C44" s="30">
        <v>10</v>
      </c>
      <c r="D44" s="30">
        <v>55</v>
      </c>
      <c r="E44" s="50" t="str">
        <f t="shared" ca="1" si="1"/>
        <v>78423</v>
      </c>
      <c r="F44" s="42">
        <v>78437</v>
      </c>
      <c r="G44" s="47" t="s">
        <v>337</v>
      </c>
      <c r="H44" s="47" t="s">
        <v>1004</v>
      </c>
      <c r="I44" s="47" t="s">
        <v>11</v>
      </c>
      <c r="J44" s="47" t="s">
        <v>569</v>
      </c>
      <c r="K44" s="47" t="s">
        <v>81</v>
      </c>
      <c r="L44" s="47"/>
      <c r="M44" s="48">
        <v>42447.302708333336</v>
      </c>
      <c r="N44" s="47" t="s">
        <v>20</v>
      </c>
      <c r="O44" s="47" t="s">
        <v>48</v>
      </c>
      <c r="P44" s="48">
        <v>42438.024618055555</v>
      </c>
      <c r="Q44" s="47" t="s">
        <v>16</v>
      </c>
      <c r="R44" s="47"/>
      <c r="S44" s="47" t="s">
        <v>366</v>
      </c>
      <c r="T44" s="47" t="s">
        <v>12</v>
      </c>
      <c r="U44" s="47" t="s">
        <v>30</v>
      </c>
      <c r="V44" s="47" t="s">
        <v>13</v>
      </c>
      <c r="W44" s="47" t="s">
        <v>19</v>
      </c>
      <c r="X44" s="47"/>
      <c r="Y44" s="47" t="s">
        <v>7</v>
      </c>
      <c r="Z44" s="47" t="s">
        <v>1022</v>
      </c>
      <c r="AA44" s="47" t="s">
        <v>7</v>
      </c>
      <c r="AB44" s="47" t="s">
        <v>82</v>
      </c>
      <c r="AC44" s="47" t="s">
        <v>7</v>
      </c>
      <c r="AD44" s="47" t="s">
        <v>7</v>
      </c>
      <c r="AE44" s="47" t="s">
        <v>7</v>
      </c>
      <c r="AF44" s="47" t="s">
        <v>7</v>
      </c>
      <c r="AG44" s="47" t="s">
        <v>7</v>
      </c>
      <c r="AH44" s="47" t="s">
        <v>7</v>
      </c>
    </row>
    <row r="45" spans="1:34" x14ac:dyDescent="0.3">
      <c r="A45" s="51"/>
      <c r="C45" s="30">
        <v>3</v>
      </c>
      <c r="D45" s="30">
        <v>67</v>
      </c>
      <c r="E45" s="50" t="str">
        <f t="shared" ca="1" si="1"/>
        <v>78501</v>
      </c>
      <c r="F45" s="42">
        <v>78511</v>
      </c>
      <c r="G45" s="47" t="s">
        <v>343</v>
      </c>
      <c r="H45" s="47" t="s">
        <v>1005</v>
      </c>
      <c r="I45" s="47" t="s">
        <v>11</v>
      </c>
      <c r="J45" s="47" t="s">
        <v>569</v>
      </c>
      <c r="K45" s="47" t="s">
        <v>81</v>
      </c>
      <c r="L45" s="47"/>
      <c r="M45" s="48">
        <v>42451.35224537037</v>
      </c>
      <c r="N45" s="47" t="s">
        <v>20</v>
      </c>
      <c r="O45" s="47" t="s">
        <v>48</v>
      </c>
      <c r="P45" s="48">
        <v>42438.524537037039</v>
      </c>
      <c r="Q45" s="47" t="s">
        <v>16</v>
      </c>
      <c r="R45" s="47"/>
      <c r="S45" s="47" t="s">
        <v>366</v>
      </c>
      <c r="T45" s="47" t="s">
        <v>17</v>
      </c>
      <c r="U45" s="47" t="s">
        <v>30</v>
      </c>
      <c r="V45" s="47" t="s">
        <v>13</v>
      </c>
      <c r="W45" s="47" t="s">
        <v>19</v>
      </c>
      <c r="X45" s="47"/>
      <c r="Y45" s="47" t="s">
        <v>7</v>
      </c>
      <c r="Z45" s="47" t="s">
        <v>10</v>
      </c>
      <c r="AA45" s="47" t="s">
        <v>7</v>
      </c>
      <c r="AB45" s="47" t="s">
        <v>82</v>
      </c>
      <c r="AC45" s="47" t="s">
        <v>7</v>
      </c>
      <c r="AD45" s="47" t="s">
        <v>7</v>
      </c>
      <c r="AE45" s="47" t="s">
        <v>7</v>
      </c>
      <c r="AF45" s="47" t="s">
        <v>7</v>
      </c>
      <c r="AG45" s="47" t="s">
        <v>7</v>
      </c>
      <c r="AH45" s="47" t="s">
        <v>7</v>
      </c>
    </row>
    <row r="46" spans="1:34" x14ac:dyDescent="0.3">
      <c r="A46" s="30" t="s">
        <v>1010</v>
      </c>
      <c r="B46" s="59"/>
      <c r="C46" s="30">
        <v>21</v>
      </c>
      <c r="D46" s="30">
        <v>68</v>
      </c>
      <c r="E46" s="50" t="str">
        <f t="shared" ca="1" si="1"/>
        <v>78153</v>
      </c>
      <c r="F46" s="42">
        <v>78594</v>
      </c>
      <c r="G46" s="47" t="s">
        <v>332</v>
      </c>
      <c r="H46" s="47" t="s">
        <v>1006</v>
      </c>
      <c r="I46" s="47" t="s">
        <v>2</v>
      </c>
      <c r="J46" s="47" t="s">
        <v>569</v>
      </c>
      <c r="K46" s="47" t="s">
        <v>81</v>
      </c>
      <c r="L46" s="47"/>
      <c r="M46" s="48">
        <v>42439.372557870367</v>
      </c>
      <c r="N46" s="47" t="s">
        <v>20</v>
      </c>
      <c r="O46" s="47" t="s">
        <v>48</v>
      </c>
      <c r="P46" s="48">
        <v>42439.303101851852</v>
      </c>
      <c r="Q46" s="47" t="s">
        <v>5</v>
      </c>
      <c r="R46" s="47"/>
      <c r="S46" s="47" t="s">
        <v>366</v>
      </c>
      <c r="T46" s="47" t="s">
        <v>6</v>
      </c>
      <c r="U46" s="47" t="s">
        <v>30</v>
      </c>
      <c r="V46" s="47" t="s">
        <v>24</v>
      </c>
      <c r="W46" s="47" t="s">
        <v>46</v>
      </c>
      <c r="X46" s="47"/>
      <c r="Y46" s="47" t="s">
        <v>7</v>
      </c>
      <c r="Z46" s="47" t="s">
        <v>10</v>
      </c>
      <c r="AA46" s="47" t="s">
        <v>7</v>
      </c>
      <c r="AB46" s="47" t="s">
        <v>82</v>
      </c>
      <c r="AC46" s="47" t="s">
        <v>7</v>
      </c>
      <c r="AD46" s="47" t="s">
        <v>7</v>
      </c>
      <c r="AE46" s="47" t="s">
        <v>7</v>
      </c>
      <c r="AF46" s="47" t="s">
        <v>7</v>
      </c>
      <c r="AG46" s="47" t="s">
        <v>7</v>
      </c>
      <c r="AH46" s="47" t="s">
        <v>7</v>
      </c>
    </row>
    <row r="47" spans="1:34" x14ac:dyDescent="0.3">
      <c r="A47" s="51"/>
      <c r="C47" s="30">
        <v>22</v>
      </c>
      <c r="D47" s="30">
        <v>68</v>
      </c>
      <c r="E47" s="50" t="str">
        <f t="shared" ca="1" si="1"/>
        <v>78518</v>
      </c>
      <c r="F47" s="42">
        <v>78678</v>
      </c>
      <c r="G47" s="47" t="s">
        <v>332</v>
      </c>
      <c r="H47" s="47" t="s">
        <v>1018</v>
      </c>
      <c r="I47" s="47" t="s">
        <v>2</v>
      </c>
      <c r="J47" s="47" t="s">
        <v>569</v>
      </c>
      <c r="K47" s="47" t="s">
        <v>316</v>
      </c>
      <c r="L47" s="47"/>
      <c r="M47" s="48">
        <v>42445.330381944441</v>
      </c>
      <c r="N47" s="47" t="s">
        <v>20</v>
      </c>
      <c r="O47" s="47" t="s">
        <v>569</v>
      </c>
      <c r="P47" s="48">
        <v>42440.752071759256</v>
      </c>
      <c r="Q47" s="47" t="s">
        <v>5</v>
      </c>
      <c r="R47" s="47"/>
      <c r="S47" s="47" t="s">
        <v>366</v>
      </c>
      <c r="T47" s="47" t="s">
        <v>6</v>
      </c>
      <c r="U47" s="47" t="s">
        <v>30</v>
      </c>
      <c r="V47" s="47" t="s">
        <v>24</v>
      </c>
      <c r="W47" s="47" t="s">
        <v>46</v>
      </c>
      <c r="X47" s="47"/>
      <c r="Y47" s="47" t="s">
        <v>7</v>
      </c>
      <c r="Z47" s="47" t="s">
        <v>10</v>
      </c>
      <c r="AA47" s="47" t="s">
        <v>7</v>
      </c>
      <c r="AB47" s="47" t="s">
        <v>82</v>
      </c>
      <c r="AC47" s="47" t="s">
        <v>7</v>
      </c>
      <c r="AD47" s="47" t="s">
        <v>7</v>
      </c>
      <c r="AE47" s="47" t="s">
        <v>7</v>
      </c>
      <c r="AF47" s="47" t="s">
        <v>7</v>
      </c>
      <c r="AG47" s="47" t="s">
        <v>7</v>
      </c>
      <c r="AH47" s="47" t="s">
        <v>7</v>
      </c>
    </row>
    <row r="48" spans="1:34" x14ac:dyDescent="0.3">
      <c r="A48" s="30" t="s">
        <v>1010</v>
      </c>
      <c r="C48" s="30">
        <v>7</v>
      </c>
      <c r="D48" s="30">
        <v>88</v>
      </c>
      <c r="E48" s="50" t="str">
        <f t="shared" ca="1" si="1"/>
        <v>78684</v>
      </c>
      <c r="F48" s="42">
        <v>78685</v>
      </c>
      <c r="G48" s="47" t="s">
        <v>1003</v>
      </c>
      <c r="H48" s="47" t="s">
        <v>1008</v>
      </c>
      <c r="I48" s="47" t="s">
        <v>2</v>
      </c>
      <c r="J48" s="47" t="s">
        <v>569</v>
      </c>
      <c r="K48" s="47" t="s">
        <v>81</v>
      </c>
      <c r="L48" s="47"/>
      <c r="M48" s="48">
        <v>42454.669768518521</v>
      </c>
      <c r="N48" s="47" t="s">
        <v>159</v>
      </c>
      <c r="O48" s="47" t="s">
        <v>569</v>
      </c>
      <c r="P48" s="48">
        <v>42441.524606481478</v>
      </c>
      <c r="Q48" s="47" t="s">
        <v>168</v>
      </c>
      <c r="R48" s="47"/>
      <c r="S48" s="47" t="s">
        <v>616</v>
      </c>
      <c r="T48" s="47" t="s">
        <v>6</v>
      </c>
      <c r="U48" s="47" t="s">
        <v>30</v>
      </c>
      <c r="V48" s="47" t="s">
        <v>8</v>
      </c>
      <c r="W48" s="47" t="s">
        <v>122</v>
      </c>
      <c r="X48" s="47"/>
      <c r="Y48" s="47" t="s">
        <v>7</v>
      </c>
      <c r="Z48" s="47" t="s">
        <v>10</v>
      </c>
      <c r="AA48" s="47" t="s">
        <v>7</v>
      </c>
      <c r="AB48" s="47" t="s">
        <v>82</v>
      </c>
      <c r="AC48" s="47" t="s">
        <v>7</v>
      </c>
      <c r="AD48" s="47" t="s">
        <v>7</v>
      </c>
      <c r="AE48" s="47" t="s">
        <v>7</v>
      </c>
      <c r="AF48" s="47" t="s">
        <v>7</v>
      </c>
      <c r="AG48" s="47" t="s">
        <v>7</v>
      </c>
      <c r="AH48" s="47" t="s">
        <v>7</v>
      </c>
    </row>
    <row r="49" spans="1:35" x14ac:dyDescent="0.3">
      <c r="A49" s="30" t="s">
        <v>1010</v>
      </c>
      <c r="C49" s="30">
        <v>10</v>
      </c>
      <c r="D49" s="30">
        <v>89</v>
      </c>
      <c r="E49" s="50" t="str">
        <f t="shared" ca="1" si="1"/>
        <v>78689</v>
      </c>
      <c r="F49" s="42">
        <v>78690</v>
      </c>
      <c r="G49" s="47" t="s">
        <v>343</v>
      </c>
      <c r="H49" s="47" t="s">
        <v>1009</v>
      </c>
      <c r="I49" s="47" t="s">
        <v>652</v>
      </c>
      <c r="J49" s="47" t="s">
        <v>569</v>
      </c>
      <c r="K49" s="47" t="s">
        <v>81</v>
      </c>
      <c r="L49" s="47"/>
      <c r="M49" s="48">
        <v>42457.949143518519</v>
      </c>
      <c r="N49" s="47" t="s">
        <v>20</v>
      </c>
      <c r="O49" s="47" t="s">
        <v>569</v>
      </c>
      <c r="P49" s="48">
        <v>42442.024652777778</v>
      </c>
      <c r="Q49" s="47" t="s">
        <v>628</v>
      </c>
      <c r="R49" s="47"/>
      <c r="S49" s="47" t="s">
        <v>717</v>
      </c>
      <c r="T49" s="47" t="s">
        <v>17</v>
      </c>
      <c r="U49" s="47" t="s">
        <v>30</v>
      </c>
      <c r="V49" s="47" t="s">
        <v>8</v>
      </c>
      <c r="W49" s="47" t="s">
        <v>971</v>
      </c>
      <c r="X49" s="47"/>
      <c r="Y49" s="47" t="s">
        <v>7</v>
      </c>
      <c r="Z49" s="47" t="s">
        <v>10</v>
      </c>
      <c r="AA49" s="47" t="s">
        <v>7</v>
      </c>
      <c r="AB49" s="47" t="s">
        <v>82</v>
      </c>
      <c r="AC49" s="47" t="s">
        <v>1051</v>
      </c>
      <c r="AD49" s="47" t="s">
        <v>7</v>
      </c>
      <c r="AE49" s="47" t="s">
        <v>7</v>
      </c>
      <c r="AF49" s="47" t="s">
        <v>7</v>
      </c>
      <c r="AG49" s="47" t="s">
        <v>7</v>
      </c>
      <c r="AH49" s="47" t="s">
        <v>7</v>
      </c>
    </row>
    <row r="50" spans="1:35" x14ac:dyDescent="0.3">
      <c r="A50" s="51"/>
      <c r="B50" s="59"/>
      <c r="C50" s="51">
        <v>7</v>
      </c>
      <c r="D50" s="51">
        <v>100</v>
      </c>
      <c r="E50" s="46" t="str">
        <f t="shared" ca="1" si="1"/>
        <v>78746</v>
      </c>
      <c r="F50" s="42">
        <v>78751</v>
      </c>
      <c r="G50" s="47" t="s">
        <v>1007</v>
      </c>
      <c r="H50" s="47" t="s">
        <v>1019</v>
      </c>
      <c r="I50" s="47" t="s">
        <v>2</v>
      </c>
      <c r="J50" s="47" t="s">
        <v>569</v>
      </c>
      <c r="K50" s="47" t="s">
        <v>81</v>
      </c>
      <c r="L50" s="47"/>
      <c r="M50" s="48">
        <v>42450.942418981482</v>
      </c>
      <c r="N50" s="47" t="s">
        <v>20</v>
      </c>
      <c r="O50" s="47" t="s">
        <v>48</v>
      </c>
      <c r="P50" s="48">
        <v>42443.524664351855</v>
      </c>
      <c r="Q50" s="47" t="s">
        <v>16</v>
      </c>
      <c r="R50" s="47"/>
      <c r="S50" s="47" t="s">
        <v>366</v>
      </c>
      <c r="T50" s="47" t="s">
        <v>17</v>
      </c>
      <c r="U50" s="47" t="s">
        <v>30</v>
      </c>
      <c r="V50" s="47" t="s">
        <v>8</v>
      </c>
      <c r="W50" s="47" t="s">
        <v>183</v>
      </c>
      <c r="X50" s="47"/>
      <c r="Y50" s="47" t="s">
        <v>7</v>
      </c>
      <c r="Z50" s="47" t="s">
        <v>10</v>
      </c>
      <c r="AA50" s="47" t="s">
        <v>7</v>
      </c>
      <c r="AB50" s="47" t="s">
        <v>82</v>
      </c>
      <c r="AC50" s="47" t="s">
        <v>7</v>
      </c>
      <c r="AD50" s="47" t="s">
        <v>7</v>
      </c>
      <c r="AE50" s="47" t="s">
        <v>7</v>
      </c>
      <c r="AF50" s="47" t="s">
        <v>7</v>
      </c>
      <c r="AG50" s="47" t="s">
        <v>7</v>
      </c>
      <c r="AH50" s="47" t="s">
        <v>7</v>
      </c>
    </row>
    <row r="51" spans="1:35" x14ac:dyDescent="0.3">
      <c r="A51" s="51"/>
      <c r="B51" s="59"/>
      <c r="C51" s="51">
        <v>11</v>
      </c>
      <c r="D51" s="51">
        <v>102</v>
      </c>
      <c r="E51" s="50" t="str">
        <f t="shared" ca="1" si="1"/>
        <v>78737</v>
      </c>
      <c r="F51" s="42">
        <v>78753</v>
      </c>
      <c r="G51" s="47" t="s">
        <v>336</v>
      </c>
      <c r="H51" s="47" t="s">
        <v>1020</v>
      </c>
      <c r="I51" s="47" t="s">
        <v>2</v>
      </c>
      <c r="J51" s="47" t="s">
        <v>569</v>
      </c>
      <c r="K51" s="47" t="s">
        <v>81</v>
      </c>
      <c r="L51" s="47"/>
      <c r="M51" s="48">
        <v>42451.316724537035</v>
      </c>
      <c r="N51" s="47" t="s">
        <v>20</v>
      </c>
      <c r="O51" s="47" t="s">
        <v>569</v>
      </c>
      <c r="P51" s="48">
        <v>42443.524988425925</v>
      </c>
      <c r="Q51" s="47" t="s">
        <v>628</v>
      </c>
      <c r="R51" s="47"/>
      <c r="S51" s="47" t="s">
        <v>366</v>
      </c>
      <c r="T51" s="47" t="s">
        <v>17</v>
      </c>
      <c r="U51" s="47" t="s">
        <v>30</v>
      </c>
      <c r="V51" s="47" t="s">
        <v>13</v>
      </c>
      <c r="W51" s="47" t="s">
        <v>292</v>
      </c>
      <c r="X51" s="47"/>
      <c r="Y51" s="47" t="s">
        <v>7</v>
      </c>
      <c r="Z51" s="47" t="s">
        <v>10</v>
      </c>
      <c r="AA51" s="47" t="s">
        <v>7</v>
      </c>
      <c r="AB51" s="47" t="s">
        <v>82</v>
      </c>
      <c r="AC51" s="47" t="s">
        <v>7</v>
      </c>
      <c r="AD51" s="47" t="s">
        <v>7</v>
      </c>
      <c r="AE51" s="47" t="s">
        <v>7</v>
      </c>
      <c r="AF51" s="47" t="s">
        <v>7</v>
      </c>
      <c r="AG51" s="47" t="s">
        <v>7</v>
      </c>
      <c r="AH51" s="47" t="s">
        <v>7</v>
      </c>
    </row>
    <row r="52" spans="1:35" x14ac:dyDescent="0.3">
      <c r="A52" s="51" t="s">
        <v>1011</v>
      </c>
      <c r="C52" s="30">
        <v>13</v>
      </c>
      <c r="D52" s="30">
        <v>116</v>
      </c>
      <c r="E52" s="50" t="str">
        <f t="shared" ca="1" si="1"/>
        <v>78873</v>
      </c>
      <c r="F52" s="42">
        <v>78885</v>
      </c>
      <c r="G52" s="47" t="s">
        <v>343</v>
      </c>
      <c r="H52" s="47" t="s">
        <v>1021</v>
      </c>
      <c r="I52" s="47" t="s">
        <v>2</v>
      </c>
      <c r="J52" s="47" t="s">
        <v>569</v>
      </c>
      <c r="K52" s="47" t="s">
        <v>81</v>
      </c>
      <c r="L52" s="47"/>
      <c r="M52" s="48">
        <v>42450.422534722224</v>
      </c>
      <c r="N52" s="47" t="s">
        <v>20</v>
      </c>
      <c r="O52" s="47" t="s">
        <v>48</v>
      </c>
      <c r="P52" s="48">
        <v>42445.024756944447</v>
      </c>
      <c r="Q52" s="47" t="s">
        <v>16</v>
      </c>
      <c r="R52" s="47"/>
      <c r="S52" s="47" t="s">
        <v>366</v>
      </c>
      <c r="T52" s="47" t="s">
        <v>12</v>
      </c>
      <c r="U52" s="47" t="s">
        <v>30</v>
      </c>
      <c r="V52" s="47" t="s">
        <v>13</v>
      </c>
      <c r="W52" s="47" t="s">
        <v>587</v>
      </c>
      <c r="X52" s="47"/>
      <c r="Y52" s="47" t="s">
        <v>7</v>
      </c>
      <c r="Z52" s="47" t="s">
        <v>10</v>
      </c>
      <c r="AA52" s="47" t="s">
        <v>7</v>
      </c>
      <c r="AB52" s="47" t="s">
        <v>82</v>
      </c>
      <c r="AC52" s="47" t="s">
        <v>7</v>
      </c>
      <c r="AD52" s="47" t="s">
        <v>7</v>
      </c>
      <c r="AE52" s="47" t="s">
        <v>7</v>
      </c>
      <c r="AF52" s="47" t="s">
        <v>7</v>
      </c>
      <c r="AG52" s="47" t="s">
        <v>7</v>
      </c>
      <c r="AH52" s="47" t="s">
        <v>7</v>
      </c>
    </row>
    <row r="53" spans="1:35" x14ac:dyDescent="0.3">
      <c r="A53" s="51"/>
      <c r="C53" s="30">
        <v>11</v>
      </c>
      <c r="D53" s="30">
        <v>117</v>
      </c>
      <c r="E53" s="50" t="str">
        <f t="shared" ca="1" si="1"/>
        <v>79254</v>
      </c>
      <c r="F53" s="42">
        <v>79288</v>
      </c>
      <c r="G53" s="47" t="s">
        <v>581</v>
      </c>
      <c r="H53" s="47" t="s">
        <v>1046</v>
      </c>
      <c r="I53" s="47" t="s">
        <v>11</v>
      </c>
      <c r="J53" s="47" t="s">
        <v>569</v>
      </c>
      <c r="K53" s="47" t="s">
        <v>81</v>
      </c>
      <c r="L53" s="47"/>
      <c r="M53" s="48">
        <v>42458.217777777776</v>
      </c>
      <c r="N53" s="47" t="s">
        <v>20</v>
      </c>
      <c r="O53" s="47" t="s">
        <v>569</v>
      </c>
      <c r="P53" s="48">
        <v>42451.446875000001</v>
      </c>
      <c r="Q53" s="47" t="s">
        <v>120</v>
      </c>
      <c r="R53" s="47"/>
      <c r="S53" s="47" t="s">
        <v>717</v>
      </c>
      <c r="T53" s="47" t="s">
        <v>12</v>
      </c>
      <c r="U53" s="47" t="s">
        <v>30</v>
      </c>
      <c r="V53" s="47" t="s">
        <v>8</v>
      </c>
      <c r="W53" s="47" t="s">
        <v>122</v>
      </c>
      <c r="X53" s="47"/>
      <c r="Y53" s="47" t="s">
        <v>7</v>
      </c>
      <c r="Z53" s="47" t="s">
        <v>10</v>
      </c>
      <c r="AA53" s="47" t="s">
        <v>7</v>
      </c>
      <c r="AB53" s="47" t="s">
        <v>82</v>
      </c>
      <c r="AC53" s="47" t="s">
        <v>1051</v>
      </c>
      <c r="AD53" s="47" t="s">
        <v>7</v>
      </c>
      <c r="AE53" s="47" t="s">
        <v>7</v>
      </c>
      <c r="AF53" s="47" t="s">
        <v>7</v>
      </c>
      <c r="AG53" s="47" t="s">
        <v>7</v>
      </c>
      <c r="AH53" s="47" t="s">
        <v>7</v>
      </c>
    </row>
    <row r="54" spans="1:35" x14ac:dyDescent="0.3">
      <c r="A54" s="51" t="s">
        <v>1011</v>
      </c>
      <c r="B54" s="54"/>
      <c r="C54" s="30">
        <v>0</v>
      </c>
      <c r="D54" s="30">
        <v>14</v>
      </c>
      <c r="E54" s="50" t="str">
        <f t="shared" ca="1" si="1"/>
        <v>79273</v>
      </c>
      <c r="F54" s="42">
        <v>79291</v>
      </c>
      <c r="G54" s="47" t="s">
        <v>336</v>
      </c>
      <c r="H54" s="47" t="s">
        <v>1043</v>
      </c>
      <c r="I54" s="47" t="s">
        <v>11</v>
      </c>
      <c r="J54" s="47" t="s">
        <v>569</v>
      </c>
      <c r="K54" s="47" t="s">
        <v>81</v>
      </c>
      <c r="L54" s="47"/>
      <c r="M54" s="48">
        <v>42457.954282407409</v>
      </c>
      <c r="N54" s="47" t="s">
        <v>20</v>
      </c>
      <c r="O54" s="47" t="s">
        <v>48</v>
      </c>
      <c r="P54" s="48">
        <v>42451.452685185184</v>
      </c>
      <c r="Q54" s="47" t="s">
        <v>242</v>
      </c>
      <c r="R54" s="47"/>
      <c r="S54" s="47" t="s">
        <v>366</v>
      </c>
      <c r="T54" s="47" t="s">
        <v>17</v>
      </c>
      <c r="U54" s="47" t="s">
        <v>30</v>
      </c>
      <c r="V54" s="47" t="s">
        <v>13</v>
      </c>
      <c r="W54" s="47" t="s">
        <v>19</v>
      </c>
      <c r="X54" s="47"/>
      <c r="Y54" s="47" t="s">
        <v>7</v>
      </c>
      <c r="Z54" s="47" t="s">
        <v>10</v>
      </c>
      <c r="AA54" s="47" t="s">
        <v>7</v>
      </c>
      <c r="AB54" s="47" t="s">
        <v>82</v>
      </c>
      <c r="AC54" s="47" t="s">
        <v>7</v>
      </c>
      <c r="AD54" s="47" t="s">
        <v>7</v>
      </c>
      <c r="AE54" s="47" t="s">
        <v>7</v>
      </c>
      <c r="AF54" s="47" t="s">
        <v>7</v>
      </c>
      <c r="AG54" s="47" t="s">
        <v>7</v>
      </c>
      <c r="AH54" s="47" t="s">
        <v>7</v>
      </c>
    </row>
    <row r="55" spans="1:35" x14ac:dyDescent="0.3">
      <c r="A55" s="30" t="s">
        <v>1010</v>
      </c>
      <c r="C55" s="30">
        <v>10</v>
      </c>
      <c r="D55" s="30">
        <v>134</v>
      </c>
      <c r="E55" s="50" t="str">
        <f t="shared" ca="1" si="1"/>
        <v>79302</v>
      </c>
      <c r="F55" s="42">
        <v>79313</v>
      </c>
      <c r="G55" s="47" t="s">
        <v>564</v>
      </c>
      <c r="H55" s="47" t="s">
        <v>1047</v>
      </c>
      <c r="I55" s="47" t="s">
        <v>11</v>
      </c>
      <c r="J55" s="47" t="s">
        <v>569</v>
      </c>
      <c r="K55" s="47" t="s">
        <v>81</v>
      </c>
      <c r="L55" s="47"/>
      <c r="M55" s="48">
        <v>42458.274953703702</v>
      </c>
      <c r="N55" s="47" t="s">
        <v>20</v>
      </c>
      <c r="O55" s="47" t="s">
        <v>48</v>
      </c>
      <c r="P55" s="48">
        <v>42452.024895833332</v>
      </c>
      <c r="Q55" s="47" t="s">
        <v>600</v>
      </c>
      <c r="R55" s="47"/>
      <c r="S55" s="47" t="s">
        <v>1048</v>
      </c>
      <c r="T55" s="47" t="s">
        <v>17</v>
      </c>
      <c r="U55" s="47" t="s">
        <v>30</v>
      </c>
      <c r="V55" s="47" t="s">
        <v>8</v>
      </c>
      <c r="W55" s="47" t="s">
        <v>479</v>
      </c>
      <c r="X55" s="47"/>
      <c r="Y55" s="47" t="s">
        <v>7</v>
      </c>
      <c r="Z55" s="47" t="s">
        <v>10</v>
      </c>
      <c r="AA55" s="47" t="s">
        <v>7</v>
      </c>
      <c r="AB55" s="47" t="s">
        <v>82</v>
      </c>
      <c r="AC55" s="47" t="s">
        <v>1054</v>
      </c>
      <c r="AD55" s="47" t="s">
        <v>7</v>
      </c>
      <c r="AE55" s="47" t="s">
        <v>7</v>
      </c>
      <c r="AF55" s="47" t="s">
        <v>7</v>
      </c>
      <c r="AG55" s="47" t="s">
        <v>7</v>
      </c>
      <c r="AH55" s="47" t="s">
        <v>7</v>
      </c>
    </row>
    <row r="56" spans="1:35" x14ac:dyDescent="0.3">
      <c r="A56" s="51"/>
      <c r="C56" s="30">
        <v>4</v>
      </c>
      <c r="D56" s="30">
        <v>135</v>
      </c>
      <c r="E56" s="50" t="str">
        <f t="shared" ca="1" si="1"/>
        <v>75773</v>
      </c>
      <c r="F56" s="42">
        <v>79315</v>
      </c>
      <c r="G56" s="47" t="s">
        <v>382</v>
      </c>
      <c r="H56" s="47" t="s">
        <v>1049</v>
      </c>
      <c r="I56" s="47" t="s">
        <v>2</v>
      </c>
      <c r="J56" s="47" t="s">
        <v>569</v>
      </c>
      <c r="K56" s="47" t="s">
        <v>81</v>
      </c>
      <c r="L56" s="47" t="s">
        <v>380</v>
      </c>
      <c r="M56" s="48">
        <v>42457.353136574071</v>
      </c>
      <c r="N56" s="47" t="s">
        <v>20</v>
      </c>
      <c r="O56" s="47" t="s">
        <v>569</v>
      </c>
      <c r="P56" s="48">
        <v>42452.025312500002</v>
      </c>
      <c r="Q56" s="47" t="s">
        <v>84</v>
      </c>
      <c r="R56" s="47"/>
      <c r="S56" s="47" t="s">
        <v>717</v>
      </c>
      <c r="T56" s="47" t="s">
        <v>17</v>
      </c>
      <c r="U56" s="47" t="s">
        <v>30</v>
      </c>
      <c r="V56" s="47" t="s">
        <v>13</v>
      </c>
      <c r="W56" s="47" t="s">
        <v>587</v>
      </c>
      <c r="X56" s="47"/>
      <c r="Y56" s="47" t="s">
        <v>7</v>
      </c>
      <c r="Z56" s="47" t="s">
        <v>10</v>
      </c>
      <c r="AA56" s="47" t="s">
        <v>7</v>
      </c>
      <c r="AB56" s="47" t="s">
        <v>82</v>
      </c>
      <c r="AC56" s="47" t="s">
        <v>7</v>
      </c>
      <c r="AD56" s="47" t="s">
        <v>7</v>
      </c>
      <c r="AE56" s="47" t="s">
        <v>7</v>
      </c>
      <c r="AF56" s="47" t="s">
        <v>309</v>
      </c>
      <c r="AG56" s="47" t="s">
        <v>7</v>
      </c>
      <c r="AH56" s="47" t="s">
        <v>7</v>
      </c>
    </row>
    <row r="57" spans="1:35" x14ac:dyDescent="0.3">
      <c r="A57" s="51"/>
      <c r="C57" s="30">
        <v>13</v>
      </c>
      <c r="D57" s="30">
        <v>138</v>
      </c>
      <c r="E57" s="50" t="str">
        <f t="shared" ca="1" si="1"/>
        <v>79485</v>
      </c>
      <c r="F57" s="42">
        <v>79492</v>
      </c>
      <c r="G57" s="47" t="s">
        <v>812</v>
      </c>
      <c r="H57" s="47" t="s">
        <v>1052</v>
      </c>
      <c r="I57" s="47" t="s">
        <v>652</v>
      </c>
      <c r="J57" s="47" t="s">
        <v>569</v>
      </c>
      <c r="K57" s="47" t="s">
        <v>81</v>
      </c>
      <c r="L57" s="47"/>
      <c r="M57" s="48">
        <v>42457.65997685185</v>
      </c>
      <c r="N57" s="47" t="s">
        <v>20</v>
      </c>
      <c r="O57" s="47" t="s">
        <v>569</v>
      </c>
      <c r="P57" s="48">
        <v>42453.524930555555</v>
      </c>
      <c r="Q57" s="47" t="s">
        <v>628</v>
      </c>
      <c r="R57" s="47"/>
      <c r="S57" s="47" t="s">
        <v>347</v>
      </c>
      <c r="T57" s="47" t="s">
        <v>17</v>
      </c>
      <c r="U57" s="47" t="s">
        <v>30</v>
      </c>
      <c r="V57" s="47" t="s">
        <v>8</v>
      </c>
      <c r="W57" s="47" t="s">
        <v>1035</v>
      </c>
      <c r="X57" s="47"/>
      <c r="Y57" s="47" t="s">
        <v>7</v>
      </c>
      <c r="Z57" s="47" t="s">
        <v>10</v>
      </c>
      <c r="AA57" s="47" t="s">
        <v>7</v>
      </c>
      <c r="AB57" s="47" t="s">
        <v>82</v>
      </c>
      <c r="AC57" s="47" t="s">
        <v>1054</v>
      </c>
      <c r="AD57" s="47" t="s">
        <v>7</v>
      </c>
      <c r="AE57" s="47" t="s">
        <v>7</v>
      </c>
      <c r="AF57" s="47" t="s">
        <v>7</v>
      </c>
      <c r="AG57" s="47" t="s">
        <v>7</v>
      </c>
      <c r="AH57" s="47" t="s">
        <v>7</v>
      </c>
      <c r="AI57" s="47" t="s">
        <v>7</v>
      </c>
    </row>
    <row r="58" spans="1:35" x14ac:dyDescent="0.3">
      <c r="A58" s="51"/>
      <c r="C58" s="30">
        <v>19</v>
      </c>
      <c r="D58" s="30">
        <v>141</v>
      </c>
      <c r="E58" s="50" t="str">
        <f t="shared" ca="1" si="1"/>
        <v>79502</v>
      </c>
      <c r="F58" s="42">
        <v>79516</v>
      </c>
      <c r="G58" s="47" t="s">
        <v>324</v>
      </c>
      <c r="H58" s="47" t="s">
        <v>1053</v>
      </c>
      <c r="I58" s="47" t="s">
        <v>2</v>
      </c>
      <c r="J58" s="47" t="s">
        <v>569</v>
      </c>
      <c r="K58" s="47" t="s">
        <v>81</v>
      </c>
      <c r="L58" s="47"/>
      <c r="M58" s="48">
        <v>42454.666064814817</v>
      </c>
      <c r="N58" s="47" t="s">
        <v>20</v>
      </c>
      <c r="O58" s="47" t="s">
        <v>569</v>
      </c>
      <c r="P58" s="48">
        <v>42454.024953703702</v>
      </c>
      <c r="Q58" s="47" t="s">
        <v>628</v>
      </c>
      <c r="R58" s="47"/>
      <c r="S58" s="47" t="s">
        <v>717</v>
      </c>
      <c r="T58" s="47" t="s">
        <v>6</v>
      </c>
      <c r="U58" s="47" t="s">
        <v>30</v>
      </c>
      <c r="V58" s="47" t="s">
        <v>8</v>
      </c>
      <c r="W58" s="47" t="s">
        <v>971</v>
      </c>
      <c r="X58" s="47"/>
      <c r="Y58" s="47" t="s">
        <v>7</v>
      </c>
      <c r="Z58" s="47" t="s">
        <v>10</v>
      </c>
      <c r="AA58" s="47" t="s">
        <v>7</v>
      </c>
      <c r="AB58" s="47" t="s">
        <v>82</v>
      </c>
      <c r="AC58" s="47" t="s">
        <v>7</v>
      </c>
      <c r="AD58" s="47" t="s">
        <v>7</v>
      </c>
      <c r="AE58" s="47" t="s">
        <v>7</v>
      </c>
      <c r="AF58" s="47" t="s">
        <v>7</v>
      </c>
      <c r="AG58" s="47" t="s">
        <v>7</v>
      </c>
      <c r="AH58" s="47" t="s">
        <v>7</v>
      </c>
      <c r="AI58" s="47" t="s">
        <v>7</v>
      </c>
    </row>
    <row r="59" spans="1:35" x14ac:dyDescent="0.3">
      <c r="A59" s="51" t="s">
        <v>1011</v>
      </c>
      <c r="C59" s="30">
        <v>4</v>
      </c>
      <c r="D59" s="30">
        <v>157</v>
      </c>
      <c r="E59" s="50" t="str">
        <f t="shared" ca="1" si="1"/>
        <v>79538</v>
      </c>
      <c r="F59" s="42">
        <v>79548</v>
      </c>
      <c r="G59" s="47" t="s">
        <v>336</v>
      </c>
      <c r="H59" s="47" t="s">
        <v>1055</v>
      </c>
      <c r="I59" s="47" t="s">
        <v>2</v>
      </c>
      <c r="J59" s="47" t="s">
        <v>569</v>
      </c>
      <c r="K59" s="47" t="s">
        <v>81</v>
      </c>
      <c r="L59" s="47"/>
      <c r="M59" s="48">
        <v>42457.54011574074</v>
      </c>
      <c r="N59" s="47" t="s">
        <v>20</v>
      </c>
      <c r="O59" s="47" t="s">
        <v>48</v>
      </c>
      <c r="P59" s="48">
        <v>42455.025046296294</v>
      </c>
      <c r="Q59" s="47" t="s">
        <v>16</v>
      </c>
      <c r="R59" s="47"/>
      <c r="S59" s="47" t="s">
        <v>366</v>
      </c>
      <c r="T59" s="47" t="s">
        <v>17</v>
      </c>
      <c r="U59" s="47" t="s">
        <v>30</v>
      </c>
      <c r="V59" s="47" t="s">
        <v>13</v>
      </c>
      <c r="W59" s="47" t="s">
        <v>35</v>
      </c>
      <c r="X59" s="47"/>
      <c r="Y59" s="47" t="s">
        <v>7</v>
      </c>
      <c r="Z59" s="47" t="s">
        <v>10</v>
      </c>
      <c r="AA59" s="47" t="s">
        <v>7</v>
      </c>
      <c r="AB59" s="47" t="s">
        <v>82</v>
      </c>
      <c r="AC59" s="47" t="s">
        <v>7</v>
      </c>
      <c r="AD59" s="47" t="s">
        <v>7</v>
      </c>
      <c r="AE59" s="47" t="s">
        <v>7</v>
      </c>
      <c r="AF59" s="47" t="s">
        <v>7</v>
      </c>
      <c r="AG59" s="47" t="s">
        <v>7</v>
      </c>
      <c r="AH59" s="47" t="s">
        <v>7</v>
      </c>
      <c r="AI59" s="47" t="s">
        <v>7</v>
      </c>
    </row>
    <row r="60" spans="1:35" x14ac:dyDescent="0.3">
      <c r="A60" s="51" t="s">
        <v>1011</v>
      </c>
      <c r="C60" s="30">
        <v>20</v>
      </c>
      <c r="D60" s="30">
        <v>162</v>
      </c>
      <c r="E60" s="50" t="str">
        <f t="shared" ca="1" si="1"/>
        <v>79667</v>
      </c>
      <c r="F60" s="42">
        <v>79681</v>
      </c>
      <c r="G60" s="47" t="s">
        <v>995</v>
      </c>
      <c r="H60" s="47" t="s">
        <v>1060</v>
      </c>
      <c r="I60" s="47" t="s">
        <v>2</v>
      </c>
      <c r="J60" s="47" t="s">
        <v>569</v>
      </c>
      <c r="K60" s="47" t="s">
        <v>81</v>
      </c>
      <c r="L60" s="47"/>
      <c r="M60" s="48">
        <v>42458.351678240739</v>
      </c>
      <c r="N60" s="47" t="s">
        <v>20</v>
      </c>
      <c r="O60" s="47" t="s">
        <v>569</v>
      </c>
      <c r="P60" s="48">
        <v>42458.025567129633</v>
      </c>
      <c r="Q60" s="47" t="s">
        <v>242</v>
      </c>
      <c r="R60" s="47"/>
      <c r="S60" s="47" t="s">
        <v>616</v>
      </c>
      <c r="T60" s="47" t="s">
        <v>12</v>
      </c>
      <c r="U60" s="47" t="s">
        <v>30</v>
      </c>
      <c r="V60" s="47" t="s">
        <v>8</v>
      </c>
      <c r="W60" s="47" t="s">
        <v>122</v>
      </c>
      <c r="X60" s="47"/>
      <c r="Y60" s="47" t="s">
        <v>7</v>
      </c>
      <c r="Z60" s="47" t="s">
        <v>10</v>
      </c>
      <c r="AA60" s="47" t="s">
        <v>7</v>
      </c>
      <c r="AB60" s="47" t="s">
        <v>82</v>
      </c>
      <c r="AC60" s="47" t="s">
        <v>7</v>
      </c>
      <c r="AD60" s="47" t="s">
        <v>7</v>
      </c>
      <c r="AE60" s="47" t="s">
        <v>7</v>
      </c>
      <c r="AF60" s="47" t="s">
        <v>7</v>
      </c>
      <c r="AG60" s="47" t="s">
        <v>7</v>
      </c>
      <c r="AH60" s="47" t="s">
        <v>7</v>
      </c>
      <c r="AI60" s="47" t="s">
        <v>7</v>
      </c>
    </row>
    <row r="61" spans="1:35" x14ac:dyDescent="0.3">
      <c r="A61" s="51"/>
      <c r="C61" s="30">
        <v>6</v>
      </c>
      <c r="D61" s="30">
        <v>177</v>
      </c>
      <c r="E61" s="50" t="str">
        <f t="shared" ca="1" si="1"/>
        <v>79659</v>
      </c>
      <c r="F61" s="42">
        <v>79683</v>
      </c>
      <c r="G61" s="47" t="s">
        <v>343</v>
      </c>
      <c r="H61" s="47" t="s">
        <v>1061</v>
      </c>
      <c r="I61" s="47" t="s">
        <v>2</v>
      </c>
      <c r="J61" s="47" t="s">
        <v>569</v>
      </c>
      <c r="K61" s="47" t="s">
        <v>81</v>
      </c>
      <c r="L61" s="47"/>
      <c r="M61" s="48">
        <v>42458.349814814814</v>
      </c>
      <c r="N61" s="47" t="s">
        <v>20</v>
      </c>
      <c r="O61" s="47" t="s">
        <v>569</v>
      </c>
      <c r="P61" s="48">
        <v>42458.025925925926</v>
      </c>
      <c r="Q61" s="47" t="s">
        <v>628</v>
      </c>
      <c r="R61" s="47"/>
      <c r="S61" s="47" t="s">
        <v>366</v>
      </c>
      <c r="T61" s="47" t="s">
        <v>6</v>
      </c>
      <c r="U61" s="47" t="s">
        <v>30</v>
      </c>
      <c r="V61" s="47" t="s">
        <v>8</v>
      </c>
      <c r="W61" s="47" t="s">
        <v>38</v>
      </c>
      <c r="X61" s="47"/>
      <c r="Y61" s="47" t="s">
        <v>7</v>
      </c>
      <c r="Z61" s="47" t="s">
        <v>10</v>
      </c>
      <c r="AA61" s="47" t="s">
        <v>7</v>
      </c>
      <c r="AB61" s="47" t="s">
        <v>82</v>
      </c>
      <c r="AC61" s="47" t="s">
        <v>7</v>
      </c>
      <c r="AD61" s="47" t="s">
        <v>7</v>
      </c>
      <c r="AE61" s="47" t="s">
        <v>7</v>
      </c>
      <c r="AF61" s="47" t="s">
        <v>7</v>
      </c>
      <c r="AG61" s="47" t="s">
        <v>7</v>
      </c>
      <c r="AH61" s="47" t="s">
        <v>7</v>
      </c>
      <c r="AI61" s="47" t="s">
        <v>7</v>
      </c>
    </row>
    <row r="62" spans="1:35" x14ac:dyDescent="0.3">
      <c r="A62" s="51"/>
      <c r="B62" s="59"/>
      <c r="C62" s="30">
        <v>3</v>
      </c>
      <c r="D62" s="30">
        <v>178</v>
      </c>
      <c r="E62" s="50" t="str">
        <f t="shared" ca="1" si="1"/>
        <v>79581</v>
      </c>
      <c r="F62" s="42">
        <v>79733</v>
      </c>
      <c r="G62" s="47" t="s">
        <v>332</v>
      </c>
      <c r="H62" s="47" t="s">
        <v>1062</v>
      </c>
      <c r="I62" s="47" t="s">
        <v>11</v>
      </c>
      <c r="J62" s="47" t="s">
        <v>569</v>
      </c>
      <c r="K62" s="47" t="s">
        <v>81</v>
      </c>
      <c r="L62" s="47"/>
      <c r="M62" s="48">
        <v>42458.346342592595</v>
      </c>
      <c r="N62" s="47" t="s">
        <v>20</v>
      </c>
      <c r="O62" s="47" t="s">
        <v>569</v>
      </c>
      <c r="P62" s="48">
        <v>42458.346342592595</v>
      </c>
      <c r="Q62" s="47" t="s">
        <v>84</v>
      </c>
      <c r="R62" s="47"/>
      <c r="S62" s="47" t="s">
        <v>717</v>
      </c>
      <c r="T62" s="47" t="s">
        <v>17</v>
      </c>
      <c r="U62" s="47" t="s">
        <v>30</v>
      </c>
      <c r="V62" s="47" t="s">
        <v>13</v>
      </c>
      <c r="W62" s="47" t="s">
        <v>19</v>
      </c>
      <c r="X62" s="47"/>
      <c r="Y62" s="47" t="s">
        <v>7</v>
      </c>
      <c r="Z62" s="47" t="s">
        <v>10</v>
      </c>
      <c r="AA62" s="47" t="s">
        <v>7</v>
      </c>
      <c r="AB62" s="47" t="s">
        <v>82</v>
      </c>
      <c r="AC62" s="47" t="s">
        <v>7</v>
      </c>
      <c r="AD62" s="47" t="s">
        <v>7</v>
      </c>
      <c r="AE62" s="47" t="s">
        <v>7</v>
      </c>
      <c r="AF62" s="47" t="s">
        <v>7</v>
      </c>
      <c r="AG62" s="47" t="s">
        <v>7</v>
      </c>
      <c r="AH62" s="47" t="s">
        <v>7</v>
      </c>
      <c r="AI62" s="47" t="s">
        <v>7</v>
      </c>
    </row>
    <row r="63" spans="1:35" x14ac:dyDescent="0.3">
      <c r="A63" s="51"/>
      <c r="C63" s="30">
        <v>27</v>
      </c>
      <c r="D63" s="30">
        <v>178</v>
      </c>
      <c r="E63" s="50" t="str">
        <f t="shared" ca="1" si="1"/>
        <v/>
      </c>
      <c r="F63" s="42"/>
      <c r="G63" s="47"/>
      <c r="H63" s="47"/>
      <c r="I63" s="47"/>
      <c r="J63" s="47"/>
      <c r="K63" s="47"/>
      <c r="L63" s="47"/>
      <c r="M63" s="48"/>
      <c r="N63" s="47"/>
      <c r="O63" s="47"/>
      <c r="P63" s="48"/>
      <c r="Q63" s="47"/>
      <c r="R63" s="47"/>
      <c r="S63" s="47"/>
      <c r="T63" s="47"/>
      <c r="U63" s="47"/>
      <c r="V63" s="47"/>
      <c r="W63" s="47"/>
      <c r="X63" s="47"/>
      <c r="Y63" s="47"/>
      <c r="Z63" s="47"/>
      <c r="AA63" s="47"/>
      <c r="AB63" s="47"/>
      <c r="AC63" s="47"/>
      <c r="AD63" s="47"/>
      <c r="AE63" s="47"/>
      <c r="AF63" s="47"/>
      <c r="AG63" s="47"/>
      <c r="AH63" s="47"/>
      <c r="AI63" s="47"/>
    </row>
    <row r="64" spans="1:35" x14ac:dyDescent="0.3">
      <c r="A64" s="51"/>
      <c r="B64" s="52"/>
      <c r="C64" s="30">
        <v>4</v>
      </c>
      <c r="D64" s="30">
        <v>12</v>
      </c>
      <c r="E64" s="50" t="str">
        <f t="shared" ca="1" si="1"/>
        <v/>
      </c>
      <c r="F64" s="42"/>
      <c r="G64" s="47"/>
      <c r="H64" s="47"/>
      <c r="I64" s="47"/>
      <c r="J64" s="47"/>
      <c r="K64" s="47"/>
      <c r="L64" s="47"/>
      <c r="M64" s="48"/>
      <c r="N64" s="47"/>
      <c r="O64" s="47"/>
      <c r="P64" s="48"/>
      <c r="Q64" s="47"/>
      <c r="R64" s="47"/>
      <c r="S64" s="47"/>
      <c r="T64" s="47"/>
      <c r="U64" s="47"/>
      <c r="V64" s="47"/>
      <c r="W64" s="47"/>
      <c r="X64" s="47"/>
      <c r="Y64" s="47"/>
      <c r="Z64" s="47"/>
      <c r="AA64" s="47"/>
      <c r="AB64" s="47"/>
      <c r="AC64" s="47"/>
      <c r="AD64" s="47"/>
      <c r="AE64" s="47"/>
      <c r="AF64" s="47"/>
      <c r="AG64" s="47"/>
      <c r="AH64" s="47"/>
      <c r="AI64" s="47"/>
    </row>
    <row r="65" spans="1:35" x14ac:dyDescent="0.3">
      <c r="A65" s="30" t="s">
        <v>1010</v>
      </c>
      <c r="C65" s="30">
        <v>21</v>
      </c>
      <c r="D65" s="30">
        <v>179</v>
      </c>
      <c r="E65" s="50" t="str">
        <f t="shared" ca="1" si="1"/>
        <v/>
      </c>
      <c r="F65" s="42"/>
      <c r="G65" s="47"/>
      <c r="H65" s="47"/>
      <c r="I65" s="47"/>
      <c r="J65" s="47"/>
      <c r="K65" s="47"/>
      <c r="L65" s="47"/>
      <c r="M65" s="48"/>
      <c r="N65" s="47"/>
      <c r="O65" s="47"/>
      <c r="P65" s="48"/>
      <c r="Q65" s="47"/>
      <c r="R65" s="47"/>
      <c r="S65" s="47"/>
      <c r="T65" s="47"/>
      <c r="U65" s="47"/>
      <c r="V65" s="47"/>
      <c r="W65" s="47"/>
      <c r="X65" s="47"/>
      <c r="Y65" s="47"/>
      <c r="Z65" s="47"/>
      <c r="AA65" s="47"/>
      <c r="AB65" s="47"/>
      <c r="AC65" s="47"/>
      <c r="AD65" s="47"/>
      <c r="AE65" s="47"/>
      <c r="AF65" s="47"/>
      <c r="AG65" s="47"/>
      <c r="AH65" s="47"/>
      <c r="AI65" s="47"/>
    </row>
    <row r="66" spans="1:35" x14ac:dyDescent="0.3">
      <c r="B66" s="58"/>
      <c r="C66" s="30">
        <v>19</v>
      </c>
      <c r="D66" s="30">
        <v>190</v>
      </c>
      <c r="E66" s="50" t="str">
        <f t="shared" ref="E66:E80" ca="1" si="2">HYPERLINK(CONCATENATE("https://bugzilla.houston.hpecorp.net:1181/bugzilla/show_bug.cgi?id=",MID(INDIRECT($A$100&amp;ROW()),9,5)),MID(INDIRECT($A$100&amp;ROW()),9,5))</f>
        <v/>
      </c>
      <c r="F66" s="42"/>
      <c r="G66" s="47"/>
      <c r="H66" s="47"/>
      <c r="I66" s="47"/>
      <c r="J66" s="47"/>
      <c r="K66" s="47"/>
      <c r="L66" s="47"/>
      <c r="M66" s="48"/>
      <c r="N66" s="47"/>
      <c r="O66" s="47"/>
      <c r="P66" s="48"/>
      <c r="Q66" s="47"/>
      <c r="R66" s="47"/>
      <c r="S66" s="47"/>
      <c r="T66" s="47"/>
      <c r="U66" s="47"/>
      <c r="V66" s="47"/>
      <c r="W66" s="47"/>
      <c r="X66" s="47"/>
      <c r="Y66" s="47"/>
      <c r="Z66" s="47"/>
      <c r="AA66" s="47"/>
      <c r="AB66" s="47"/>
      <c r="AC66" s="47"/>
      <c r="AD66" s="47"/>
      <c r="AE66" s="47"/>
      <c r="AF66" s="47"/>
      <c r="AG66" s="47"/>
      <c r="AH66" s="47"/>
      <c r="AI66" s="47"/>
    </row>
    <row r="67" spans="1:35" x14ac:dyDescent="0.3">
      <c r="C67" s="30">
        <v>22</v>
      </c>
      <c r="D67" s="30">
        <v>219</v>
      </c>
      <c r="E67" s="50" t="str">
        <f t="shared" ca="1" si="2"/>
        <v/>
      </c>
      <c r="F67" s="42"/>
      <c r="G67" s="47"/>
      <c r="H67" s="47"/>
      <c r="I67" s="47"/>
      <c r="J67" s="47"/>
      <c r="K67" s="47"/>
      <c r="L67" s="47"/>
      <c r="M67" s="48"/>
      <c r="N67" s="47"/>
      <c r="O67" s="47"/>
      <c r="P67" s="48"/>
      <c r="Q67" s="47"/>
      <c r="R67" s="47"/>
      <c r="S67" s="47"/>
      <c r="T67" s="47"/>
      <c r="U67" s="47"/>
      <c r="V67" s="47"/>
      <c r="W67" s="47"/>
      <c r="X67" s="47"/>
      <c r="Y67" s="47"/>
      <c r="Z67" s="47"/>
      <c r="AA67" s="47"/>
      <c r="AB67" s="47"/>
      <c r="AC67" s="47"/>
      <c r="AD67" s="47"/>
      <c r="AE67" s="47"/>
      <c r="AF67" s="47"/>
      <c r="AG67" s="47"/>
      <c r="AH67" s="47"/>
    </row>
    <row r="68" spans="1:35" x14ac:dyDescent="0.3">
      <c r="A68" s="30" t="s">
        <v>1010</v>
      </c>
      <c r="C68" s="30">
        <v>21</v>
      </c>
      <c r="D68" s="30">
        <v>292</v>
      </c>
      <c r="E68" s="50" t="str">
        <f t="shared" ca="1" si="2"/>
        <v/>
      </c>
      <c r="F68" s="42"/>
      <c r="G68" s="47"/>
      <c r="H68" s="47"/>
      <c r="I68" s="47"/>
      <c r="J68" s="47"/>
      <c r="K68" s="47"/>
      <c r="L68" s="47"/>
      <c r="M68" s="48"/>
      <c r="N68" s="47"/>
      <c r="O68" s="47"/>
      <c r="P68" s="48"/>
      <c r="Q68" s="47"/>
      <c r="R68" s="47"/>
      <c r="S68" s="47"/>
      <c r="T68" s="47"/>
      <c r="U68" s="47"/>
      <c r="V68" s="47"/>
      <c r="W68" s="47"/>
      <c r="X68" s="47"/>
      <c r="Y68" s="47"/>
      <c r="Z68" s="47"/>
      <c r="AA68" s="47"/>
      <c r="AB68" s="47"/>
      <c r="AC68" s="47"/>
      <c r="AD68" s="47"/>
      <c r="AE68" s="47"/>
      <c r="AF68" s="47"/>
      <c r="AG68" s="47"/>
      <c r="AH68" s="47"/>
    </row>
    <row r="69" spans="1:35" x14ac:dyDescent="0.3">
      <c r="C69" s="30">
        <v>7</v>
      </c>
      <c r="D69" s="30">
        <v>9</v>
      </c>
      <c r="E69" s="50" t="str">
        <f t="shared" ca="1" si="2"/>
        <v/>
      </c>
      <c r="F69" s="61"/>
      <c r="G69" s="47"/>
      <c r="H69" s="47"/>
      <c r="I69" s="47"/>
      <c r="J69" s="47"/>
      <c r="K69" s="47"/>
      <c r="L69" s="47"/>
      <c r="M69" s="48"/>
      <c r="N69" s="47"/>
      <c r="O69" s="47"/>
      <c r="P69" s="48"/>
      <c r="Q69" s="47"/>
      <c r="R69" s="47"/>
      <c r="S69" s="47"/>
      <c r="T69" s="47"/>
      <c r="U69" s="47"/>
      <c r="V69" s="47"/>
      <c r="W69" s="47"/>
      <c r="X69" s="47"/>
      <c r="Y69" s="47"/>
      <c r="Z69" s="47"/>
      <c r="AA69" s="47"/>
      <c r="AB69" s="47"/>
      <c r="AC69" s="47"/>
      <c r="AD69" s="47"/>
      <c r="AE69" s="47"/>
      <c r="AF69" s="47"/>
      <c r="AG69" s="47"/>
      <c r="AH69" s="47"/>
    </row>
    <row r="70" spans="1:35" x14ac:dyDescent="0.3">
      <c r="C70" s="30">
        <v>4</v>
      </c>
      <c r="D70" s="30">
        <v>5</v>
      </c>
      <c r="E70" s="50" t="str">
        <f t="shared" ca="1" si="2"/>
        <v/>
      </c>
      <c r="F70" s="61"/>
      <c r="G70" s="47"/>
      <c r="H70" s="47"/>
      <c r="I70" s="47"/>
      <c r="J70" s="47"/>
      <c r="K70" s="47"/>
      <c r="L70" s="47"/>
      <c r="M70" s="48"/>
      <c r="N70" s="47"/>
      <c r="O70" s="47"/>
      <c r="P70" s="48"/>
      <c r="Q70" s="47"/>
      <c r="R70" s="47"/>
      <c r="S70" s="47"/>
      <c r="T70" s="47"/>
      <c r="U70" s="47"/>
      <c r="V70" s="47"/>
      <c r="W70" s="47"/>
      <c r="X70" s="47"/>
      <c r="Y70" s="47"/>
      <c r="Z70" s="47"/>
      <c r="AA70" s="47"/>
      <c r="AB70" s="47"/>
      <c r="AC70" s="47"/>
      <c r="AD70" s="47"/>
      <c r="AE70" s="47"/>
      <c r="AF70" s="47"/>
      <c r="AG70" s="47"/>
      <c r="AH70" s="47"/>
    </row>
    <row r="71" spans="1:35" x14ac:dyDescent="0.3">
      <c r="C71" s="30">
        <v>4</v>
      </c>
      <c r="D71" s="30">
        <v>5</v>
      </c>
      <c r="E71" s="50" t="str">
        <f t="shared" ca="1" si="2"/>
        <v/>
      </c>
      <c r="F71" s="61"/>
      <c r="G71" s="47"/>
      <c r="H71" s="47"/>
      <c r="I71" s="47"/>
      <c r="J71" s="47"/>
      <c r="K71" s="47"/>
      <c r="L71" s="47"/>
      <c r="M71" s="48"/>
      <c r="N71" s="47"/>
      <c r="O71" s="47"/>
      <c r="P71" s="48"/>
      <c r="Q71" s="47"/>
      <c r="R71" s="47"/>
      <c r="S71" s="47"/>
      <c r="T71" s="47"/>
      <c r="U71" s="47"/>
      <c r="V71" s="47"/>
      <c r="W71" s="47"/>
      <c r="X71" s="47"/>
      <c r="Y71" s="47"/>
      <c r="Z71" s="47"/>
      <c r="AA71" s="47"/>
      <c r="AB71" s="47"/>
      <c r="AC71" s="47"/>
      <c r="AD71" s="47"/>
      <c r="AE71" s="47"/>
      <c r="AF71" s="47"/>
      <c r="AG71" s="47"/>
      <c r="AH71" s="47"/>
    </row>
    <row r="72" spans="1:35" x14ac:dyDescent="0.3">
      <c r="C72" s="30">
        <v>0</v>
      </c>
      <c r="D72" s="30">
        <v>4</v>
      </c>
      <c r="E72" s="50" t="str">
        <f t="shared" ca="1" si="2"/>
        <v/>
      </c>
      <c r="F72" s="61"/>
      <c r="G72" s="47"/>
      <c r="H72" s="47"/>
      <c r="I72" s="47"/>
      <c r="J72" s="47"/>
      <c r="K72" s="47"/>
      <c r="L72" s="47"/>
      <c r="M72" s="48"/>
      <c r="N72" s="47"/>
      <c r="O72" s="47"/>
      <c r="P72" s="48"/>
      <c r="Q72" s="47"/>
      <c r="R72" s="47"/>
      <c r="S72" s="47"/>
      <c r="T72" s="47"/>
      <c r="U72" s="47"/>
      <c r="V72" s="47"/>
      <c r="W72" s="47"/>
      <c r="X72" s="47"/>
      <c r="Y72" s="47"/>
      <c r="Z72" s="47"/>
      <c r="AA72" s="47"/>
      <c r="AB72" s="47"/>
      <c r="AC72" s="47"/>
      <c r="AD72" s="47"/>
      <c r="AE72" s="47"/>
      <c r="AF72" s="47"/>
      <c r="AG72" s="47"/>
      <c r="AH72" s="47"/>
    </row>
    <row r="73" spans="1:35" x14ac:dyDescent="0.3">
      <c r="C73" s="30">
        <v>4</v>
      </c>
      <c r="D73" s="30">
        <v>4</v>
      </c>
      <c r="E73" s="50" t="str">
        <f t="shared" ca="1" si="2"/>
        <v/>
      </c>
      <c r="F73" s="61"/>
      <c r="G73" s="47"/>
      <c r="H73" s="47"/>
      <c r="I73" s="47"/>
      <c r="J73" s="47"/>
      <c r="K73" s="47"/>
      <c r="L73" s="47"/>
      <c r="M73" s="48"/>
      <c r="N73" s="47"/>
      <c r="O73" s="47"/>
      <c r="P73" s="48"/>
      <c r="Q73" s="47"/>
      <c r="R73" s="47"/>
      <c r="S73" s="47"/>
      <c r="T73" s="47"/>
      <c r="U73" s="47"/>
      <c r="V73" s="47"/>
      <c r="W73" s="47"/>
      <c r="X73" s="47"/>
      <c r="Y73" s="47"/>
      <c r="Z73" s="47"/>
      <c r="AA73" s="47"/>
      <c r="AB73" s="47"/>
      <c r="AC73" s="47"/>
      <c r="AD73" s="47"/>
      <c r="AE73" s="47"/>
      <c r="AF73" s="47"/>
      <c r="AG73" s="47"/>
      <c r="AH73" s="47"/>
    </row>
    <row r="74" spans="1:35" x14ac:dyDescent="0.3">
      <c r="A74" s="51" t="s">
        <v>1012</v>
      </c>
      <c r="C74" s="30">
        <v>3</v>
      </c>
      <c r="D74" s="30">
        <v>4</v>
      </c>
      <c r="E74" s="50" t="str">
        <f t="shared" ca="1" si="2"/>
        <v/>
      </c>
      <c r="F74" s="61"/>
      <c r="G74" s="47"/>
      <c r="H74" s="47"/>
      <c r="I74" s="47"/>
      <c r="J74" s="47"/>
      <c r="K74" s="47"/>
      <c r="L74" s="47"/>
      <c r="M74" s="48"/>
      <c r="N74" s="47"/>
      <c r="O74" s="47"/>
      <c r="P74" s="48"/>
      <c r="Q74" s="47"/>
      <c r="R74" s="47"/>
      <c r="S74" s="47"/>
      <c r="T74" s="47"/>
      <c r="U74" s="47"/>
      <c r="V74" s="47"/>
      <c r="W74" s="47"/>
      <c r="X74" s="47"/>
      <c r="Y74" s="47"/>
      <c r="Z74" s="47"/>
      <c r="AA74" s="47"/>
      <c r="AB74" s="47"/>
      <c r="AC74" s="47"/>
      <c r="AD74" s="47"/>
      <c r="AE74" s="47"/>
      <c r="AF74" s="47"/>
      <c r="AG74" s="47"/>
      <c r="AH74" s="47"/>
    </row>
    <row r="75" spans="1:35" x14ac:dyDescent="0.3">
      <c r="A75" s="30" t="s">
        <v>1014</v>
      </c>
      <c r="C75" s="30">
        <v>3</v>
      </c>
      <c r="D75" s="30">
        <v>4</v>
      </c>
      <c r="E75" s="50" t="str">
        <f t="shared" ca="1" si="2"/>
        <v/>
      </c>
      <c r="F75" s="61"/>
      <c r="G75" s="47"/>
      <c r="H75" s="47"/>
      <c r="I75" s="47"/>
      <c r="J75" s="47"/>
      <c r="K75" s="47"/>
      <c r="L75" s="47"/>
      <c r="M75" s="48"/>
      <c r="N75" s="47"/>
      <c r="O75" s="47"/>
      <c r="P75" s="48"/>
      <c r="Q75" s="47"/>
      <c r="R75" s="47"/>
      <c r="S75" s="47"/>
      <c r="T75" s="47"/>
      <c r="U75" s="47"/>
      <c r="V75" s="47"/>
      <c r="W75" s="47"/>
      <c r="X75" s="47"/>
      <c r="Y75" s="47"/>
      <c r="Z75" s="47"/>
      <c r="AA75" s="47"/>
      <c r="AB75" s="47"/>
      <c r="AC75" s="47"/>
      <c r="AD75" s="47"/>
      <c r="AE75" s="47"/>
      <c r="AF75" s="47"/>
      <c r="AG75" s="47"/>
      <c r="AH75" s="47"/>
    </row>
    <row r="76" spans="1:35" x14ac:dyDescent="0.3">
      <c r="C76" s="30">
        <v>3</v>
      </c>
      <c r="D76" s="30">
        <v>4</v>
      </c>
      <c r="E76" s="50" t="str">
        <f t="shared" ca="1" si="2"/>
        <v/>
      </c>
      <c r="F76" s="61"/>
      <c r="G76" s="47"/>
      <c r="H76" s="47"/>
      <c r="I76" s="47"/>
      <c r="J76" s="47"/>
      <c r="K76" s="47"/>
      <c r="L76" s="47"/>
      <c r="M76" s="48"/>
      <c r="N76" s="47"/>
      <c r="O76" s="47"/>
      <c r="P76" s="48"/>
      <c r="Q76" s="47"/>
      <c r="R76" s="47"/>
      <c r="S76" s="47"/>
      <c r="T76" s="47"/>
      <c r="U76" s="47"/>
      <c r="V76" s="47"/>
      <c r="W76" s="47"/>
      <c r="X76" s="47"/>
      <c r="Y76" s="47"/>
      <c r="Z76" s="47"/>
      <c r="AA76" s="47"/>
      <c r="AB76" s="47"/>
      <c r="AC76" s="47"/>
      <c r="AD76" s="47"/>
      <c r="AE76" s="47"/>
      <c r="AF76" s="47"/>
      <c r="AG76" s="47"/>
      <c r="AH76" s="47"/>
    </row>
    <row r="77" spans="1:35" x14ac:dyDescent="0.3">
      <c r="A77" s="30" t="s">
        <v>1014</v>
      </c>
      <c r="C77" s="30">
        <v>0</v>
      </c>
      <c r="D77" s="30">
        <v>3</v>
      </c>
      <c r="E77" s="50" t="str">
        <f t="shared" ca="1" si="2"/>
        <v/>
      </c>
      <c r="F77" s="61"/>
      <c r="G77" s="47"/>
      <c r="H77" s="47"/>
      <c r="I77" s="47"/>
      <c r="J77" s="47"/>
      <c r="K77" s="47"/>
      <c r="L77" s="47"/>
      <c r="M77" s="48"/>
      <c r="N77" s="47"/>
      <c r="O77" s="47"/>
      <c r="P77" s="48"/>
      <c r="Q77" s="47"/>
      <c r="R77" s="47"/>
      <c r="S77" s="47"/>
      <c r="T77" s="47"/>
      <c r="U77" s="47"/>
      <c r="V77" s="47"/>
      <c r="W77" s="47"/>
      <c r="X77" s="47"/>
      <c r="Y77" s="47"/>
      <c r="Z77" s="47"/>
      <c r="AA77" s="47"/>
      <c r="AB77" s="47"/>
      <c r="AC77" s="47"/>
      <c r="AD77" s="47"/>
      <c r="AE77" s="47"/>
      <c r="AF77" s="47"/>
      <c r="AG77" s="47"/>
      <c r="AH77" s="47"/>
    </row>
    <row r="78" spans="1:35" x14ac:dyDescent="0.3">
      <c r="A78" s="51" t="s">
        <v>1014</v>
      </c>
      <c r="C78" s="30">
        <v>2</v>
      </c>
      <c r="D78" s="30">
        <v>2</v>
      </c>
      <c r="E78" s="50" t="str">
        <f t="shared" ca="1" si="2"/>
        <v/>
      </c>
      <c r="F78" s="61"/>
      <c r="G78" s="47"/>
      <c r="H78" s="47"/>
      <c r="I78" s="47"/>
      <c r="J78" s="47"/>
      <c r="K78" s="47"/>
      <c r="L78" s="47"/>
      <c r="M78" s="48"/>
      <c r="N78" s="47"/>
      <c r="O78" s="47"/>
      <c r="P78" s="48"/>
      <c r="Q78" s="47"/>
      <c r="R78" s="47"/>
      <c r="S78" s="47"/>
      <c r="T78" s="47"/>
      <c r="U78" s="47"/>
      <c r="V78" s="47"/>
      <c r="W78" s="47"/>
      <c r="X78" s="47"/>
      <c r="Y78" s="47"/>
      <c r="Z78" s="47"/>
      <c r="AA78" s="47"/>
      <c r="AB78" s="47"/>
      <c r="AC78" s="47"/>
      <c r="AD78" s="47"/>
      <c r="AE78" s="47"/>
      <c r="AF78" s="47"/>
      <c r="AG78" s="47"/>
      <c r="AH78" s="47"/>
    </row>
    <row r="79" spans="1:35" x14ac:dyDescent="0.3">
      <c r="A79" s="51" t="s">
        <v>1012</v>
      </c>
      <c r="C79" s="30">
        <v>1</v>
      </c>
      <c r="D79" s="30">
        <v>1</v>
      </c>
      <c r="E79" s="50" t="str">
        <f t="shared" ca="1" si="2"/>
        <v/>
      </c>
      <c r="F79" s="61"/>
      <c r="G79" s="47"/>
      <c r="H79" s="47"/>
      <c r="I79" s="47"/>
      <c r="J79" s="47"/>
      <c r="K79" s="47"/>
      <c r="L79" s="47"/>
      <c r="M79" s="48"/>
      <c r="N79" s="47"/>
      <c r="O79" s="47"/>
      <c r="P79" s="48"/>
      <c r="Q79" s="47"/>
      <c r="R79" s="47"/>
      <c r="S79" s="47"/>
      <c r="T79" s="47"/>
      <c r="U79" s="47"/>
      <c r="V79" s="47"/>
      <c r="W79" s="47"/>
      <c r="X79" s="47"/>
      <c r="Y79" s="47"/>
      <c r="Z79" s="47"/>
      <c r="AA79" s="47"/>
      <c r="AB79" s="47"/>
      <c r="AC79" s="47"/>
      <c r="AD79" s="47"/>
      <c r="AE79" s="47"/>
      <c r="AF79" s="47"/>
      <c r="AG79" s="47"/>
      <c r="AH79" s="47"/>
    </row>
    <row r="80" spans="1:35" x14ac:dyDescent="0.3">
      <c r="C80" s="30">
        <v>1</v>
      </c>
      <c r="D80" s="30">
        <v>1</v>
      </c>
      <c r="E80" s="50" t="str">
        <f t="shared" ca="1" si="2"/>
        <v/>
      </c>
      <c r="F80" s="61"/>
      <c r="G80" s="47"/>
      <c r="H80" s="47"/>
      <c r="I80" s="47"/>
      <c r="J80" s="47"/>
      <c r="K80" s="47"/>
      <c r="L80" s="47"/>
      <c r="M80" s="48"/>
      <c r="N80" s="47"/>
      <c r="O80" s="47"/>
      <c r="P80" s="48"/>
      <c r="Q80" s="47"/>
      <c r="R80" s="47"/>
      <c r="S80" s="47"/>
      <c r="T80" s="47"/>
      <c r="U80" s="47"/>
      <c r="V80" s="47"/>
      <c r="W80" s="47"/>
      <c r="X80" s="47"/>
      <c r="Y80" s="47"/>
      <c r="Z80" s="47"/>
      <c r="AA80" s="47"/>
      <c r="AB80" s="47"/>
      <c r="AC80" s="47"/>
      <c r="AD80" s="47"/>
      <c r="AE80" s="47"/>
      <c r="AF80" s="47"/>
      <c r="AG80" s="47"/>
      <c r="AH80" s="47"/>
    </row>
    <row r="100" spans="1:2" x14ac:dyDescent="0.3">
      <c r="A100" s="30" t="s">
        <v>340</v>
      </c>
      <c r="B100" s="30" t="s">
        <v>838</v>
      </c>
    </row>
  </sheetData>
  <autoFilter ref="A1:AH234"/>
  <hyperlinks>
    <hyperlink ref="G19" r:id="rId1" display="tarun.sant@hpe.com"/>
    <hyperlink ref="G9" r:id="rId2" display="brian.zimpfer@hpe.com"/>
    <hyperlink ref="G10" r:id="rId3" display="roselle.fernandez@hpe.com"/>
    <hyperlink ref="G35" r:id="rId4" display="arnab.das@hpe.com"/>
    <hyperlink ref="G62" r:id="rId5" display="tomer.meshorer@hpe.com"/>
  </hyperlinks>
  <pageMargins left="0.7" right="0.7" top="0.75" bottom="0.75" header="0.3" footer="0.3"/>
  <pageSetup orientation="portrait" r:id="rId6"/>
  <extLst>
    <ext xmlns:x14="http://schemas.microsoft.com/office/spreadsheetml/2009/9/main" uri="{78C0D931-6437-407d-A8EE-F0AAD7539E65}">
      <x14:conditionalFormattings>
        <x14:conditionalFormatting xmlns:xm="http://schemas.microsoft.com/office/excel/2006/main">
          <x14:cfRule type="expression" priority="962" id="{736B89A4-0D81-4F60-8E95-42FCC46C01AD}">
            <xm:f>IF(FIND("Denied",RedZone!Y2),1,0)</xm:f>
            <x14:dxf>
              <fill>
                <patternFill>
                  <bgColor rgb="FFFFFF00"/>
                </patternFill>
              </fill>
            </x14:dxf>
          </x14:cfRule>
          <x14:cfRule type="expression" priority="963" id="{ACC2DDB6-8557-4A5E-804E-AC581BD9902B}">
            <xm:f>IF(FIND("Director",RedZone!Y2,11),1,0)</xm:f>
            <x14:dxf>
              <fill>
                <patternFill>
                  <bgColor rgb="FF66F725"/>
                </patternFill>
              </fill>
            </x14:dxf>
          </x14:cfRule>
          <x14:cfRule type="expression" priority="964" id="{1EE3CA65-3ECE-460A-B864-4BE22DC2B318}">
            <xm:f>IF(FIND("Approve",RedZone!Y2),1,0)</xm:f>
            <x14:dxf>
              <fill>
                <patternFill>
                  <bgColor rgb="FF00B050"/>
                </patternFill>
              </fill>
            </x14:dxf>
          </x14:cfRule>
          <x14:cfRule type="expression" priority="965" id="{35EF08C2-CC72-4F85-AB00-A886E971D1DD}">
            <xm:f>IF(FIND("Request",RedZone!Y2),1,0)</xm:f>
            <x14:dxf>
              <fill>
                <patternFill>
                  <bgColor rgb="FF92D050"/>
                </patternFill>
              </fill>
            </x14:dxf>
          </x14:cfRule>
          <x14:cfRule type="expression" priority="966" id="{610653C3-0A30-4162-9465-CE4F89E049CE}">
            <xm:f>IF(FIND("Requested",RedZone!AH2),1,0)</xm:f>
            <x14:dxf>
              <fill>
                <patternFill>
                  <bgColor rgb="FF92D050"/>
                </patternFill>
              </fill>
            </x14:dxf>
          </x14:cfRule>
          <x14:cfRule type="expression" priority="967" id="{08DC0FCD-F6BF-4A6D-B2D4-65A2EC32C20C}">
            <xm:f>IF(RedZone!Y2="---",IF(RedZone!AC2="---",1,0),0)</xm:f>
            <x14:dxf>
              <fill>
                <patternFill>
                  <bgColor rgb="FFFF0000"/>
                </patternFill>
              </fill>
            </x14:dxf>
          </x14:cfRule>
          <xm:sqref>F2:F80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E155"/>
  <sheetViews>
    <sheetView topLeftCell="A11" zoomScale="90" zoomScaleNormal="90" zoomScalePageLayoutView="80" workbookViewId="0">
      <selection activeCell="E30" sqref="E30"/>
    </sheetView>
  </sheetViews>
  <sheetFormatPr defaultRowHeight="14.4" x14ac:dyDescent="0.3"/>
  <cols>
    <col min="1" max="1" width="19.109375" style="37" customWidth="1"/>
    <col min="2" max="2" width="4.6640625" style="37" customWidth="1"/>
    <col min="3" max="3" width="10.109375" style="37" customWidth="1"/>
    <col min="4" max="4" width="22.77734375" style="37" customWidth="1"/>
    <col min="5" max="5" width="143.109375" style="37" customWidth="1"/>
    <col min="6" max="6" width="8.88671875" style="37" customWidth="1"/>
    <col min="7" max="7" width="11.6640625" style="37" customWidth="1"/>
    <col min="8" max="9" width="8.88671875" style="37" customWidth="1"/>
    <col min="10" max="10" width="15.6640625" style="37" customWidth="1"/>
    <col min="11" max="12" width="8.88671875" style="37" customWidth="1"/>
    <col min="13" max="13" width="15.6640625" style="37" customWidth="1"/>
    <col min="14" max="18" width="8.88671875" style="37" customWidth="1"/>
    <col min="19" max="19" width="14.77734375" style="37" customWidth="1"/>
    <col min="20" max="20" width="20.33203125" style="37" customWidth="1"/>
    <col min="21" max="21" width="10.109375" style="37" customWidth="1"/>
    <col min="22" max="22" width="23.5546875" style="37" customWidth="1"/>
    <col min="23" max="24" width="8.88671875" style="37" customWidth="1"/>
    <col min="25" max="25" width="13.6640625" style="37" customWidth="1"/>
    <col min="26" max="26" width="23.33203125" style="37" customWidth="1"/>
    <col min="27" max="27" width="22.21875" style="37" customWidth="1"/>
    <col min="28" max="30" width="8.88671875" style="37"/>
    <col min="31" max="31" width="15.88671875" style="37" customWidth="1"/>
    <col min="32" max="16384" width="8.88671875" style="37"/>
  </cols>
  <sheetData>
    <row r="1" spans="1:14" x14ac:dyDescent="0.3">
      <c r="A1" s="8" t="s">
        <v>111</v>
      </c>
      <c r="B1" s="9">
        <f ca="1">COUNTIF(INDIRECT(A86&amp;A78):INDIRECT(A86&amp;A77),INDIRECT("c"&amp;ROW()))</f>
        <v>29</v>
      </c>
      <c r="C1" s="8" t="s">
        <v>48</v>
      </c>
      <c r="D1" s="8" t="s">
        <v>161</v>
      </c>
      <c r="E1" s="45">
        <v>42396</v>
      </c>
    </row>
    <row r="2" spans="1:14" x14ac:dyDescent="0.3">
      <c r="A2" s="8"/>
      <c r="B2" s="8"/>
      <c r="C2" s="8"/>
      <c r="D2" s="8"/>
      <c r="E2" s="8"/>
    </row>
    <row r="3" spans="1:14" ht="42" customHeight="1" x14ac:dyDescent="0.3">
      <c r="A3" s="11" t="s">
        <v>59</v>
      </c>
      <c r="B3" s="8"/>
      <c r="C3" s="8"/>
      <c r="D3" s="25" t="s">
        <v>177</v>
      </c>
      <c r="E3" s="8"/>
    </row>
    <row r="4" spans="1:14" x14ac:dyDescent="0.3">
      <c r="A4" s="8" t="s">
        <v>104</v>
      </c>
      <c r="B4" s="8">
        <f ca="1">COUNTIF(INDIRECT(A79&amp;A78):INDIRECT(A79&amp;A77),INDIRECT("a"&amp;ROW()))</f>
        <v>0</v>
      </c>
      <c r="C4" s="8"/>
      <c r="D4" s="12" t="s">
        <v>107</v>
      </c>
      <c r="E4" s="13">
        <f ca="1">COUNTIFS(INDIRECT(A82&amp;A78):INDIRECT(A82&amp;A77),"---",INDIRECT(A85&amp;A78):INDIRECT(A85&amp;A77),"---")</f>
        <v>0</v>
      </c>
    </row>
    <row r="5" spans="1:14" x14ac:dyDescent="0.3">
      <c r="A5" s="8" t="s">
        <v>105</v>
      </c>
      <c r="B5" s="8">
        <f ca="1">COUNTIF(INDIRECT(A79&amp;A78):INDIRECT(A79&amp;A77),INDIRECT("a"&amp;ROW()))</f>
        <v>25</v>
      </c>
      <c r="C5" s="8"/>
      <c r="D5" s="14" t="s">
        <v>49</v>
      </c>
      <c r="E5" s="13">
        <f ca="1">COUNTIFS(INDIRECT(A82&amp;A78):INDIRECT(A82&amp;A77),INDIRECT("d"&amp;ROW()),INDIRECT(A85&amp;A78):INDIRECT(A85&amp;A77),"---")</f>
        <v>12</v>
      </c>
    </row>
    <row r="6" spans="1:14" x14ac:dyDescent="0.3">
      <c r="A6" s="8" t="s">
        <v>106</v>
      </c>
      <c r="B6" s="8">
        <f ca="1">COUNTIF(INDIRECT(A79&amp;A78):INDIRECT(A79&amp;A77),INDIRECT("a"&amp;ROW()))</f>
        <v>4</v>
      </c>
      <c r="C6" s="8"/>
      <c r="D6" s="41" t="s">
        <v>302</v>
      </c>
      <c r="E6" s="13">
        <f ca="1">COUNTIFS(INDIRECT(A82&amp;A78):INDIRECT(A82&amp;A77),INDIRECT("d"&amp;ROW()),INDIRECT(A85&amp;A78):INDIRECT(A85&amp;A77),"---")</f>
        <v>0</v>
      </c>
    </row>
    <row r="7" spans="1:14" x14ac:dyDescent="0.3">
      <c r="C7" s="8"/>
      <c r="D7" s="15" t="s">
        <v>9</v>
      </c>
      <c r="E7" s="13">
        <f ca="1">COUNTIFS(INDIRECT(A82&amp;A78):INDIRECT(A82&amp;A77),INDIRECT("d"&amp;ROW()),INDIRECT(A85&amp;A78):INDIRECT(A85&amp;A77),"---")</f>
        <v>17</v>
      </c>
    </row>
    <row r="8" spans="1:14" x14ac:dyDescent="0.3">
      <c r="A8" s="11" t="s">
        <v>109</v>
      </c>
      <c r="B8" s="16">
        <f ca="1">COUNTIF(INDIRECT(A83&amp;A78):INDIRECT(A83&amp;A77),"&lt;2")</f>
        <v>0</v>
      </c>
      <c r="C8" s="8"/>
      <c r="D8" s="17" t="s">
        <v>55</v>
      </c>
      <c r="E8" s="13">
        <f ca="1">COUNTIFS(INDIRECT(A82&amp;A78):INDIRECT(A82&amp;A77),INDIRECT("d"&amp;ROW()),INDIRECT(A85&amp;A78):INDIRECT(A85&amp;A77),"---")</f>
        <v>0</v>
      </c>
    </row>
    <row r="9" spans="1:14" x14ac:dyDescent="0.3">
      <c r="A9" s="8" t="s">
        <v>110</v>
      </c>
      <c r="B9" s="8">
        <f ca="1">COUNTIF(INDIRECT(A84&amp;A78):INDIRECT(A84&amp;A77),"&gt;3")</f>
        <v>34</v>
      </c>
      <c r="C9" s="8"/>
      <c r="D9" s="11" t="s">
        <v>108</v>
      </c>
      <c r="E9" s="18">
        <f ca="1">COUNTIF(INDIRECT(A85&amp;A78):INDIRECT(A85&amp;A77),"Atlas*")</f>
        <v>0</v>
      </c>
    </row>
    <row r="10" spans="1:14" x14ac:dyDescent="0.3">
      <c r="A10" s="11" t="s">
        <v>112</v>
      </c>
      <c r="B10" s="8"/>
      <c r="C10" s="8"/>
      <c r="D10" s="11" t="s">
        <v>73</v>
      </c>
      <c r="E10" s="8"/>
    </row>
    <row r="11" spans="1:14" x14ac:dyDescent="0.3">
      <c r="A11" s="8" t="s">
        <v>80</v>
      </c>
      <c r="B11" s="8">
        <f ca="1">COUNTIF(INDIRECT(A81&amp;A78):INDIRECT(A81&amp;A77),INDIRECT("a"&amp;ROW()))</f>
        <v>6</v>
      </c>
      <c r="C11" s="8"/>
      <c r="D11" s="8" t="s">
        <v>13</v>
      </c>
      <c r="E11" s="13">
        <f ca="1">COUNTIF(INDIRECT(A80&amp;A78):INDIRECT(A80&amp;A77),INDIRECT("d"&amp;ROW()))</f>
        <v>11</v>
      </c>
    </row>
    <row r="12" spans="1:14" x14ac:dyDescent="0.3">
      <c r="A12" s="8" t="s">
        <v>563</v>
      </c>
      <c r="B12" s="8">
        <f ca="1">COUNTIF(INDIRECT(A81&amp;A78):INDIRECT(A81&amp;A77),"Astra-1.0.*")</f>
        <v>4</v>
      </c>
      <c r="C12" s="8"/>
      <c r="D12" s="8" t="s">
        <v>8</v>
      </c>
      <c r="E12" s="13">
        <f ca="1">COUNTIF(INDIRECT(A80&amp;A78):INDIRECT(A80&amp;A77),INDIRECT("d"&amp;ROW()))</f>
        <v>12</v>
      </c>
    </row>
    <row r="13" spans="1:14" x14ac:dyDescent="0.3">
      <c r="A13" s="8" t="s">
        <v>3</v>
      </c>
      <c r="B13" s="8">
        <f ca="1">COUNTIF(INDIRECT(A81&amp;A78):INDIRECT(A81&amp;A77),INDIRECT("a"&amp;ROW()))+COUNTIF(INDIRECT(A81&amp;A78):INDIRECT(A81&amp;A77),"Astra-Post*")+COUNTIF(INDIRECT(A81&amp;A78):INDIRECT(A81&amp;A77),"Astra-IR*")</f>
        <v>3</v>
      </c>
      <c r="C13" s="8"/>
      <c r="D13" s="8" t="s">
        <v>24</v>
      </c>
      <c r="E13" s="13">
        <f ca="1">COUNTIF(INDIRECT(A80&amp;A78):INDIRECT(A80&amp;A77),INDIRECT("d"&amp;ROW()))</f>
        <v>6</v>
      </c>
    </row>
    <row r="14" spans="1:14" x14ac:dyDescent="0.3">
      <c r="A14" s="8" t="s">
        <v>113</v>
      </c>
      <c r="B14" s="8">
        <f ca="1">COUNTIF(INDIRECT(A81&amp;A78):INDIRECT(A81&amp;A77),"6*")+COUNTIF(INDIRECT(A81&amp;A78):INDIRECT(A81&amp;A77),"Halo")+COUNTIF(INDIRECT(A81&amp;A78):INDIRECT(A81&amp;A77),"Store*")+COUNTIF(INDIRECT(A81&amp;A78):INDIRECT(A81&amp;A77),"3*")</f>
        <v>0</v>
      </c>
      <c r="C14" s="8"/>
      <c r="D14" s="8"/>
      <c r="E14" s="8"/>
    </row>
    <row r="15" spans="1:14" x14ac:dyDescent="0.3">
      <c r="A15" s="24" t="s">
        <v>48</v>
      </c>
      <c r="B15" s="8">
        <f ca="1">COUNTIF(INDIRECT(A81&amp;A78):INDIRECT(A81&amp;A77),INDIRECT("a"&amp;ROW()))</f>
        <v>14</v>
      </c>
      <c r="C15" s="8"/>
      <c r="D15" s="8"/>
      <c r="E15" s="8"/>
      <c r="N15" s="19" t="s">
        <v>368</v>
      </c>
    </row>
    <row r="16" spans="1:14" x14ac:dyDescent="0.3">
      <c r="A16" s="24" t="s">
        <v>569</v>
      </c>
      <c r="B16" s="8">
        <f ca="1">COUNTIF(INDIRECT(A81&amp;A78):INDIRECT(A81&amp;A77),INDIRECT("a"&amp;ROW()))</f>
        <v>2</v>
      </c>
      <c r="C16" s="8"/>
      <c r="D16" s="8"/>
      <c r="E16" s="8" t="str">
        <f ca="1">CONCATENATE(SUM(B11:B16),"|",SUM(E4:E9),"|",SUM(B4:B6),"|",SUM(E11:E13),"   checksums")</f>
        <v>29|29|29|29   checksums</v>
      </c>
    </row>
    <row r="17" spans="1:31" x14ac:dyDescent="0.3">
      <c r="A17" s="37" t="s">
        <v>0</v>
      </c>
      <c r="B17" s="37" t="s">
        <v>1</v>
      </c>
      <c r="C17" s="37" t="s">
        <v>145</v>
      </c>
      <c r="D17" s="37" t="s">
        <v>57</v>
      </c>
      <c r="E17" s="37" t="s">
        <v>58</v>
      </c>
      <c r="F17" s="37" t="s">
        <v>59</v>
      </c>
      <c r="G17" s="37" t="s">
        <v>60</v>
      </c>
      <c r="H17" s="37" t="s">
        <v>61</v>
      </c>
      <c r="I17" s="37" t="s">
        <v>62</v>
      </c>
      <c r="J17" s="37" t="s">
        <v>63</v>
      </c>
      <c r="K17" s="37" t="s">
        <v>64</v>
      </c>
      <c r="L17" s="37" t="s">
        <v>65</v>
      </c>
      <c r="M17" s="37" t="s">
        <v>66</v>
      </c>
      <c r="N17" s="37" t="s">
        <v>67</v>
      </c>
      <c r="O17" s="37" t="s">
        <v>68</v>
      </c>
      <c r="P17" s="37" t="s">
        <v>69</v>
      </c>
      <c r="Q17" s="37" t="s">
        <v>70</v>
      </c>
      <c r="R17" s="37" t="s">
        <v>71</v>
      </c>
      <c r="S17" s="37" t="s">
        <v>72</v>
      </c>
      <c r="T17" s="37" t="s">
        <v>73</v>
      </c>
      <c r="U17" s="37" t="s">
        <v>74</v>
      </c>
      <c r="V17" s="37" t="s">
        <v>75</v>
      </c>
      <c r="W17" s="37" t="s">
        <v>76</v>
      </c>
      <c r="X17" s="37" t="s">
        <v>77</v>
      </c>
      <c r="Y17" s="37" t="s">
        <v>78</v>
      </c>
      <c r="Z17" s="37" t="s">
        <v>79</v>
      </c>
      <c r="AA17" s="37" t="s">
        <v>615</v>
      </c>
      <c r="AB17" s="37" t="s">
        <v>308</v>
      </c>
      <c r="AC17" s="37" t="s">
        <v>307</v>
      </c>
      <c r="AD17" s="37" t="s">
        <v>621</v>
      </c>
      <c r="AE17" s="37" t="s">
        <v>622</v>
      </c>
    </row>
    <row r="18" spans="1:31" x14ac:dyDescent="0.3">
      <c r="A18" s="37">
        <f ca="1">DAYS360(INDIRECT(A88&amp;ROW()),TODAY())</f>
        <v>539</v>
      </c>
      <c r="B18" s="37">
        <f ca="1">DAYS360(INDIRECT(A87&amp;ROW()),TODAY())</f>
        <v>926</v>
      </c>
      <c r="C18" s="37">
        <f ca="1">HYPERLINK(CONCATENATE($A$96&amp;INDIRECT("c"&amp;(ROW()+82))),INDIRECT("c"&amp;(ROW()+82)))</f>
        <v>53649</v>
      </c>
      <c r="D18" s="37" t="s">
        <v>335</v>
      </c>
      <c r="E18" s="37" t="s">
        <v>350</v>
      </c>
      <c r="F18" s="37" t="s">
        <v>2</v>
      </c>
      <c r="G18" s="37" t="s">
        <v>48</v>
      </c>
      <c r="H18" s="37" t="s">
        <v>344</v>
      </c>
      <c r="J18" s="38">
        <v>42355.371828703705</v>
      </c>
      <c r="K18" s="37" t="s">
        <v>20</v>
      </c>
      <c r="L18" s="37" t="s">
        <v>351</v>
      </c>
      <c r="M18" s="38">
        <v>41963.331307870372</v>
      </c>
      <c r="N18" s="37" t="s">
        <v>5</v>
      </c>
      <c r="P18" s="37" t="s">
        <v>347</v>
      </c>
      <c r="Q18" s="37" t="s">
        <v>6</v>
      </c>
      <c r="R18" s="37" t="s">
        <v>30</v>
      </c>
      <c r="S18" s="37" t="s">
        <v>24</v>
      </c>
      <c r="T18" s="37" t="s">
        <v>31</v>
      </c>
      <c r="V18" s="37" t="s">
        <v>9</v>
      </c>
      <c r="W18" s="37" t="s">
        <v>10</v>
      </c>
      <c r="X18" s="37" t="s">
        <v>44</v>
      </c>
      <c r="Y18" s="37" t="s">
        <v>82</v>
      </c>
      <c r="Z18" s="37" t="s">
        <v>7</v>
      </c>
      <c r="AA18" s="37" t="s">
        <v>193</v>
      </c>
      <c r="AB18" s="37" t="s">
        <v>7</v>
      </c>
      <c r="AC18" s="37" t="s">
        <v>7</v>
      </c>
      <c r="AD18" s="37" t="s">
        <v>7</v>
      </c>
      <c r="AE18" s="37" t="s">
        <v>623</v>
      </c>
    </row>
    <row r="19" spans="1:31" x14ac:dyDescent="0.3">
      <c r="A19" s="37">
        <f ca="1">DAYS360(INDIRECT(A88&amp;ROW()),TODAY())</f>
        <v>539</v>
      </c>
      <c r="B19" s="37">
        <f ca="1">DAYS360(INDIRECT(A87&amp;ROW()),TODAY())</f>
        <v>845</v>
      </c>
      <c r="C19" s="37">
        <f t="shared" ref="C19:C46" ca="1" si="0">HYPERLINK(CONCATENATE($A$96&amp;INDIRECT("c"&amp;(ROW()+82))),INDIRECT("c"&amp;(ROW()+82)))</f>
        <v>57076</v>
      </c>
      <c r="D19" s="37" t="s">
        <v>342</v>
      </c>
      <c r="E19" s="37" t="s">
        <v>353</v>
      </c>
      <c r="F19" s="37" t="s">
        <v>2</v>
      </c>
      <c r="G19" s="37" t="s">
        <v>48</v>
      </c>
      <c r="H19" s="37" t="s">
        <v>81</v>
      </c>
      <c r="J19" s="38">
        <v>42355.371828703705</v>
      </c>
      <c r="K19" s="37" t="s">
        <v>159</v>
      </c>
      <c r="L19" s="37" t="s">
        <v>3</v>
      </c>
      <c r="M19" s="38">
        <v>42046.666458333333</v>
      </c>
      <c r="N19" s="37" t="s">
        <v>56</v>
      </c>
      <c r="P19" s="37" t="s">
        <v>347</v>
      </c>
      <c r="Q19" s="37" t="s">
        <v>6</v>
      </c>
      <c r="R19" s="37" t="s">
        <v>30</v>
      </c>
      <c r="S19" s="37" t="s">
        <v>24</v>
      </c>
      <c r="T19" s="37" t="s">
        <v>46</v>
      </c>
      <c r="V19" s="37" t="s">
        <v>9</v>
      </c>
      <c r="W19" s="37" t="s">
        <v>10</v>
      </c>
      <c r="X19" s="37" t="s">
        <v>7</v>
      </c>
      <c r="Y19" s="37" t="s">
        <v>82</v>
      </c>
      <c r="Z19" s="37" t="s">
        <v>7</v>
      </c>
      <c r="AA19" s="37" t="s">
        <v>192</v>
      </c>
      <c r="AB19" s="37" t="s">
        <v>7</v>
      </c>
      <c r="AC19" s="37" t="s">
        <v>7</v>
      </c>
      <c r="AD19" s="37" t="s">
        <v>7</v>
      </c>
      <c r="AE19" s="37" t="s">
        <v>623</v>
      </c>
    </row>
    <row r="20" spans="1:31" x14ac:dyDescent="0.3">
      <c r="A20" s="37">
        <f ca="1">DAYS360(INDIRECT(A88&amp;ROW()),TODAY())</f>
        <v>539</v>
      </c>
      <c r="B20" s="37">
        <f ca="1">DAYS360(INDIRECT(A87&amp;ROW()),TODAY())</f>
        <v>760</v>
      </c>
      <c r="C20" s="37">
        <f t="shared" ca="1" si="0"/>
        <v>61914</v>
      </c>
      <c r="D20" s="37" t="s">
        <v>342</v>
      </c>
      <c r="E20" s="37" t="s">
        <v>377</v>
      </c>
      <c r="F20" s="37" t="s">
        <v>2</v>
      </c>
      <c r="G20" s="37" t="s">
        <v>48</v>
      </c>
      <c r="H20" s="37" t="s">
        <v>81</v>
      </c>
      <c r="J20" s="38">
        <v>42355.371863425928</v>
      </c>
      <c r="K20" s="37" t="s">
        <v>159</v>
      </c>
      <c r="L20" s="37" t="s">
        <v>3</v>
      </c>
      <c r="M20" s="38">
        <v>42130.516423611109</v>
      </c>
      <c r="N20" s="37" t="s">
        <v>40</v>
      </c>
      <c r="P20" s="37" t="s">
        <v>347</v>
      </c>
      <c r="Q20" s="37" t="s">
        <v>6</v>
      </c>
      <c r="R20" s="37" t="s">
        <v>30</v>
      </c>
      <c r="S20" s="37" t="s">
        <v>8</v>
      </c>
      <c r="T20" s="37" t="s">
        <v>27</v>
      </c>
      <c r="V20" s="37" t="s">
        <v>9</v>
      </c>
      <c r="W20" s="37" t="s">
        <v>10</v>
      </c>
      <c r="X20" s="37" t="s">
        <v>7</v>
      </c>
      <c r="Y20" s="37" t="s">
        <v>82</v>
      </c>
      <c r="Z20" s="37" t="s">
        <v>7</v>
      </c>
      <c r="AA20" s="37" t="s">
        <v>603</v>
      </c>
      <c r="AB20" s="37" t="s">
        <v>7</v>
      </c>
      <c r="AC20" s="37" t="s">
        <v>7</v>
      </c>
      <c r="AD20" s="37" t="s">
        <v>7</v>
      </c>
      <c r="AE20" s="37" t="s">
        <v>623</v>
      </c>
    </row>
    <row r="21" spans="1:31" x14ac:dyDescent="0.3">
      <c r="A21" s="37">
        <f ca="1">DAYS360(INDIRECT(A88&amp;ROW()),TODAY())</f>
        <v>519</v>
      </c>
      <c r="B21" s="37">
        <f ca="1">DAYS360(INDIRECT(A87&amp;ROW()),TODAY())</f>
        <v>754</v>
      </c>
      <c r="C21" s="37">
        <f t="shared" ca="1" si="0"/>
        <v>62225</v>
      </c>
      <c r="D21" s="37" t="s">
        <v>337</v>
      </c>
      <c r="E21" s="37" t="s">
        <v>624</v>
      </c>
      <c r="F21" s="37" t="s">
        <v>2</v>
      </c>
      <c r="G21" s="37" t="s">
        <v>48</v>
      </c>
      <c r="H21" s="37" t="s">
        <v>316</v>
      </c>
      <c r="I21" s="37" t="s">
        <v>101</v>
      </c>
      <c r="J21" s="38">
        <v>42376.60837962963</v>
      </c>
      <c r="K21" s="37" t="s">
        <v>4</v>
      </c>
      <c r="L21" s="37" t="s">
        <v>80</v>
      </c>
      <c r="M21" s="38">
        <v>42136.329375000001</v>
      </c>
      <c r="N21" s="37" t="s">
        <v>22</v>
      </c>
      <c r="P21" s="37" t="s">
        <v>347</v>
      </c>
      <c r="Q21" s="37" t="s">
        <v>6</v>
      </c>
      <c r="R21" s="37" t="s">
        <v>30</v>
      </c>
      <c r="S21" s="37" t="s">
        <v>8</v>
      </c>
      <c r="T21" s="37" t="s">
        <v>153</v>
      </c>
      <c r="V21" s="37" t="s">
        <v>9</v>
      </c>
      <c r="W21" s="37" t="s">
        <v>10</v>
      </c>
      <c r="X21" s="37" t="s">
        <v>7</v>
      </c>
      <c r="Y21" s="37" t="s">
        <v>82</v>
      </c>
      <c r="Z21" s="37" t="s">
        <v>7</v>
      </c>
      <c r="AA21" s="37" t="s">
        <v>193</v>
      </c>
      <c r="AB21" s="37" t="s">
        <v>7</v>
      </c>
      <c r="AC21" s="37" t="s">
        <v>7</v>
      </c>
      <c r="AD21" s="37" t="s">
        <v>7</v>
      </c>
      <c r="AE21" s="37" t="s">
        <v>623</v>
      </c>
    </row>
    <row r="22" spans="1:31" x14ac:dyDescent="0.3">
      <c r="A22" s="37">
        <f ca="1">DAYS360(INDIRECT(A88&amp;ROW()),TODAY())</f>
        <v>505</v>
      </c>
      <c r="B22" s="37">
        <f ca="1">DAYS360(INDIRECT(A87&amp;ROW()),TODAY())</f>
        <v>744</v>
      </c>
      <c r="C22" s="37">
        <f t="shared" ca="1" si="0"/>
        <v>62849</v>
      </c>
      <c r="D22" s="37" t="s">
        <v>338</v>
      </c>
      <c r="E22" s="37" t="s">
        <v>358</v>
      </c>
      <c r="F22" s="37" t="s">
        <v>11</v>
      </c>
      <c r="G22" s="37" t="s">
        <v>48</v>
      </c>
      <c r="H22" s="37" t="s">
        <v>81</v>
      </c>
      <c r="J22" s="38">
        <v>42390.593414351853</v>
      </c>
      <c r="K22" s="37" t="s">
        <v>159</v>
      </c>
      <c r="L22" s="37" t="s">
        <v>80</v>
      </c>
      <c r="M22" s="38">
        <v>42146.516782407409</v>
      </c>
      <c r="N22" s="37" t="s">
        <v>215</v>
      </c>
      <c r="P22" s="37" t="s">
        <v>347</v>
      </c>
      <c r="Q22" s="37" t="s">
        <v>12</v>
      </c>
      <c r="R22" s="37" t="s">
        <v>30</v>
      </c>
      <c r="S22" s="37" t="s">
        <v>8</v>
      </c>
      <c r="T22" s="37" t="s">
        <v>216</v>
      </c>
      <c r="V22" s="37" t="s">
        <v>9</v>
      </c>
      <c r="W22" s="37" t="s">
        <v>10</v>
      </c>
      <c r="X22" s="37" t="s">
        <v>7</v>
      </c>
      <c r="Y22" s="37" t="s">
        <v>82</v>
      </c>
      <c r="Z22" s="37" t="s">
        <v>7</v>
      </c>
      <c r="AA22" s="37" t="s">
        <v>193</v>
      </c>
      <c r="AB22" s="37" t="s">
        <v>7</v>
      </c>
      <c r="AC22" s="37" t="s">
        <v>7</v>
      </c>
      <c r="AD22" s="37" t="s">
        <v>7</v>
      </c>
      <c r="AE22" s="37" t="s">
        <v>623</v>
      </c>
    </row>
    <row r="23" spans="1:31" x14ac:dyDescent="0.3">
      <c r="A23" s="37">
        <f ca="1">DAYS360(INDIRECT(A88&amp;ROW()),TODAY())</f>
        <v>519</v>
      </c>
      <c r="B23" s="37">
        <f ca="1">DAYS360(INDIRECT(A87&amp;ROW()),TODAY())</f>
        <v>719</v>
      </c>
      <c r="C23" s="37">
        <f t="shared" ca="1" si="0"/>
        <v>64224</v>
      </c>
      <c r="D23" s="37" t="s">
        <v>376</v>
      </c>
      <c r="E23" s="37" t="s">
        <v>360</v>
      </c>
      <c r="F23" s="37" t="s">
        <v>2</v>
      </c>
      <c r="G23" s="37" t="s">
        <v>48</v>
      </c>
      <c r="H23" s="37" t="s">
        <v>81</v>
      </c>
      <c r="J23" s="38">
        <v>42376.609351851854</v>
      </c>
      <c r="K23" s="37" t="s">
        <v>20</v>
      </c>
      <c r="L23" s="37" t="s">
        <v>80</v>
      </c>
      <c r="M23" s="38">
        <v>42172.453182870369</v>
      </c>
      <c r="N23" s="37" t="s">
        <v>22</v>
      </c>
      <c r="P23" s="37" t="s">
        <v>347</v>
      </c>
      <c r="Q23" s="37" t="s">
        <v>6</v>
      </c>
      <c r="R23" s="37" t="s">
        <v>30</v>
      </c>
      <c r="S23" s="37" t="s">
        <v>13</v>
      </c>
      <c r="T23" s="37" t="s">
        <v>19</v>
      </c>
      <c r="V23" s="37" t="s">
        <v>9</v>
      </c>
      <c r="W23" s="37" t="s">
        <v>10</v>
      </c>
      <c r="X23" s="37" t="s">
        <v>7</v>
      </c>
      <c r="Y23" s="37" t="s">
        <v>82</v>
      </c>
      <c r="Z23" s="37" t="s">
        <v>7</v>
      </c>
      <c r="AA23" s="37" t="s">
        <v>193</v>
      </c>
      <c r="AB23" s="37" t="s">
        <v>7</v>
      </c>
      <c r="AC23" s="37" t="s">
        <v>7</v>
      </c>
      <c r="AD23" s="37" t="s">
        <v>7</v>
      </c>
      <c r="AE23" s="37" t="s">
        <v>623</v>
      </c>
    </row>
    <row r="24" spans="1:31" x14ac:dyDescent="0.3">
      <c r="A24" s="37">
        <f ca="1">DAYS360(INDIRECT(A88&amp;ROW()),TODAY())</f>
        <v>539</v>
      </c>
      <c r="B24" s="37">
        <f ca="1">DAYS360(INDIRECT(A87&amp;ROW()),TODAY())</f>
        <v>696</v>
      </c>
      <c r="C24" s="37">
        <f t="shared" ca="1" si="0"/>
        <v>65355</v>
      </c>
      <c r="D24" s="37" t="s">
        <v>376</v>
      </c>
      <c r="E24" s="37" t="s">
        <v>361</v>
      </c>
      <c r="F24" s="37" t="s">
        <v>2</v>
      </c>
      <c r="G24" s="37" t="s">
        <v>48</v>
      </c>
      <c r="H24" s="37" t="s">
        <v>81</v>
      </c>
      <c r="J24" s="38">
        <v>42355.371874999997</v>
      </c>
      <c r="K24" s="37" t="s">
        <v>20</v>
      </c>
      <c r="L24" s="37" t="s">
        <v>83</v>
      </c>
      <c r="M24" s="38">
        <v>42195.547615740739</v>
      </c>
      <c r="N24" s="37" t="s">
        <v>16</v>
      </c>
      <c r="P24" s="37" t="s">
        <v>347</v>
      </c>
      <c r="Q24" s="37" t="s">
        <v>6</v>
      </c>
      <c r="R24" s="37" t="s">
        <v>30</v>
      </c>
      <c r="S24" s="37" t="s">
        <v>13</v>
      </c>
      <c r="T24" s="37" t="s">
        <v>19</v>
      </c>
      <c r="V24" s="37" t="s">
        <v>9</v>
      </c>
      <c r="W24" s="37" t="s">
        <v>10</v>
      </c>
      <c r="X24" s="37" t="s">
        <v>7</v>
      </c>
      <c r="Y24" s="37" t="s">
        <v>82</v>
      </c>
      <c r="Z24" s="37" t="s">
        <v>7</v>
      </c>
      <c r="AA24" s="37" t="s">
        <v>193</v>
      </c>
      <c r="AB24" s="37" t="s">
        <v>7</v>
      </c>
      <c r="AC24" s="37" t="s">
        <v>7</v>
      </c>
      <c r="AD24" s="37" t="s">
        <v>7</v>
      </c>
      <c r="AE24" s="37" t="s">
        <v>623</v>
      </c>
    </row>
    <row r="25" spans="1:31" x14ac:dyDescent="0.3">
      <c r="A25" s="37">
        <f ca="1">DAYS360(INDIRECT(A88&amp;ROW()),TODAY())</f>
        <v>539</v>
      </c>
      <c r="B25" s="37">
        <f ca="1">DAYS360(INDIRECT(A87&amp;ROW()),TODAY())</f>
        <v>659</v>
      </c>
      <c r="C25" s="37">
        <f t="shared" ca="1" si="0"/>
        <v>67215</v>
      </c>
      <c r="D25" s="37" t="s">
        <v>376</v>
      </c>
      <c r="E25" s="37" t="s">
        <v>601</v>
      </c>
      <c r="F25" s="37" t="s">
        <v>2</v>
      </c>
      <c r="G25" s="37" t="s">
        <v>48</v>
      </c>
      <c r="H25" s="37" t="s">
        <v>81</v>
      </c>
      <c r="J25" s="38">
        <v>42355.3983912037</v>
      </c>
      <c r="K25" s="37" t="s">
        <v>159</v>
      </c>
      <c r="L25" s="37" t="s">
        <v>83</v>
      </c>
      <c r="M25" s="38">
        <v>42233.519444444442</v>
      </c>
      <c r="N25" s="37" t="s">
        <v>16</v>
      </c>
      <c r="P25" s="37" t="s">
        <v>366</v>
      </c>
      <c r="Q25" s="37" t="s">
        <v>6</v>
      </c>
      <c r="R25" s="37" t="s">
        <v>30</v>
      </c>
      <c r="S25" s="37" t="s">
        <v>13</v>
      </c>
      <c r="T25" s="37" t="s">
        <v>19</v>
      </c>
      <c r="V25" s="37" t="s">
        <v>9</v>
      </c>
      <c r="W25" s="37" t="s">
        <v>10</v>
      </c>
      <c r="X25" s="37" t="s">
        <v>7</v>
      </c>
      <c r="Y25" s="37" t="s">
        <v>82</v>
      </c>
      <c r="Z25" s="37" t="s">
        <v>7</v>
      </c>
      <c r="AA25" s="37" t="s">
        <v>603</v>
      </c>
      <c r="AB25" s="37" t="s">
        <v>363</v>
      </c>
      <c r="AC25" s="37" t="s">
        <v>7</v>
      </c>
      <c r="AD25" s="37" t="s">
        <v>7</v>
      </c>
      <c r="AE25" s="37" t="s">
        <v>623</v>
      </c>
    </row>
    <row r="26" spans="1:31" x14ac:dyDescent="0.3">
      <c r="A26" s="37">
        <f ca="1">DAYS360(INDIRECT(A88&amp;ROW()),TODAY())</f>
        <v>539</v>
      </c>
      <c r="B26" s="37">
        <f ca="1">DAYS360(INDIRECT(A87&amp;ROW()),TODAY())</f>
        <v>595</v>
      </c>
      <c r="C26" s="37">
        <f t="shared" ca="1" si="0"/>
        <v>71342</v>
      </c>
      <c r="D26" s="37" t="s">
        <v>336</v>
      </c>
      <c r="E26" s="37" t="s">
        <v>579</v>
      </c>
      <c r="F26" s="37" t="s">
        <v>2</v>
      </c>
      <c r="G26" s="37" t="s">
        <v>48</v>
      </c>
      <c r="H26" s="37" t="s">
        <v>81</v>
      </c>
      <c r="J26" s="38">
        <v>42355.37190972222</v>
      </c>
      <c r="K26" s="37" t="s">
        <v>20</v>
      </c>
      <c r="L26" s="37" t="s">
        <v>83</v>
      </c>
      <c r="M26" s="38">
        <v>42298.521087962959</v>
      </c>
      <c r="N26" s="37" t="s">
        <v>16</v>
      </c>
      <c r="P26" s="37" t="s">
        <v>366</v>
      </c>
      <c r="Q26" s="37" t="s">
        <v>12</v>
      </c>
      <c r="R26" s="37" t="s">
        <v>580</v>
      </c>
      <c r="S26" s="37" t="s">
        <v>13</v>
      </c>
      <c r="T26" s="37" t="s">
        <v>19</v>
      </c>
      <c r="V26" s="37" t="s">
        <v>9</v>
      </c>
      <c r="W26" s="37" t="s">
        <v>10</v>
      </c>
      <c r="X26" s="37" t="s">
        <v>7</v>
      </c>
      <c r="Y26" s="37" t="s">
        <v>82</v>
      </c>
      <c r="Z26" s="37" t="s">
        <v>7</v>
      </c>
      <c r="AA26" s="37" t="s">
        <v>193</v>
      </c>
      <c r="AB26" s="37" t="s">
        <v>7</v>
      </c>
      <c r="AC26" s="37" t="s">
        <v>7</v>
      </c>
      <c r="AD26" s="37" t="s">
        <v>7</v>
      </c>
      <c r="AE26" s="37" t="s">
        <v>623</v>
      </c>
    </row>
    <row r="27" spans="1:31" x14ac:dyDescent="0.3">
      <c r="A27" s="37">
        <f ca="1">DAYS360(INDIRECT(A88&amp;ROW()),TODAY())</f>
        <v>519</v>
      </c>
      <c r="B27" s="37">
        <f ca="1">DAYS360(INDIRECT(A87&amp;ROW()),TODAY())</f>
        <v>586</v>
      </c>
      <c r="C27" s="37">
        <f t="shared" ca="1" si="0"/>
        <v>71879</v>
      </c>
      <c r="D27" s="37" t="s">
        <v>596</v>
      </c>
      <c r="E27" s="37" t="s">
        <v>585</v>
      </c>
      <c r="F27" s="37" t="s">
        <v>2</v>
      </c>
      <c r="G27" s="37" t="s">
        <v>48</v>
      </c>
      <c r="H27" s="37" t="s">
        <v>81</v>
      </c>
      <c r="J27" s="38">
        <v>42376.330775462964</v>
      </c>
      <c r="K27" s="37" t="s">
        <v>20</v>
      </c>
      <c r="L27" s="37" t="s">
        <v>48</v>
      </c>
      <c r="M27" s="38">
        <v>42307.521215277775</v>
      </c>
      <c r="N27" s="37" t="s">
        <v>315</v>
      </c>
      <c r="P27" s="37" t="s">
        <v>366</v>
      </c>
      <c r="Q27" s="37" t="s">
        <v>6</v>
      </c>
      <c r="R27" s="37" t="s">
        <v>30</v>
      </c>
      <c r="S27" s="37" t="s">
        <v>8</v>
      </c>
      <c r="T27" s="37" t="s">
        <v>38</v>
      </c>
      <c r="V27" s="37" t="s">
        <v>9</v>
      </c>
      <c r="W27" s="37" t="s">
        <v>89</v>
      </c>
      <c r="X27" s="37" t="s">
        <v>7</v>
      </c>
      <c r="Y27" s="37" t="s">
        <v>82</v>
      </c>
      <c r="Z27" s="37" t="s">
        <v>7</v>
      </c>
      <c r="AA27" s="37" t="s">
        <v>603</v>
      </c>
      <c r="AB27" s="37" t="s">
        <v>7</v>
      </c>
      <c r="AC27" s="37" t="s">
        <v>7</v>
      </c>
      <c r="AD27" s="37" t="s">
        <v>7</v>
      </c>
      <c r="AE27" s="37" t="s">
        <v>623</v>
      </c>
    </row>
    <row r="28" spans="1:31" x14ac:dyDescent="0.3">
      <c r="A28" s="37">
        <f ca="1">DAYS360(INDIRECT(A88&amp;ROW()),TODAY())</f>
        <v>507</v>
      </c>
      <c r="B28" s="37">
        <f ca="1">DAYS360(INDIRECT(A87&amp;ROW()),TODAY())</f>
        <v>566</v>
      </c>
      <c r="C28" s="37">
        <f t="shared" ca="1" si="0"/>
        <v>73043</v>
      </c>
      <c r="D28" s="37" t="s">
        <v>339</v>
      </c>
      <c r="E28" s="37" t="s">
        <v>633</v>
      </c>
      <c r="F28" s="37" t="s">
        <v>2</v>
      </c>
      <c r="G28" s="37" t="s">
        <v>48</v>
      </c>
      <c r="H28" s="37" t="s">
        <v>634</v>
      </c>
      <c r="J28" s="38">
        <v>42388.273599537039</v>
      </c>
      <c r="K28" s="37" t="s">
        <v>4</v>
      </c>
      <c r="L28" s="37" t="s">
        <v>48</v>
      </c>
      <c r="M28" s="38">
        <v>42328.162766203706</v>
      </c>
      <c r="N28" s="37" t="s">
        <v>600</v>
      </c>
      <c r="P28" s="37" t="s">
        <v>366</v>
      </c>
      <c r="Q28" s="37" t="s">
        <v>6</v>
      </c>
      <c r="R28" s="37" t="s">
        <v>30</v>
      </c>
      <c r="S28" s="37" t="s">
        <v>8</v>
      </c>
      <c r="T28" s="37" t="s">
        <v>38</v>
      </c>
      <c r="V28" s="37" t="s">
        <v>9</v>
      </c>
      <c r="W28" s="37" t="s">
        <v>10</v>
      </c>
      <c r="X28" s="37" t="s">
        <v>7</v>
      </c>
      <c r="Y28" s="37" t="s">
        <v>82</v>
      </c>
      <c r="Z28" s="37" t="s">
        <v>7</v>
      </c>
      <c r="AA28" s="37" t="s">
        <v>7</v>
      </c>
      <c r="AB28" s="37" t="s">
        <v>7</v>
      </c>
      <c r="AC28" s="37" t="s">
        <v>7</v>
      </c>
      <c r="AD28" s="37" t="s">
        <v>7</v>
      </c>
      <c r="AE28" s="37" t="s">
        <v>623</v>
      </c>
    </row>
    <row r="29" spans="1:31" x14ac:dyDescent="0.3">
      <c r="A29" s="37">
        <f ca="1">DAYS360(INDIRECT(A88&amp;ROW()),TODAY())</f>
        <v>508</v>
      </c>
      <c r="B29" s="37">
        <f ca="1">DAYS360(INDIRECT(A87&amp;ROW()),TODAY())</f>
        <v>553</v>
      </c>
      <c r="C29" s="37">
        <f t="shared" ca="1" si="0"/>
        <v>73599</v>
      </c>
      <c r="D29" s="37" t="s">
        <v>564</v>
      </c>
      <c r="E29" s="37" t="s">
        <v>602</v>
      </c>
      <c r="F29" s="37" t="s">
        <v>11</v>
      </c>
      <c r="G29" s="37" t="s">
        <v>48</v>
      </c>
      <c r="H29" s="37" t="s">
        <v>81</v>
      </c>
      <c r="J29" s="38">
        <v>42387.019965277781</v>
      </c>
      <c r="K29" s="37" t="s">
        <v>20</v>
      </c>
      <c r="L29" s="37" t="s">
        <v>80</v>
      </c>
      <c r="M29" s="38">
        <v>42341.021909722222</v>
      </c>
      <c r="N29" s="37" t="s">
        <v>16</v>
      </c>
      <c r="P29" s="37" t="s">
        <v>366</v>
      </c>
      <c r="Q29" s="37" t="s">
        <v>17</v>
      </c>
      <c r="R29" s="37" t="s">
        <v>30</v>
      </c>
      <c r="S29" s="37" t="s">
        <v>13</v>
      </c>
      <c r="T29" s="37" t="s">
        <v>19</v>
      </c>
      <c r="V29" s="37" t="s">
        <v>9</v>
      </c>
      <c r="W29" s="37" t="s">
        <v>10</v>
      </c>
      <c r="X29" s="37" t="s">
        <v>7</v>
      </c>
      <c r="Y29" s="37" t="s">
        <v>82</v>
      </c>
      <c r="Z29" s="37" t="s">
        <v>7</v>
      </c>
      <c r="AA29" s="37" t="s">
        <v>603</v>
      </c>
      <c r="AB29" s="37" t="s">
        <v>7</v>
      </c>
      <c r="AC29" s="37" t="s">
        <v>7</v>
      </c>
      <c r="AD29" s="37" t="s">
        <v>7</v>
      </c>
      <c r="AE29" s="37" t="s">
        <v>623</v>
      </c>
    </row>
    <row r="30" spans="1:31" x14ac:dyDescent="0.3">
      <c r="A30" s="37">
        <f ca="1">DAYS360(INDIRECT(A88&amp;ROW()),TODAY())</f>
        <v>511</v>
      </c>
      <c r="B30" s="37">
        <f ca="1">DAYS360(INDIRECT(A87&amp;ROW()),TODAY())</f>
        <v>546</v>
      </c>
      <c r="C30" s="37">
        <f t="shared" ca="1" si="0"/>
        <v>73964</v>
      </c>
      <c r="D30" s="37" t="s">
        <v>632</v>
      </c>
      <c r="E30" s="37" t="s">
        <v>635</v>
      </c>
      <c r="F30" s="37" t="s">
        <v>2</v>
      </c>
      <c r="G30" s="37" t="s">
        <v>48</v>
      </c>
      <c r="H30" s="37" t="s">
        <v>81</v>
      </c>
      <c r="J30" s="38">
        <v>42384.686041666668</v>
      </c>
      <c r="K30" s="37" t="s">
        <v>159</v>
      </c>
      <c r="L30" s="37" t="s">
        <v>569</v>
      </c>
      <c r="M30" s="38">
        <v>42348.021956018521</v>
      </c>
      <c r="N30" s="37" t="s">
        <v>84</v>
      </c>
      <c r="P30" s="37" t="s">
        <v>366</v>
      </c>
      <c r="Q30" s="37" t="s">
        <v>17</v>
      </c>
      <c r="R30" s="37" t="s">
        <v>30</v>
      </c>
      <c r="S30" s="37" t="s">
        <v>13</v>
      </c>
      <c r="T30" s="37" t="s">
        <v>19</v>
      </c>
      <c r="V30" s="37" t="s">
        <v>9</v>
      </c>
      <c r="W30" s="37" t="s">
        <v>10</v>
      </c>
      <c r="X30" s="37" t="s">
        <v>44</v>
      </c>
      <c r="Y30" s="37" t="s">
        <v>82</v>
      </c>
      <c r="Z30" s="37" t="s">
        <v>7</v>
      </c>
      <c r="AA30" s="37" t="s">
        <v>7</v>
      </c>
      <c r="AB30" s="37" t="s">
        <v>7</v>
      </c>
      <c r="AC30" s="37" t="s">
        <v>309</v>
      </c>
      <c r="AD30" s="37" t="s">
        <v>7</v>
      </c>
      <c r="AE30" s="37" t="s">
        <v>623</v>
      </c>
    </row>
    <row r="31" spans="1:31" x14ac:dyDescent="0.3">
      <c r="A31" s="37">
        <f ca="1">DAYS360(INDIRECT(A88&amp;ROW()),TODAY())</f>
        <v>511</v>
      </c>
      <c r="B31" s="37">
        <f ca="1">DAYS360(INDIRECT(A87&amp;ROW()),TODAY())</f>
        <v>541</v>
      </c>
      <c r="C31" s="37">
        <f t="shared" ca="1" si="0"/>
        <v>74173</v>
      </c>
      <c r="D31" s="37" t="s">
        <v>376</v>
      </c>
      <c r="E31" s="37" t="s">
        <v>617</v>
      </c>
      <c r="F31" s="37" t="s">
        <v>2</v>
      </c>
      <c r="G31" s="37" t="s">
        <v>48</v>
      </c>
      <c r="H31" s="37" t="s">
        <v>81</v>
      </c>
      <c r="J31" s="38">
        <v>42384.714085648149</v>
      </c>
      <c r="K31" s="37" t="s">
        <v>20</v>
      </c>
      <c r="L31" s="37" t="s">
        <v>48</v>
      </c>
      <c r="M31" s="38">
        <v>42353.522141203706</v>
      </c>
      <c r="N31" s="37" t="s">
        <v>600</v>
      </c>
      <c r="P31" s="37" t="s">
        <v>366</v>
      </c>
      <c r="Q31" s="37" t="s">
        <v>17</v>
      </c>
      <c r="R31" s="37" t="s">
        <v>30</v>
      </c>
      <c r="S31" s="37" t="s">
        <v>13</v>
      </c>
      <c r="T31" s="37" t="s">
        <v>19</v>
      </c>
      <c r="V31" s="37" t="s">
        <v>49</v>
      </c>
      <c r="W31" s="37" t="s">
        <v>10</v>
      </c>
      <c r="X31" s="37" t="s">
        <v>7</v>
      </c>
      <c r="Y31" s="37" t="s">
        <v>82</v>
      </c>
      <c r="Z31" s="37" t="s">
        <v>7</v>
      </c>
      <c r="AA31" s="37" t="s">
        <v>7</v>
      </c>
      <c r="AB31" s="37" t="s">
        <v>7</v>
      </c>
      <c r="AC31" s="37" t="s">
        <v>309</v>
      </c>
      <c r="AD31" s="37" t="s">
        <v>7</v>
      </c>
      <c r="AE31" s="37" t="s">
        <v>623</v>
      </c>
    </row>
    <row r="32" spans="1:31" x14ac:dyDescent="0.3">
      <c r="A32" s="37">
        <f ca="1">DAYS360(INDIRECT(A88&amp;ROW()),TODAY())</f>
        <v>512</v>
      </c>
      <c r="B32" s="37">
        <f ca="1">DAYS360(INDIRECT(A87&amp;ROW()),TODAY())</f>
        <v>540</v>
      </c>
      <c r="C32" s="37">
        <f t="shared" ca="1" si="0"/>
        <v>74305</v>
      </c>
      <c r="D32" s="37" t="s">
        <v>376</v>
      </c>
      <c r="E32" s="37" t="s">
        <v>618</v>
      </c>
      <c r="F32" s="37" t="s">
        <v>2</v>
      </c>
      <c r="G32" s="37" t="s">
        <v>48</v>
      </c>
      <c r="H32" s="37" t="s">
        <v>81</v>
      </c>
      <c r="I32" s="37" t="s">
        <v>630</v>
      </c>
      <c r="J32" s="38">
        <v>42383.271886574075</v>
      </c>
      <c r="K32" s="37" t="s">
        <v>20</v>
      </c>
      <c r="L32" s="37" t="s">
        <v>80</v>
      </c>
      <c r="M32" s="38">
        <v>42354.522175925929</v>
      </c>
      <c r="N32" s="37" t="s">
        <v>600</v>
      </c>
      <c r="P32" s="37" t="s">
        <v>366</v>
      </c>
      <c r="Q32" s="37" t="s">
        <v>6</v>
      </c>
      <c r="R32" s="37" t="s">
        <v>30</v>
      </c>
      <c r="S32" s="37" t="s">
        <v>13</v>
      </c>
      <c r="T32" s="37" t="s">
        <v>19</v>
      </c>
      <c r="V32" s="37" t="s">
        <v>9</v>
      </c>
      <c r="W32" s="37" t="s">
        <v>10</v>
      </c>
      <c r="X32" s="37" t="s">
        <v>7</v>
      </c>
      <c r="Y32" s="37" t="s">
        <v>82</v>
      </c>
      <c r="Z32" s="37" t="s">
        <v>7</v>
      </c>
      <c r="AA32" s="37" t="s">
        <v>603</v>
      </c>
      <c r="AB32" s="37" t="s">
        <v>7</v>
      </c>
      <c r="AC32" s="37" t="s">
        <v>7</v>
      </c>
      <c r="AD32" s="37" t="s">
        <v>7</v>
      </c>
      <c r="AE32" s="37" t="s">
        <v>623</v>
      </c>
    </row>
    <row r="33" spans="1:31" x14ac:dyDescent="0.3">
      <c r="A33" s="37">
        <f ca="1">DAYS360(INDIRECT(A88&amp;ROW()),TODAY())</f>
        <v>512</v>
      </c>
      <c r="B33" s="37">
        <f ca="1">DAYS360(INDIRECT(A87&amp;ROW()),TODAY())</f>
        <v>522</v>
      </c>
      <c r="C33" s="37">
        <f t="shared" ca="1" si="0"/>
        <v>74748</v>
      </c>
      <c r="D33" s="37" t="s">
        <v>620</v>
      </c>
      <c r="E33" s="37" t="s">
        <v>619</v>
      </c>
      <c r="F33" s="37" t="s">
        <v>2</v>
      </c>
      <c r="G33" s="37" t="s">
        <v>48</v>
      </c>
      <c r="H33" s="37" t="s">
        <v>81</v>
      </c>
      <c r="I33" s="37" t="s">
        <v>380</v>
      </c>
      <c r="J33" s="38">
        <v>42383.311412037037</v>
      </c>
      <c r="K33" s="37" t="s">
        <v>20</v>
      </c>
      <c r="L33" s="37" t="s">
        <v>80</v>
      </c>
      <c r="M33" s="38">
        <v>42373.574826388889</v>
      </c>
      <c r="N33" s="37" t="s">
        <v>16</v>
      </c>
      <c r="P33" s="37" t="s">
        <v>366</v>
      </c>
      <c r="Q33" s="37" t="s">
        <v>17</v>
      </c>
      <c r="R33" s="37" t="s">
        <v>30</v>
      </c>
      <c r="S33" s="37" t="s">
        <v>24</v>
      </c>
      <c r="T33" s="37" t="s">
        <v>31</v>
      </c>
      <c r="V33" s="37" t="s">
        <v>9</v>
      </c>
      <c r="W33" s="37" t="s">
        <v>10</v>
      </c>
      <c r="X33" s="37" t="s">
        <v>7</v>
      </c>
      <c r="Y33" s="37" t="s">
        <v>82</v>
      </c>
      <c r="Z33" s="37" t="s">
        <v>7</v>
      </c>
      <c r="AA33" s="37" t="s">
        <v>603</v>
      </c>
      <c r="AB33" s="37" t="s">
        <v>7</v>
      </c>
      <c r="AC33" s="37" t="s">
        <v>7</v>
      </c>
      <c r="AD33" s="37" t="s">
        <v>7</v>
      </c>
      <c r="AE33" s="37" t="s">
        <v>623</v>
      </c>
    </row>
    <row r="34" spans="1:31" x14ac:dyDescent="0.3">
      <c r="A34" s="37">
        <f ca="1">DAYS360(INDIRECT(A88&amp;ROW()),TODAY())</f>
        <v>505</v>
      </c>
      <c r="B34" s="37">
        <f ca="1">DAYS360(INDIRECT(A87&amp;ROW()),TODAY())</f>
        <v>521</v>
      </c>
      <c r="C34" s="37">
        <f t="shared" ca="1" si="0"/>
        <v>74824</v>
      </c>
      <c r="D34" s="37" t="s">
        <v>376</v>
      </c>
      <c r="E34" s="37" t="s">
        <v>643</v>
      </c>
      <c r="F34" s="37" t="s">
        <v>2</v>
      </c>
      <c r="G34" s="37" t="s">
        <v>48</v>
      </c>
      <c r="H34" s="37" t="s">
        <v>81</v>
      </c>
      <c r="J34" s="38">
        <v>42390.315150462964</v>
      </c>
      <c r="K34" s="37" t="s">
        <v>20</v>
      </c>
      <c r="L34" s="37" t="s">
        <v>48</v>
      </c>
      <c r="M34" s="38">
        <v>42374.52275462963</v>
      </c>
      <c r="N34" s="37" t="s">
        <v>600</v>
      </c>
      <c r="P34" s="37" t="s">
        <v>616</v>
      </c>
      <c r="Q34" s="37" t="s">
        <v>6</v>
      </c>
      <c r="R34" s="37" t="s">
        <v>30</v>
      </c>
      <c r="S34" s="37" t="s">
        <v>13</v>
      </c>
      <c r="T34" s="37" t="s">
        <v>19</v>
      </c>
      <c r="V34" s="37" t="s">
        <v>49</v>
      </c>
      <c r="W34" s="37" t="s">
        <v>10</v>
      </c>
      <c r="X34" s="37" t="s">
        <v>7</v>
      </c>
      <c r="Y34" s="37" t="s">
        <v>82</v>
      </c>
      <c r="Z34" s="37" t="s">
        <v>7</v>
      </c>
      <c r="AA34" s="37" t="s">
        <v>7</v>
      </c>
      <c r="AB34" s="37" t="s">
        <v>7</v>
      </c>
      <c r="AC34" s="37" t="s">
        <v>309</v>
      </c>
      <c r="AD34" s="37" t="s">
        <v>7</v>
      </c>
      <c r="AE34" s="37" t="s">
        <v>623</v>
      </c>
    </row>
    <row r="35" spans="1:31" x14ac:dyDescent="0.3">
      <c r="A35" s="37">
        <f ca="1">DAYS360(INDIRECT(A88&amp;ROW()),TODAY())</f>
        <v>511</v>
      </c>
      <c r="B35" s="37">
        <f ca="1">DAYS360(INDIRECT(A87&amp;ROW()),TODAY())</f>
        <v>520</v>
      </c>
      <c r="C35" s="37">
        <f t="shared" ca="1" si="0"/>
        <v>74874</v>
      </c>
      <c r="D35" s="37" t="s">
        <v>338</v>
      </c>
      <c r="E35" s="37" t="s">
        <v>625</v>
      </c>
      <c r="F35" s="37" t="s">
        <v>2</v>
      </c>
      <c r="G35" s="37" t="s">
        <v>48</v>
      </c>
      <c r="H35" s="37" t="s">
        <v>81</v>
      </c>
      <c r="J35" s="38">
        <v>42384.712743055556</v>
      </c>
      <c r="K35" s="37" t="s">
        <v>20</v>
      </c>
      <c r="L35" s="37" t="s">
        <v>48</v>
      </c>
      <c r="M35" s="38">
        <v>42375.631840277776</v>
      </c>
      <c r="N35" s="37" t="s">
        <v>600</v>
      </c>
      <c r="P35" s="37" t="s">
        <v>616</v>
      </c>
      <c r="Q35" s="37" t="s">
        <v>6</v>
      </c>
      <c r="R35" s="37" t="s">
        <v>30</v>
      </c>
      <c r="S35" s="37" t="s">
        <v>8</v>
      </c>
      <c r="T35" s="37" t="s">
        <v>38</v>
      </c>
      <c r="V35" s="37" t="s">
        <v>49</v>
      </c>
      <c r="W35" s="37" t="s">
        <v>10</v>
      </c>
      <c r="X35" s="37" t="s">
        <v>7</v>
      </c>
      <c r="Y35" s="37" t="s">
        <v>82</v>
      </c>
      <c r="Z35" s="37" t="s">
        <v>7</v>
      </c>
      <c r="AA35" s="37" t="s">
        <v>7</v>
      </c>
      <c r="AB35" s="37" t="s">
        <v>7</v>
      </c>
      <c r="AC35" s="37" t="s">
        <v>7</v>
      </c>
      <c r="AD35" s="37" t="s">
        <v>7</v>
      </c>
      <c r="AE35" s="37" t="s">
        <v>623</v>
      </c>
    </row>
    <row r="36" spans="1:31" x14ac:dyDescent="0.3">
      <c r="A36" s="37">
        <f ca="1">DAYS360(INDIRECT(A88&amp;ROW()),TODAY())</f>
        <v>499</v>
      </c>
      <c r="B36" s="37">
        <f ca="1">DAYS360(INDIRECT(A87&amp;ROW()),TODAY())</f>
        <v>519</v>
      </c>
      <c r="C36" s="37">
        <f t="shared" ca="1" si="0"/>
        <v>74894</v>
      </c>
      <c r="D36" s="37" t="s">
        <v>627</v>
      </c>
      <c r="E36" s="37" t="s">
        <v>626</v>
      </c>
      <c r="F36" s="37" t="s">
        <v>11</v>
      </c>
      <c r="G36" s="37" t="s">
        <v>48</v>
      </c>
      <c r="H36" s="37" t="s">
        <v>81</v>
      </c>
      <c r="J36" s="38">
        <v>42396.720625000002</v>
      </c>
      <c r="K36" s="37" t="s">
        <v>20</v>
      </c>
      <c r="L36" s="37" t="s">
        <v>48</v>
      </c>
      <c r="M36" s="38">
        <v>42376.02306712963</v>
      </c>
      <c r="N36" s="37" t="s">
        <v>600</v>
      </c>
      <c r="P36" s="37" t="s">
        <v>366</v>
      </c>
      <c r="Q36" s="37" t="s">
        <v>17</v>
      </c>
      <c r="R36" s="37" t="s">
        <v>30</v>
      </c>
      <c r="S36" s="37" t="s">
        <v>8</v>
      </c>
      <c r="T36" s="37" t="s">
        <v>38</v>
      </c>
      <c r="V36" s="37" t="s">
        <v>9</v>
      </c>
      <c r="W36" s="37" t="s">
        <v>10</v>
      </c>
      <c r="X36" s="37" t="s">
        <v>7</v>
      </c>
      <c r="Y36" s="37" t="s">
        <v>82</v>
      </c>
      <c r="Z36" s="37" t="s">
        <v>7</v>
      </c>
      <c r="AA36" s="37" t="s">
        <v>7</v>
      </c>
      <c r="AB36" s="37" t="s">
        <v>7</v>
      </c>
      <c r="AC36" s="37" t="s">
        <v>7</v>
      </c>
      <c r="AD36" s="37" t="s">
        <v>7</v>
      </c>
      <c r="AE36" s="37" t="s">
        <v>623</v>
      </c>
    </row>
    <row r="37" spans="1:31" x14ac:dyDescent="0.3">
      <c r="A37" s="37">
        <f ca="1">DAYS360(INDIRECT(A88&amp;ROW()),TODAY())</f>
        <v>514</v>
      </c>
      <c r="B37" s="37">
        <f ca="1">DAYS360(INDIRECT(A87&amp;ROW()),TODAY())</f>
        <v>514</v>
      </c>
      <c r="C37" s="37">
        <f t="shared" ca="1" si="0"/>
        <v>75099</v>
      </c>
      <c r="D37" s="37" t="s">
        <v>332</v>
      </c>
      <c r="E37" s="37" t="s">
        <v>631</v>
      </c>
      <c r="F37" s="37" t="s">
        <v>2</v>
      </c>
      <c r="G37" s="37" t="s">
        <v>48</v>
      </c>
      <c r="H37" s="37" t="s">
        <v>81</v>
      </c>
      <c r="J37" s="38">
        <v>42381.728703703702</v>
      </c>
      <c r="K37" s="37" t="s">
        <v>20</v>
      </c>
      <c r="L37" s="37" t="s">
        <v>48</v>
      </c>
      <c r="M37" s="38">
        <v>42381.728703703702</v>
      </c>
      <c r="N37" s="37" t="s">
        <v>600</v>
      </c>
      <c r="P37" s="37" t="s">
        <v>366</v>
      </c>
      <c r="Q37" s="37" t="s">
        <v>6</v>
      </c>
      <c r="R37" s="37" t="s">
        <v>30</v>
      </c>
      <c r="S37" s="37" t="s">
        <v>24</v>
      </c>
      <c r="T37" s="37" t="s">
        <v>47</v>
      </c>
      <c r="V37" s="37" t="s">
        <v>9</v>
      </c>
      <c r="W37" s="37" t="s">
        <v>10</v>
      </c>
      <c r="X37" s="37" t="s">
        <v>7</v>
      </c>
      <c r="Y37" s="37" t="s">
        <v>82</v>
      </c>
      <c r="Z37" s="37" t="s">
        <v>7</v>
      </c>
      <c r="AA37" s="37" t="s">
        <v>7</v>
      </c>
      <c r="AB37" s="37" t="s">
        <v>7</v>
      </c>
      <c r="AC37" s="37" t="s">
        <v>7</v>
      </c>
      <c r="AD37" s="37" t="s">
        <v>7</v>
      </c>
      <c r="AE37" s="37" t="s">
        <v>623</v>
      </c>
    </row>
    <row r="38" spans="1:31" x14ac:dyDescent="0.3">
      <c r="A38" s="37">
        <f ca="1">DAYS360(INDIRECT(A88&amp;ROW()),TODAY())</f>
        <v>506</v>
      </c>
      <c r="B38" s="37">
        <f ca="1">DAYS360(INDIRECT(A87&amp;ROW()),TODAY())</f>
        <v>507</v>
      </c>
      <c r="C38" s="37">
        <f t="shared" ca="1" si="0"/>
        <v>75390</v>
      </c>
      <c r="D38" s="37" t="s">
        <v>337</v>
      </c>
      <c r="E38" s="37" t="s">
        <v>637</v>
      </c>
      <c r="F38" s="37" t="s">
        <v>2</v>
      </c>
      <c r="G38" s="37" t="s">
        <v>48</v>
      </c>
      <c r="H38" s="37" t="s">
        <v>81</v>
      </c>
      <c r="J38" s="38">
        <v>42389.673344907409</v>
      </c>
      <c r="K38" s="37" t="s">
        <v>20</v>
      </c>
      <c r="L38" s="37" t="s">
        <v>48</v>
      </c>
      <c r="M38" s="38">
        <v>42388.523240740738</v>
      </c>
      <c r="N38" s="37" t="s">
        <v>638</v>
      </c>
      <c r="P38" s="37" t="s">
        <v>366</v>
      </c>
      <c r="Q38" s="37" t="s">
        <v>6</v>
      </c>
      <c r="R38" s="37" t="s">
        <v>30</v>
      </c>
      <c r="S38" s="37" t="s">
        <v>8</v>
      </c>
      <c r="T38" s="37" t="s">
        <v>38</v>
      </c>
      <c r="V38" s="37" t="s">
        <v>49</v>
      </c>
      <c r="W38" s="37" t="s">
        <v>10</v>
      </c>
      <c r="X38" s="37" t="s">
        <v>7</v>
      </c>
      <c r="Y38" s="37" t="s">
        <v>82</v>
      </c>
      <c r="Z38" s="37" t="s">
        <v>7</v>
      </c>
      <c r="AA38" s="37" t="s">
        <v>7</v>
      </c>
      <c r="AB38" s="37" t="s">
        <v>7</v>
      </c>
      <c r="AC38" s="37" t="s">
        <v>7</v>
      </c>
      <c r="AD38" s="37" t="s">
        <v>7</v>
      </c>
      <c r="AE38" s="37" t="s">
        <v>623</v>
      </c>
    </row>
    <row r="39" spans="1:31" x14ac:dyDescent="0.3">
      <c r="A39" s="37">
        <f ca="1">DAYS360(INDIRECT(A88&amp;ROW()),TODAY())</f>
        <v>495</v>
      </c>
      <c r="B39" s="37">
        <f ca="1">DAYS360(INDIRECT(A87&amp;ROW()),TODAY())</f>
        <v>507</v>
      </c>
      <c r="C39" s="37">
        <f t="shared" ca="1" si="0"/>
        <v>75396</v>
      </c>
      <c r="D39" s="37" t="s">
        <v>332</v>
      </c>
      <c r="E39" s="37" t="s">
        <v>639</v>
      </c>
      <c r="F39" s="37" t="s">
        <v>2</v>
      </c>
      <c r="G39" s="37" t="s">
        <v>48</v>
      </c>
      <c r="H39" s="37" t="s">
        <v>81</v>
      </c>
      <c r="J39" s="38">
        <v>42401.01222222222</v>
      </c>
      <c r="K39" s="37" t="s">
        <v>20</v>
      </c>
      <c r="L39" s="37" t="s">
        <v>48</v>
      </c>
      <c r="M39" s="38">
        <v>42388.524050925924</v>
      </c>
      <c r="N39" s="37" t="s">
        <v>638</v>
      </c>
      <c r="P39" s="37" t="s">
        <v>366</v>
      </c>
      <c r="Q39" s="37" t="s">
        <v>6</v>
      </c>
      <c r="R39" s="37" t="s">
        <v>30</v>
      </c>
      <c r="S39" s="37" t="s">
        <v>24</v>
      </c>
      <c r="T39" s="37" t="s">
        <v>46</v>
      </c>
      <c r="V39" s="37" t="s">
        <v>49</v>
      </c>
      <c r="W39" s="37" t="s">
        <v>10</v>
      </c>
      <c r="X39" s="37" t="s">
        <v>7</v>
      </c>
      <c r="Y39" s="37" t="s">
        <v>82</v>
      </c>
      <c r="Z39" s="37" t="s">
        <v>7</v>
      </c>
      <c r="AA39" s="37" t="s">
        <v>7</v>
      </c>
      <c r="AB39" s="37" t="s">
        <v>7</v>
      </c>
      <c r="AC39" s="37" t="s">
        <v>7</v>
      </c>
      <c r="AD39" s="37" t="s">
        <v>7</v>
      </c>
      <c r="AE39" s="37" t="s">
        <v>623</v>
      </c>
    </row>
    <row r="40" spans="1:31" x14ac:dyDescent="0.3">
      <c r="A40" s="37">
        <f ca="1">DAYS360(INDIRECT(A88&amp;ROW()),TODAY())</f>
        <v>501</v>
      </c>
      <c r="B40" s="37">
        <f ca="1">DAYS360(INDIRECT(A87&amp;ROW()),TODAY())</f>
        <v>506</v>
      </c>
      <c r="C40" s="37">
        <f t="shared" ca="1" si="0"/>
        <v>75420</v>
      </c>
      <c r="D40" s="37" t="s">
        <v>343</v>
      </c>
      <c r="E40" s="37" t="s">
        <v>640</v>
      </c>
      <c r="F40" s="37" t="s">
        <v>2</v>
      </c>
      <c r="G40" s="37" t="s">
        <v>48</v>
      </c>
      <c r="H40" s="37" t="s">
        <v>81</v>
      </c>
      <c r="J40" s="38">
        <v>42394.05097222222</v>
      </c>
      <c r="K40" s="37" t="s">
        <v>20</v>
      </c>
      <c r="L40" s="37" t="s">
        <v>48</v>
      </c>
      <c r="M40" s="38">
        <v>42389.023402777777</v>
      </c>
      <c r="N40" s="37" t="s">
        <v>638</v>
      </c>
      <c r="P40" s="37" t="s">
        <v>366</v>
      </c>
      <c r="Q40" s="37" t="s">
        <v>6</v>
      </c>
      <c r="R40" s="37" t="s">
        <v>30</v>
      </c>
      <c r="S40" s="37" t="s">
        <v>8</v>
      </c>
      <c r="T40" s="37" t="s">
        <v>216</v>
      </c>
      <c r="V40" s="37" t="s">
        <v>49</v>
      </c>
      <c r="W40" s="37" t="s">
        <v>10</v>
      </c>
      <c r="X40" s="37" t="s">
        <v>7</v>
      </c>
      <c r="Y40" s="37" t="s">
        <v>82</v>
      </c>
      <c r="Z40" s="37" t="s">
        <v>7</v>
      </c>
      <c r="AA40" s="37" t="s">
        <v>7</v>
      </c>
      <c r="AB40" s="37" t="s">
        <v>7</v>
      </c>
      <c r="AC40" s="37" t="s">
        <v>7</v>
      </c>
      <c r="AD40" s="37" t="s">
        <v>7</v>
      </c>
      <c r="AE40" s="37" t="s">
        <v>623</v>
      </c>
    </row>
    <row r="41" spans="1:31" x14ac:dyDescent="0.3">
      <c r="A41" s="37">
        <f ca="1">DAYS360(INDIRECT(A88&amp;ROW()),TODAY())</f>
        <v>499</v>
      </c>
      <c r="B41" s="37">
        <f ca="1">DAYS360(INDIRECT(A87&amp;ROW()),TODAY())</f>
        <v>506</v>
      </c>
      <c r="C41" s="37">
        <f t="shared" ca="1" si="0"/>
        <v>75566</v>
      </c>
      <c r="D41" s="37" t="s">
        <v>343</v>
      </c>
      <c r="E41" s="37" t="s">
        <v>716</v>
      </c>
      <c r="F41" s="37" t="s">
        <v>2</v>
      </c>
      <c r="G41" s="37" t="s">
        <v>48</v>
      </c>
      <c r="H41" s="37" t="s">
        <v>81</v>
      </c>
      <c r="J41" s="38">
        <v>42396.864178240743</v>
      </c>
      <c r="K41" s="37" t="s">
        <v>20</v>
      </c>
      <c r="L41" s="37" t="s">
        <v>48</v>
      </c>
      <c r="M41" s="38">
        <v>42389.696921296294</v>
      </c>
      <c r="N41" s="37" t="s">
        <v>638</v>
      </c>
      <c r="P41" s="37" t="s">
        <v>366</v>
      </c>
      <c r="Q41" s="37" t="s">
        <v>6</v>
      </c>
      <c r="R41" s="37" t="s">
        <v>30</v>
      </c>
      <c r="S41" s="37" t="s">
        <v>8</v>
      </c>
      <c r="T41" s="37" t="s">
        <v>38</v>
      </c>
      <c r="V41" s="37" t="s">
        <v>49</v>
      </c>
      <c r="W41" s="37" t="s">
        <v>10</v>
      </c>
      <c r="X41" s="37" t="s">
        <v>7</v>
      </c>
      <c r="Y41" s="37" t="s">
        <v>82</v>
      </c>
      <c r="Z41" s="37" t="s">
        <v>7</v>
      </c>
      <c r="AA41" s="37" t="s">
        <v>7</v>
      </c>
      <c r="AB41" s="37" t="s">
        <v>7</v>
      </c>
      <c r="AC41" s="37" t="s">
        <v>7</v>
      </c>
      <c r="AD41" s="37" t="s">
        <v>7</v>
      </c>
      <c r="AE41" s="37" t="s">
        <v>623</v>
      </c>
    </row>
    <row r="42" spans="1:31" x14ac:dyDescent="0.3">
      <c r="A42" s="37">
        <f ca="1">DAYS360(INDIRECT(A88&amp;ROW()),TODAY())</f>
        <v>501</v>
      </c>
      <c r="B42" s="37">
        <f ca="1">DAYS360(INDIRECT(A87&amp;ROW()),TODAY())</f>
        <v>505</v>
      </c>
      <c r="C42" s="37">
        <f t="shared" ca="1" si="0"/>
        <v>75627</v>
      </c>
      <c r="D42" s="37" t="s">
        <v>337</v>
      </c>
      <c r="E42" s="37" t="s">
        <v>644</v>
      </c>
      <c r="F42" s="37" t="s">
        <v>11</v>
      </c>
      <c r="G42" s="37" t="s">
        <v>48</v>
      </c>
      <c r="H42" s="37" t="s">
        <v>642</v>
      </c>
      <c r="J42" s="38">
        <v>42394.050949074073</v>
      </c>
      <c r="K42" s="37" t="s">
        <v>20</v>
      </c>
      <c r="L42" s="37" t="s">
        <v>48</v>
      </c>
      <c r="M42" s="38">
        <v>42390.23474537037</v>
      </c>
      <c r="N42" s="37" t="s">
        <v>638</v>
      </c>
      <c r="P42" s="37" t="s">
        <v>366</v>
      </c>
      <c r="Q42" s="37" t="s">
        <v>12</v>
      </c>
      <c r="R42" s="37" t="s">
        <v>30</v>
      </c>
      <c r="S42" s="37" t="s">
        <v>8</v>
      </c>
      <c r="T42" s="37" t="s">
        <v>153</v>
      </c>
      <c r="V42" s="37" t="s">
        <v>49</v>
      </c>
      <c r="W42" s="37" t="s">
        <v>10</v>
      </c>
      <c r="X42" s="37" t="s">
        <v>7</v>
      </c>
      <c r="Y42" s="37" t="s">
        <v>82</v>
      </c>
      <c r="Z42" s="37" t="s">
        <v>7</v>
      </c>
      <c r="AA42" s="37" t="s">
        <v>7</v>
      </c>
      <c r="AB42" s="37" t="s">
        <v>7</v>
      </c>
      <c r="AC42" s="37" t="s">
        <v>7</v>
      </c>
      <c r="AD42" s="37" t="s">
        <v>7</v>
      </c>
      <c r="AE42" s="37" t="s">
        <v>623</v>
      </c>
    </row>
    <row r="43" spans="1:31" x14ac:dyDescent="0.3">
      <c r="A43" s="37">
        <f ca="1">DAYS360(INDIRECT(A88&amp;ROW()),TODAY())</f>
        <v>497</v>
      </c>
      <c r="B43" s="37">
        <f ca="1">DAYS360(INDIRECT(A87&amp;ROW()),TODAY())</f>
        <v>500</v>
      </c>
      <c r="C43" s="37">
        <f t="shared" ca="1" si="0"/>
        <v>75909</v>
      </c>
      <c r="D43" s="37" t="s">
        <v>332</v>
      </c>
      <c r="E43" s="37" t="s">
        <v>710</v>
      </c>
      <c r="F43" s="37" t="s">
        <v>2</v>
      </c>
      <c r="G43" s="37" t="s">
        <v>48</v>
      </c>
      <c r="H43" s="37" t="s">
        <v>81</v>
      </c>
      <c r="J43" s="38">
        <v>42398.582858796297</v>
      </c>
      <c r="K43" s="37" t="s">
        <v>20</v>
      </c>
      <c r="L43" s="37" t="s">
        <v>48</v>
      </c>
      <c r="M43" s="38">
        <v>42395.328125</v>
      </c>
      <c r="N43" s="37" t="s">
        <v>638</v>
      </c>
      <c r="P43" s="37" t="s">
        <v>366</v>
      </c>
      <c r="Q43" s="37" t="s">
        <v>6</v>
      </c>
      <c r="R43" s="37" t="s">
        <v>30</v>
      </c>
      <c r="S43" s="37" t="s">
        <v>24</v>
      </c>
      <c r="T43" s="37" t="s">
        <v>31</v>
      </c>
      <c r="V43" s="37" t="s">
        <v>49</v>
      </c>
      <c r="W43" s="37" t="s">
        <v>10</v>
      </c>
      <c r="X43" s="37" t="s">
        <v>7</v>
      </c>
      <c r="Y43" s="37" t="s">
        <v>82</v>
      </c>
      <c r="Z43" s="37" t="s">
        <v>7</v>
      </c>
      <c r="AA43" s="37" t="s">
        <v>7</v>
      </c>
      <c r="AB43" s="37" t="s">
        <v>7</v>
      </c>
      <c r="AC43" s="37" t="s">
        <v>7</v>
      </c>
      <c r="AD43" s="37" t="s">
        <v>7</v>
      </c>
      <c r="AE43" s="37" t="s">
        <v>623</v>
      </c>
    </row>
    <row r="44" spans="1:31" x14ac:dyDescent="0.3">
      <c r="A44" s="37">
        <f ca="1">DAYS360(INDIRECT(A88&amp;ROW()),TODAY())</f>
        <v>497</v>
      </c>
      <c r="B44" s="37">
        <f ca="1">DAYS360(INDIRECT(A87&amp;ROW()),TODAY())</f>
        <v>500</v>
      </c>
      <c r="C44" s="37">
        <f t="shared" ca="1" si="0"/>
        <v>75936</v>
      </c>
      <c r="D44" s="37" t="s">
        <v>343</v>
      </c>
      <c r="E44" s="37" t="s">
        <v>711</v>
      </c>
      <c r="F44" s="37" t="s">
        <v>2</v>
      </c>
      <c r="G44" s="37" t="s">
        <v>48</v>
      </c>
      <c r="H44" s="37" t="s">
        <v>81</v>
      </c>
      <c r="J44" s="38">
        <v>42398.431493055556</v>
      </c>
      <c r="K44" s="37" t="s">
        <v>20</v>
      </c>
      <c r="L44" s="37" t="s">
        <v>569</v>
      </c>
      <c r="M44" s="38">
        <v>42395.523263888892</v>
      </c>
      <c r="N44" s="37" t="s">
        <v>628</v>
      </c>
      <c r="Q44" s="37" t="s">
        <v>12</v>
      </c>
      <c r="R44" s="37" t="s">
        <v>30</v>
      </c>
      <c r="S44" s="37" t="s">
        <v>8</v>
      </c>
      <c r="T44" s="37" t="s">
        <v>216</v>
      </c>
      <c r="V44" s="37" t="s">
        <v>49</v>
      </c>
      <c r="W44" s="37" t="s">
        <v>10</v>
      </c>
      <c r="X44" s="37" t="s">
        <v>7</v>
      </c>
      <c r="Y44" s="37" t="s">
        <v>82</v>
      </c>
      <c r="Z44" s="37" t="s">
        <v>7</v>
      </c>
      <c r="AA44" s="37" t="s">
        <v>7</v>
      </c>
      <c r="AB44" s="37" t="s">
        <v>7</v>
      </c>
      <c r="AC44" s="37" t="s">
        <v>7</v>
      </c>
      <c r="AD44" s="37" t="s">
        <v>7</v>
      </c>
      <c r="AE44" s="37" t="s">
        <v>623</v>
      </c>
    </row>
    <row r="45" spans="1:31" x14ac:dyDescent="0.3">
      <c r="A45" s="37">
        <f ca="1">DAYS360(INDIRECT(A88&amp;ROW()),TODAY())</f>
        <v>497</v>
      </c>
      <c r="B45" s="37">
        <f ca="1">DAYS360(INDIRECT(A87&amp;ROW()),TODAY())</f>
        <v>499</v>
      </c>
      <c r="C45" s="37">
        <f t="shared" ca="1" si="0"/>
        <v>76007</v>
      </c>
      <c r="D45" s="37" t="s">
        <v>376</v>
      </c>
      <c r="E45" s="37" t="s">
        <v>713</v>
      </c>
      <c r="F45" s="37" t="s">
        <v>2</v>
      </c>
      <c r="G45" s="37" t="s">
        <v>48</v>
      </c>
      <c r="H45" s="37" t="s">
        <v>81</v>
      </c>
      <c r="J45" s="38">
        <v>42398.578263888892</v>
      </c>
      <c r="K45" s="37" t="s">
        <v>20</v>
      </c>
      <c r="L45" s="37" t="s">
        <v>48</v>
      </c>
      <c r="M45" s="38">
        <v>42396.331562500003</v>
      </c>
      <c r="N45" s="37" t="s">
        <v>638</v>
      </c>
      <c r="P45" s="37" t="s">
        <v>366</v>
      </c>
      <c r="Q45" s="37" t="s">
        <v>6</v>
      </c>
      <c r="R45" s="37" t="s">
        <v>30</v>
      </c>
      <c r="S45" s="37" t="s">
        <v>13</v>
      </c>
      <c r="T45" s="37" t="s">
        <v>19</v>
      </c>
      <c r="V45" s="37" t="s">
        <v>49</v>
      </c>
      <c r="W45" s="37" t="s">
        <v>10</v>
      </c>
      <c r="X45" s="37" t="s">
        <v>7</v>
      </c>
      <c r="Y45" s="37" t="s">
        <v>82</v>
      </c>
      <c r="Z45" s="37" t="s">
        <v>7</v>
      </c>
      <c r="AA45" s="37" t="s">
        <v>7</v>
      </c>
      <c r="AB45" s="37" t="s">
        <v>7</v>
      </c>
      <c r="AC45" s="37" t="s">
        <v>7</v>
      </c>
      <c r="AD45" s="37" t="s">
        <v>7</v>
      </c>
      <c r="AE45" s="37" t="s">
        <v>623</v>
      </c>
    </row>
    <row r="46" spans="1:31" x14ac:dyDescent="0.3">
      <c r="A46" s="37">
        <f ca="1">DAYS360(INDIRECT(A88&amp;ROW()),TODAY())</f>
        <v>497</v>
      </c>
      <c r="B46" s="37">
        <f ca="1">DAYS360(INDIRECT(A87&amp;ROW()),TODAY())</f>
        <v>499</v>
      </c>
      <c r="C46" s="37">
        <f t="shared" ca="1" si="0"/>
        <v>76017</v>
      </c>
      <c r="D46" s="37" t="s">
        <v>376</v>
      </c>
      <c r="E46" s="37" t="s">
        <v>714</v>
      </c>
      <c r="F46" s="37" t="s">
        <v>2</v>
      </c>
      <c r="G46" s="37" t="s">
        <v>48</v>
      </c>
      <c r="H46" s="37" t="s">
        <v>81</v>
      </c>
      <c r="J46" s="38">
        <v>42398.429050925923</v>
      </c>
      <c r="K46" s="37" t="s">
        <v>20</v>
      </c>
      <c r="L46" s="37" t="s">
        <v>83</v>
      </c>
      <c r="M46" s="38">
        <v>42396.368611111109</v>
      </c>
      <c r="N46" s="37" t="s">
        <v>16</v>
      </c>
      <c r="P46" s="37" t="s">
        <v>366</v>
      </c>
      <c r="Q46" s="37" t="s">
        <v>6</v>
      </c>
      <c r="R46" s="37" t="s">
        <v>30</v>
      </c>
      <c r="S46" s="37" t="s">
        <v>13</v>
      </c>
      <c r="T46" s="37" t="s">
        <v>19</v>
      </c>
      <c r="V46" s="37" t="s">
        <v>49</v>
      </c>
      <c r="W46" s="37" t="s">
        <v>10</v>
      </c>
      <c r="X46" s="37" t="s">
        <v>7</v>
      </c>
      <c r="Y46" s="37" t="s">
        <v>82</v>
      </c>
      <c r="Z46" s="37" t="s">
        <v>7</v>
      </c>
      <c r="AA46" s="37" t="s">
        <v>7</v>
      </c>
      <c r="AB46" s="37" t="s">
        <v>7</v>
      </c>
      <c r="AC46" s="37" t="s">
        <v>7</v>
      </c>
      <c r="AD46" s="37" t="s">
        <v>7</v>
      </c>
      <c r="AE46" s="37" t="s">
        <v>623</v>
      </c>
    </row>
    <row r="47" spans="1:31" x14ac:dyDescent="0.3">
      <c r="A47" s="37">
        <f ca="1">DAYS360(INDIRECT(A88&amp;ROW()),TODAY())</f>
        <v>42286</v>
      </c>
      <c r="B47" s="37">
        <f ca="1">DAYS360(INDIRECT(A87&amp;ROW()),TODAY())</f>
        <v>42286</v>
      </c>
      <c r="J47" s="38"/>
      <c r="M47" s="38"/>
    </row>
    <row r="48" spans="1:31" x14ac:dyDescent="0.3">
      <c r="A48" s="37">
        <f ca="1">DAYS360(INDIRECT(A88&amp;ROW()),TODAY())</f>
        <v>42286</v>
      </c>
      <c r="B48" s="37">
        <f ca="1">DAYS360(INDIRECT(A87&amp;ROW()),TODAY())</f>
        <v>42286</v>
      </c>
      <c r="D48" s="39"/>
      <c r="J48" s="38"/>
      <c r="M48" s="38"/>
    </row>
    <row r="49" spans="1:13" x14ac:dyDescent="0.3">
      <c r="A49" s="37">
        <f ca="1">DAYS360(INDIRECT(A88&amp;ROW()),TODAY())</f>
        <v>42286</v>
      </c>
      <c r="B49" s="37">
        <f ca="1">DAYS360(INDIRECT(A87&amp;ROW()),TODAY())</f>
        <v>42286</v>
      </c>
      <c r="J49" s="38"/>
      <c r="M49" s="38"/>
    </row>
    <row r="50" spans="1:13" x14ac:dyDescent="0.3">
      <c r="A50" s="37">
        <f ca="1">DAYS360(INDIRECT(A88&amp;ROW()),TODAY())</f>
        <v>42286</v>
      </c>
      <c r="B50" s="37">
        <f ca="1">DAYS360(INDIRECT(A87&amp;ROW()),TODAY())</f>
        <v>42286</v>
      </c>
      <c r="J50" s="38"/>
      <c r="M50" s="38"/>
    </row>
    <row r="51" spans="1:13" x14ac:dyDescent="0.3">
      <c r="A51" s="37">
        <f ca="1">DAYS360(INDIRECT(A88&amp;ROW()),TODAY())</f>
        <v>42286</v>
      </c>
      <c r="B51" s="37">
        <f ca="1">DAYS360(INDIRECT(A87&amp;ROW()),TODAY())</f>
        <v>42286</v>
      </c>
      <c r="J51" s="38"/>
      <c r="M51" s="38"/>
    </row>
    <row r="52" spans="1:13" x14ac:dyDescent="0.3">
      <c r="A52" s="37">
        <f ca="1">DAYS360(INDIRECT(A88&amp;ROW()),TODAY())</f>
        <v>42286</v>
      </c>
      <c r="B52" s="37">
        <f ca="1">DAYS360(INDIRECT(A87&amp;ROW()),TODAY())</f>
        <v>42286</v>
      </c>
      <c r="J52" s="38"/>
      <c r="M52" s="38"/>
    </row>
    <row r="53" spans="1:13" x14ac:dyDescent="0.3">
      <c r="A53" s="37">
        <f ca="1">DAYS360(INDIRECT(A88&amp;ROW()),TODAY())</f>
        <v>42286</v>
      </c>
      <c r="B53" s="37">
        <f ca="1">DAYS360(INDIRECT(A87&amp;ROW()),TODAY())</f>
        <v>42286</v>
      </c>
      <c r="J53" s="38"/>
      <c r="M53" s="38"/>
    </row>
    <row r="54" spans="1:13" x14ac:dyDescent="0.3">
      <c r="A54" s="37">
        <f ca="1">DAYS360(INDIRECT(A88&amp;ROW()),TODAY())</f>
        <v>42286</v>
      </c>
      <c r="B54" s="37">
        <f ca="1">DAYS360(INDIRECT(A87&amp;ROW()),TODAY())</f>
        <v>42286</v>
      </c>
      <c r="C54" s="42">
        <f ca="1">HYPERLINK(CONCATENATE($A$96&amp;INDIRECT("c"&amp;(ROW()+82))),INDIRECT("c"&amp;(ROW()+82)))</f>
        <v>0</v>
      </c>
      <c r="J54" s="38"/>
      <c r="M54" s="38"/>
    </row>
    <row r="55" spans="1:13" x14ac:dyDescent="0.3">
      <c r="A55" s="37">
        <f ca="1">DAYS360(INDIRECT(A88&amp;ROW()),TODAY())</f>
        <v>42286</v>
      </c>
      <c r="B55" s="37">
        <f ca="1">DAYS360(INDIRECT(A87&amp;ROW()),TODAY())</f>
        <v>42286</v>
      </c>
      <c r="C55" s="42">
        <f ca="1">HYPERLINK(CONCATENATE($A$96&amp;INDIRECT("c"&amp;(ROW()+82))),INDIRECT("c"&amp;(ROW()+82)))</f>
        <v>0</v>
      </c>
      <c r="J55" s="38"/>
      <c r="M55" s="38"/>
    </row>
    <row r="56" spans="1:13" x14ac:dyDescent="0.3">
      <c r="A56" s="37">
        <f ca="1">DAYS360(INDIRECT(A88&amp;ROW()),TODAY())</f>
        <v>42286</v>
      </c>
      <c r="B56" s="37">
        <f ca="1">DAYS360(INDIRECT(A87&amp;ROW()),TODAY())</f>
        <v>42286</v>
      </c>
      <c r="C56" s="43"/>
      <c r="J56" s="38"/>
      <c r="M56" s="38"/>
    </row>
    <row r="57" spans="1:13" ht="15" x14ac:dyDescent="0.3">
      <c r="A57" s="37">
        <f ca="1">DAYS360(INDIRECT(A88&amp;ROW()),TODAY())</f>
        <v>42286</v>
      </c>
      <c r="B57" s="37">
        <f ca="1">DAYS360(INDIRECT(A87&amp;ROW()),TODAY())</f>
        <v>42286</v>
      </c>
      <c r="C57" s="43"/>
      <c r="E57" s="44"/>
      <c r="J57" s="38"/>
      <c r="M57" s="38"/>
    </row>
    <row r="58" spans="1:13" x14ac:dyDescent="0.3">
      <c r="A58" s="37">
        <f ca="1">DAYS360(INDIRECT(A88&amp;ROW()),TODAY())</f>
        <v>42286</v>
      </c>
      <c r="B58" s="37">
        <f ca="1">DAYS360(INDIRECT(A87&amp;ROW()),TODAY())</f>
        <v>42286</v>
      </c>
      <c r="C58" s="43"/>
      <c r="J58" s="38"/>
      <c r="M58" s="38"/>
    </row>
    <row r="59" spans="1:13" x14ac:dyDescent="0.3">
      <c r="A59" s="37">
        <f ca="1">DAYS360(INDIRECT(A88&amp;ROW()),TODAY())</f>
        <v>42286</v>
      </c>
      <c r="B59" s="37">
        <f ca="1">DAYS360(INDIRECT(A87&amp;ROW()),TODAY())</f>
        <v>42286</v>
      </c>
      <c r="C59" s="43"/>
      <c r="J59" s="38"/>
      <c r="M59" s="38"/>
    </row>
    <row r="60" spans="1:13" x14ac:dyDescent="0.3">
      <c r="A60" s="37">
        <f ca="1">DAYS360(INDIRECT(A88&amp;ROW()),TODAY())</f>
        <v>42286</v>
      </c>
      <c r="B60" s="37">
        <f ca="1">DAYS360(INDIRECT(A87&amp;ROW()),TODAY())</f>
        <v>42286</v>
      </c>
      <c r="C60" s="43"/>
      <c r="J60" s="38"/>
      <c r="M60" s="38"/>
    </row>
    <row r="61" spans="1:13" x14ac:dyDescent="0.3">
      <c r="A61" s="37">
        <f ca="1">DAYS360(INDIRECT(A88&amp;ROW()),TODAY())</f>
        <v>42286</v>
      </c>
      <c r="B61" s="37">
        <f ca="1">DAYS360(INDIRECT(A87&amp;ROW()),TODAY())</f>
        <v>42286</v>
      </c>
      <c r="C61" s="43"/>
      <c r="J61" s="38"/>
      <c r="M61" s="38"/>
    </row>
    <row r="62" spans="1:13" x14ac:dyDescent="0.3">
      <c r="A62" s="37">
        <f ca="1">DAYS360(INDIRECT(A88&amp;ROW()),TODAY())</f>
        <v>42286</v>
      </c>
      <c r="B62" s="37">
        <f ca="1">DAYS360(INDIRECT(A87&amp;ROW()),TODAY())</f>
        <v>42286</v>
      </c>
      <c r="C62" s="43"/>
      <c r="J62" s="38"/>
      <c r="M62" s="38"/>
    </row>
    <row r="63" spans="1:13" x14ac:dyDescent="0.3">
      <c r="A63" s="37">
        <f ca="1">DAYS360(INDIRECT(A88&amp;ROW()),TODAY())</f>
        <v>42286</v>
      </c>
      <c r="B63" s="37">
        <f ca="1">DAYS360(INDIRECT(A87&amp;ROW()),TODAY())</f>
        <v>42286</v>
      </c>
      <c r="C63" s="43"/>
      <c r="J63" s="38"/>
      <c r="M63" s="38"/>
    </row>
    <row r="64" spans="1:13" x14ac:dyDescent="0.3">
      <c r="A64" s="37">
        <f ca="1">DAYS360(INDIRECT(A88&amp;ROW()),TODAY())</f>
        <v>42286</v>
      </c>
      <c r="B64" s="37">
        <f ca="1">DAYS360(INDIRECT(A87&amp;ROW()),TODAY())</f>
        <v>42286</v>
      </c>
      <c r="C64" s="43"/>
      <c r="J64" s="38"/>
      <c r="M64" s="38"/>
    </row>
    <row r="65" spans="1:13" x14ac:dyDescent="0.3">
      <c r="A65" s="37">
        <f ca="1">DAYS360(INDIRECT(A88&amp;ROW()),TODAY())</f>
        <v>42286</v>
      </c>
      <c r="B65" s="37">
        <f ca="1">DAYS360(INDIRECT(A87&amp;ROW()),TODAY())</f>
        <v>42286</v>
      </c>
      <c r="C65" s="43"/>
      <c r="J65" s="38"/>
      <c r="M65" s="38"/>
    </row>
    <row r="66" spans="1:13" x14ac:dyDescent="0.3">
      <c r="A66" s="37">
        <f ca="1">DAYS360(INDIRECT(A88&amp;ROW()),TODAY())</f>
        <v>42286</v>
      </c>
      <c r="B66" s="37">
        <f ca="1">DAYS360(INDIRECT(A87&amp;ROW()),TODAY())</f>
        <v>42286</v>
      </c>
      <c r="C66" s="43"/>
      <c r="J66" s="38"/>
      <c r="M66" s="38"/>
    </row>
    <row r="67" spans="1:13" x14ac:dyDescent="0.3">
      <c r="A67" s="37">
        <f ca="1">DAYS360(INDIRECT(A88&amp;ROW()),TODAY())</f>
        <v>42286</v>
      </c>
      <c r="B67" s="37">
        <f ca="1">DAYS360(INDIRECT(A87&amp;ROW()),TODAY())</f>
        <v>42286</v>
      </c>
      <c r="C67" s="43"/>
      <c r="J67" s="38"/>
      <c r="M67" s="38"/>
    </row>
    <row r="68" spans="1:13" x14ac:dyDescent="0.3">
      <c r="A68" s="37">
        <f ca="1">DAYS360(INDIRECT(A88&amp;ROW()),TODAY())</f>
        <v>42286</v>
      </c>
      <c r="B68" s="37">
        <f ca="1">DAYS360(INDIRECT(A87&amp;ROW()),TODAY())</f>
        <v>42286</v>
      </c>
      <c r="C68" s="43"/>
      <c r="J68" s="38"/>
      <c r="M68" s="38"/>
    </row>
    <row r="69" spans="1:13" x14ac:dyDescent="0.3">
      <c r="A69" s="37">
        <f ca="1">DAYS360(INDIRECT(A88&amp;ROW()),TODAY())</f>
        <v>42286</v>
      </c>
      <c r="B69" s="37">
        <f ca="1">DAYS360(INDIRECT(A87&amp;ROW()),TODAY())</f>
        <v>42286</v>
      </c>
      <c r="C69" s="43"/>
      <c r="J69" s="38"/>
      <c r="M69" s="38"/>
    </row>
    <row r="70" spans="1:13" x14ac:dyDescent="0.3">
      <c r="A70" s="37">
        <f ca="1">DAYS360(INDIRECT(A88&amp;ROW()),TODAY())</f>
        <v>42286</v>
      </c>
      <c r="B70" s="37">
        <f ca="1">DAYS360(INDIRECT(A87&amp;ROW()),TODAY())</f>
        <v>42286</v>
      </c>
      <c r="C70" s="43"/>
      <c r="J70" s="38"/>
      <c r="M70" s="38"/>
    </row>
    <row r="71" spans="1:13" x14ac:dyDescent="0.3">
      <c r="A71" s="37">
        <f ca="1">DAYS360(INDIRECT(A88&amp;ROW()),TODAY())</f>
        <v>42286</v>
      </c>
      <c r="B71" s="37">
        <f ca="1">DAYS360(INDIRECT(A87&amp;ROW()),TODAY())</f>
        <v>42286</v>
      </c>
      <c r="C71" s="43">
        <f ca="1">HYPERLINK(CONCATENATE($A$96&amp;INDIRECT("c"&amp;(ROW()+82))),INDIRECT("c"&amp;(ROW()+82)))</f>
        <v>0</v>
      </c>
      <c r="J71" s="38"/>
      <c r="M71" s="38"/>
    </row>
    <row r="72" spans="1:13" x14ac:dyDescent="0.3">
      <c r="A72" s="37">
        <f ca="1">DAYS360(INDIRECT(A88&amp;ROW()),TODAY())</f>
        <v>42286</v>
      </c>
      <c r="B72" s="37">
        <f ca="1">DAYS360(INDIRECT(A87&amp;ROW()),TODAY())</f>
        <v>42286</v>
      </c>
      <c r="C72" s="43">
        <f ca="1">HYPERLINK(CONCATENATE($A$96&amp;INDIRECT("c"&amp;(ROW()+82))),INDIRECT("c"&amp;(ROW()+82)))</f>
        <v>0</v>
      </c>
      <c r="J72" s="38"/>
      <c r="M72" s="38"/>
    </row>
    <row r="73" spans="1:13" x14ac:dyDescent="0.3">
      <c r="A73" s="37">
        <f ca="1">DAYS360(INDIRECT(A88&amp;ROW()),TODAY())</f>
        <v>42286</v>
      </c>
      <c r="B73" s="37">
        <f ca="1">DAYS360(INDIRECT(A87&amp;ROW()),TODAY())</f>
        <v>42286</v>
      </c>
      <c r="C73" s="43">
        <f ca="1">HYPERLINK(CONCATENATE($A$96&amp;INDIRECT("c"&amp;(ROW()+82))),INDIRECT("c"&amp;(ROW()+82)))</f>
        <v>0</v>
      </c>
      <c r="J73" s="38"/>
      <c r="M73" s="38"/>
    </row>
    <row r="76" spans="1:13" x14ac:dyDescent="0.3">
      <c r="A76" s="19" t="s">
        <v>368</v>
      </c>
    </row>
    <row r="77" spans="1:13" x14ac:dyDescent="0.3">
      <c r="A77" s="37">
        <f ca="1">COUNTA(C18:C75)+(A78-1)</f>
        <v>51</v>
      </c>
      <c r="B77" s="37" t="s">
        <v>123</v>
      </c>
    </row>
    <row r="78" spans="1:13" x14ac:dyDescent="0.3">
      <c r="A78" s="37">
        <v>18</v>
      </c>
      <c r="B78" s="37" t="s">
        <v>124</v>
      </c>
    </row>
    <row r="79" spans="1:13" x14ac:dyDescent="0.3">
      <c r="A79" s="37" t="s">
        <v>125</v>
      </c>
      <c r="B79" s="37" t="s">
        <v>59</v>
      </c>
    </row>
    <row r="80" spans="1:13" x14ac:dyDescent="0.3">
      <c r="A80" s="37" t="s">
        <v>126</v>
      </c>
      <c r="B80" s="37" t="s">
        <v>72</v>
      </c>
    </row>
    <row r="81" spans="1:5" x14ac:dyDescent="0.3">
      <c r="A81" s="37" t="s">
        <v>127</v>
      </c>
      <c r="B81" s="37" t="s">
        <v>65</v>
      </c>
    </row>
    <row r="82" spans="1:5" x14ac:dyDescent="0.3">
      <c r="A82" s="37" t="s">
        <v>128</v>
      </c>
      <c r="B82" s="37" t="s">
        <v>129</v>
      </c>
    </row>
    <row r="83" spans="1:5" x14ac:dyDescent="0.3">
      <c r="A83" s="37" t="s">
        <v>130</v>
      </c>
      <c r="B83" s="37" t="s">
        <v>131</v>
      </c>
    </row>
    <row r="84" spans="1:5" x14ac:dyDescent="0.3">
      <c r="A84" s="37" t="s">
        <v>132</v>
      </c>
      <c r="B84" s="37" t="s">
        <v>133</v>
      </c>
    </row>
    <row r="85" spans="1:5" x14ac:dyDescent="0.3">
      <c r="A85" s="37" t="s">
        <v>134</v>
      </c>
      <c r="B85" s="37" t="s">
        <v>135</v>
      </c>
    </row>
    <row r="86" spans="1:5" x14ac:dyDescent="0.3">
      <c r="A86" s="37" t="s">
        <v>136</v>
      </c>
      <c r="B86" s="37" t="s">
        <v>137</v>
      </c>
    </row>
    <row r="87" spans="1:5" x14ac:dyDescent="0.3">
      <c r="A87" s="37" t="s">
        <v>140</v>
      </c>
      <c r="B87" s="37" t="s">
        <v>141</v>
      </c>
    </row>
    <row r="88" spans="1:5" x14ac:dyDescent="0.3">
      <c r="A88" s="37" t="s">
        <v>142</v>
      </c>
      <c r="B88" s="37" t="s">
        <v>143</v>
      </c>
      <c r="E88" s="37">
        <f>SUBTOTAL(3,D18:D74)</f>
        <v>29</v>
      </c>
    </row>
    <row r="89" spans="1:5" x14ac:dyDescent="0.3">
      <c r="A89" s="37" t="s">
        <v>646</v>
      </c>
      <c r="B89" s="37" t="s">
        <v>647</v>
      </c>
      <c r="C89" s="37" t="s">
        <v>623</v>
      </c>
    </row>
    <row r="93" spans="1:5" x14ac:dyDescent="0.3">
      <c r="A93" s="19" t="s">
        <v>369</v>
      </c>
    </row>
    <row r="96" spans="1:5" x14ac:dyDescent="0.3">
      <c r="A96" s="19" t="s">
        <v>708</v>
      </c>
    </row>
    <row r="97" spans="1:5" x14ac:dyDescent="0.3">
      <c r="A97" s="35" t="s">
        <v>370</v>
      </c>
    </row>
    <row r="98" spans="1:5" x14ac:dyDescent="0.3">
      <c r="A98" s="19" t="s">
        <v>304</v>
      </c>
    </row>
    <row r="100" spans="1:5" x14ac:dyDescent="0.3">
      <c r="C100" s="37">
        <v>53649</v>
      </c>
      <c r="E100" s="37">
        <f>100-18</f>
        <v>82</v>
      </c>
    </row>
    <row r="101" spans="1:5" x14ac:dyDescent="0.3">
      <c r="C101" s="37">
        <v>57076</v>
      </c>
    </row>
    <row r="102" spans="1:5" x14ac:dyDescent="0.3">
      <c r="C102" s="37">
        <v>61914</v>
      </c>
    </row>
    <row r="103" spans="1:5" x14ac:dyDescent="0.3">
      <c r="C103" s="37">
        <v>62225</v>
      </c>
    </row>
    <row r="104" spans="1:5" x14ac:dyDescent="0.3">
      <c r="C104" s="37">
        <v>62849</v>
      </c>
    </row>
    <row r="105" spans="1:5" x14ac:dyDescent="0.3">
      <c r="C105" s="37">
        <v>64224</v>
      </c>
    </row>
    <row r="106" spans="1:5" x14ac:dyDescent="0.3">
      <c r="C106" s="37">
        <v>65355</v>
      </c>
    </row>
    <row r="107" spans="1:5" x14ac:dyDescent="0.3">
      <c r="C107" s="37">
        <v>67215</v>
      </c>
    </row>
    <row r="108" spans="1:5" x14ac:dyDescent="0.3">
      <c r="C108" s="37">
        <v>71342</v>
      </c>
    </row>
    <row r="109" spans="1:5" x14ac:dyDescent="0.3">
      <c r="C109" s="37">
        <v>71879</v>
      </c>
    </row>
    <row r="110" spans="1:5" x14ac:dyDescent="0.3">
      <c r="C110" s="37">
        <v>73043</v>
      </c>
    </row>
    <row r="111" spans="1:5" x14ac:dyDescent="0.3">
      <c r="C111" s="37">
        <v>73599</v>
      </c>
    </row>
    <row r="112" spans="1:5" x14ac:dyDescent="0.3">
      <c r="C112" s="37">
        <v>73964</v>
      </c>
    </row>
    <row r="113" spans="3:3" x14ac:dyDescent="0.3">
      <c r="C113" s="37">
        <v>74173</v>
      </c>
    </row>
    <row r="114" spans="3:3" x14ac:dyDescent="0.3">
      <c r="C114" s="37">
        <v>74305</v>
      </c>
    </row>
    <row r="115" spans="3:3" x14ac:dyDescent="0.3">
      <c r="C115" s="37">
        <v>74748</v>
      </c>
    </row>
    <row r="116" spans="3:3" x14ac:dyDescent="0.3">
      <c r="C116" s="37">
        <v>74824</v>
      </c>
    </row>
    <row r="117" spans="3:3" x14ac:dyDescent="0.3">
      <c r="C117" s="37">
        <v>74874</v>
      </c>
    </row>
    <row r="118" spans="3:3" x14ac:dyDescent="0.3">
      <c r="C118" s="37">
        <v>74894</v>
      </c>
    </row>
    <row r="119" spans="3:3" x14ac:dyDescent="0.3">
      <c r="C119" s="37">
        <v>75099</v>
      </c>
    </row>
    <row r="120" spans="3:3" x14ac:dyDescent="0.3">
      <c r="C120" s="37">
        <v>75390</v>
      </c>
    </row>
    <row r="121" spans="3:3" x14ac:dyDescent="0.3">
      <c r="C121" s="37">
        <v>75396</v>
      </c>
    </row>
    <row r="122" spans="3:3" x14ac:dyDescent="0.3">
      <c r="C122" s="37">
        <v>75420</v>
      </c>
    </row>
    <row r="123" spans="3:3" x14ac:dyDescent="0.3">
      <c r="C123" s="37">
        <v>75566</v>
      </c>
    </row>
    <row r="124" spans="3:3" x14ac:dyDescent="0.3">
      <c r="C124" s="37">
        <v>75627</v>
      </c>
    </row>
    <row r="125" spans="3:3" x14ac:dyDescent="0.3">
      <c r="C125" s="37">
        <v>75909</v>
      </c>
    </row>
    <row r="126" spans="3:3" x14ac:dyDescent="0.3">
      <c r="C126" s="37">
        <v>75936</v>
      </c>
    </row>
    <row r="127" spans="3:3" x14ac:dyDescent="0.3">
      <c r="C127" s="37">
        <v>76007</v>
      </c>
    </row>
    <row r="128" spans="3:3" x14ac:dyDescent="0.3">
      <c r="C128" s="37">
        <v>76017</v>
      </c>
    </row>
    <row r="129" spans="3:3" x14ac:dyDescent="0.3">
      <c r="C129" s="37">
        <v>0</v>
      </c>
    </row>
    <row r="130" spans="3:3" x14ac:dyDescent="0.3">
      <c r="C130" s="37">
        <v>0</v>
      </c>
    </row>
    <row r="131" spans="3:3" x14ac:dyDescent="0.3">
      <c r="C131" s="37">
        <v>0</v>
      </c>
    </row>
    <row r="132" spans="3:3" x14ac:dyDescent="0.3">
      <c r="C132" s="42">
        <f t="shared" ref="C132:C137" ca="1" si="1">HYPERLINK(CONCATENATE($A$96&amp;INDIRECT("c"&amp;(ROW()+82))),INDIRECT("c"&amp;(ROW()+82)))</f>
        <v>0</v>
      </c>
    </row>
    <row r="133" spans="3:3" x14ac:dyDescent="0.3">
      <c r="C133" s="42">
        <f t="shared" ca="1" si="1"/>
        <v>0</v>
      </c>
    </row>
    <row r="134" spans="3:3" x14ac:dyDescent="0.3">
      <c r="C134" s="42">
        <f t="shared" ca="1" si="1"/>
        <v>0</v>
      </c>
    </row>
    <row r="135" spans="3:3" x14ac:dyDescent="0.3">
      <c r="C135" s="42">
        <f t="shared" ca="1" si="1"/>
        <v>0</v>
      </c>
    </row>
    <row r="136" spans="3:3" x14ac:dyDescent="0.3">
      <c r="C136" s="42">
        <f t="shared" ca="1" si="1"/>
        <v>0</v>
      </c>
    </row>
    <row r="137" spans="3:3" x14ac:dyDescent="0.3">
      <c r="C137" s="42">
        <f t="shared" ca="1" si="1"/>
        <v>0</v>
      </c>
    </row>
    <row r="138" spans="3:3" x14ac:dyDescent="0.3">
      <c r="C138" s="43"/>
    </row>
    <row r="139" spans="3:3" x14ac:dyDescent="0.3">
      <c r="C139" s="43"/>
    </row>
    <row r="140" spans="3:3" x14ac:dyDescent="0.3">
      <c r="C140" s="43"/>
    </row>
    <row r="141" spans="3:3" x14ac:dyDescent="0.3">
      <c r="C141" s="43"/>
    </row>
    <row r="142" spans="3:3" x14ac:dyDescent="0.3">
      <c r="C142" s="43"/>
    </row>
    <row r="143" spans="3:3" x14ac:dyDescent="0.3">
      <c r="C143" s="43"/>
    </row>
    <row r="144" spans="3:3" x14ac:dyDescent="0.3">
      <c r="C144" s="43"/>
    </row>
    <row r="145" spans="3:3" x14ac:dyDescent="0.3">
      <c r="C145" s="43"/>
    </row>
    <row r="146" spans="3:3" x14ac:dyDescent="0.3">
      <c r="C146" s="43"/>
    </row>
    <row r="147" spans="3:3" x14ac:dyDescent="0.3">
      <c r="C147" s="43"/>
    </row>
    <row r="148" spans="3:3" x14ac:dyDescent="0.3">
      <c r="C148" s="43"/>
    </row>
    <row r="149" spans="3:3" x14ac:dyDescent="0.3">
      <c r="C149" s="43"/>
    </row>
    <row r="150" spans="3:3" x14ac:dyDescent="0.3">
      <c r="C150" s="43"/>
    </row>
    <row r="151" spans="3:3" x14ac:dyDescent="0.3">
      <c r="C151" s="43"/>
    </row>
    <row r="152" spans="3:3" x14ac:dyDescent="0.3">
      <c r="C152" s="43"/>
    </row>
    <row r="153" spans="3:3" x14ac:dyDescent="0.3">
      <c r="C153" s="43">
        <f ca="1">HYPERLINK(CONCATENATE($A$96&amp;INDIRECT("c"&amp;(ROW()+82))),INDIRECT("c"&amp;(ROW()+82)))</f>
        <v>0</v>
      </c>
    </row>
    <row r="154" spans="3:3" x14ac:dyDescent="0.3">
      <c r="C154" s="43">
        <f ca="1">HYPERLINK(CONCATENATE($A$96&amp;INDIRECT("c"&amp;(ROW()+82))),INDIRECT("c"&amp;(ROW()+82)))</f>
        <v>0</v>
      </c>
    </row>
    <row r="155" spans="3:3" x14ac:dyDescent="0.3">
      <c r="C155" s="43">
        <f ca="1">HYPERLINK(CONCATENATE($A$96&amp;INDIRECT("c"&amp;(ROW()+82))),INDIRECT("c"&amp;(ROW()+82)))</f>
        <v>0</v>
      </c>
    </row>
  </sheetData>
  <autoFilter ref="A17:AE89"/>
  <conditionalFormatting sqref="C90:C99 C18:C88">
    <cfRule type="expression" dxfId="80" priority="31">
      <formula>IF(FIND("Denied",V18),1,0)</formula>
    </cfRule>
    <cfRule type="expression" dxfId="79" priority="32">
      <formula>IF(FIND("Director",V18,11),1,0)</formula>
    </cfRule>
    <cfRule type="expression" dxfId="78" priority="33">
      <formula>IF(FIND("Approve",V18),1,0)</formula>
    </cfRule>
    <cfRule type="expression" dxfId="77" priority="34">
      <formula>IF(FIND("Request",V18),1,0)</formula>
    </cfRule>
    <cfRule type="expression" dxfId="76" priority="35">
      <formula>IF(FIND("Requested",AE18),1,0)</formula>
    </cfRule>
    <cfRule type="expression" dxfId="75" priority="36">
      <formula>IF(V18="---",IF(Z18="---",1,0),0)</formula>
    </cfRule>
  </conditionalFormatting>
  <conditionalFormatting sqref="C132:C155">
    <cfRule type="expression" dxfId="74" priority="25">
      <formula>IF(FIND("Denied",V132),1,0)</formula>
    </cfRule>
    <cfRule type="expression" dxfId="73" priority="26">
      <formula>IF(FIND("Director",V132,11),1,0)</formula>
    </cfRule>
    <cfRule type="expression" dxfId="72" priority="27">
      <formula>IF(FIND("Approve",V132),1,0)</formula>
    </cfRule>
    <cfRule type="expression" dxfId="71" priority="28">
      <formula>IF(FIND("Request",V132),1,0)</formula>
    </cfRule>
    <cfRule type="expression" dxfId="70" priority="29">
      <formula>IF(FIND("Requested",AE132),1,0)</formula>
    </cfRule>
    <cfRule type="expression" dxfId="69" priority="30">
      <formula>IF(V132="---",IF(Z132="---",1,0),0)</formula>
    </cfRule>
  </conditionalFormatting>
  <conditionalFormatting sqref="C129:C131">
    <cfRule type="expression" dxfId="68" priority="19">
      <formula>IF(FIND("Denied",V129),1,0)</formula>
    </cfRule>
    <cfRule type="expression" dxfId="67" priority="20">
      <formula>IF(FIND("Director",V129,11),1,0)</formula>
    </cfRule>
    <cfRule type="expression" dxfId="66" priority="21">
      <formula>IF(FIND("Approve",V129),1,0)</formula>
    </cfRule>
    <cfRule type="expression" dxfId="65" priority="22">
      <formula>IF(FIND("Request",V129),1,0)</formula>
    </cfRule>
    <cfRule type="expression" dxfId="64" priority="23">
      <formula>IF(FIND("Requested",AE129),1,0)</formula>
    </cfRule>
    <cfRule type="expression" dxfId="63" priority="24">
      <formula>IF(V129="---",IF(Z129="---",1,0),0)</formula>
    </cfRule>
  </conditionalFormatting>
  <conditionalFormatting sqref="C100:C128">
    <cfRule type="expression" dxfId="62" priority="1">
      <formula>IF(FIND("Denied",V100),1,0)</formula>
    </cfRule>
    <cfRule type="expression" dxfId="61" priority="2">
      <formula>IF(FIND("Director",V100,11),1,0)</formula>
    </cfRule>
    <cfRule type="expression" dxfId="60" priority="3">
      <formula>IF(FIND("Approve",V100),1,0)</formula>
    </cfRule>
    <cfRule type="expression" dxfId="59" priority="4">
      <formula>IF(FIND("Request",V100),1,0)</formula>
    </cfRule>
    <cfRule type="expression" dxfId="58" priority="5">
      <formula>IF(FIND("Requested",AE100),1,0)</formula>
    </cfRule>
    <cfRule type="expression" dxfId="57" priority="6">
      <formula>IF(V100="---",IF(Z100="---",1,0),0)</formula>
    </cfRule>
  </conditionalFormatting>
  <hyperlinks>
    <hyperlink ref="A93" r:id="rId1"/>
    <hyperlink ref="A96" r:id="rId2"/>
    <hyperlink ref="A98" location="RedZone!C18" display="C18"/>
    <hyperlink ref="A76" location="RedZone!C100" display="c100"/>
    <hyperlink ref="N15" location="RedZone!C100" display="c100"/>
    <hyperlink ref="D21" r:id="rId3" display="matt.dumm@hpe.com"/>
  </hyperlinks>
  <pageMargins left="0.25" right="0.25" top="0.75" bottom="0.75" header="0.3" footer="0.3"/>
  <pageSetup scale="25" fitToHeight="0" orientation="landscape"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M69"/>
  <sheetViews>
    <sheetView topLeftCell="A43" zoomScale="80" zoomScaleNormal="80" workbookViewId="0">
      <selection activeCell="F59" sqref="F59"/>
    </sheetView>
  </sheetViews>
  <sheetFormatPr defaultRowHeight="14.4" x14ac:dyDescent="0.3"/>
  <cols>
    <col min="1" max="1" width="31.88671875" style="37" bestFit="1" customWidth="1"/>
    <col min="2" max="2" width="13.77734375" style="37" bestFit="1" customWidth="1"/>
    <col min="3" max="3" width="6" style="37" bestFit="1" customWidth="1"/>
    <col min="4" max="4" width="6.21875" style="37" customWidth="1"/>
    <col min="5" max="5" width="28.44140625" style="37" customWidth="1"/>
    <col min="6" max="6" width="101.88671875" style="37" customWidth="1"/>
    <col min="7" max="7" width="7.44140625" style="37" customWidth="1"/>
    <col min="8" max="8" width="14.88671875" style="37" customWidth="1"/>
    <col min="9" max="9" width="33.44140625" style="37" customWidth="1"/>
    <col min="10" max="10" width="31.88671875" style="37" bestFit="1" customWidth="1"/>
    <col min="11" max="16384" width="8.88671875" style="37"/>
  </cols>
  <sheetData>
    <row r="1" spans="1:10" x14ac:dyDescent="0.3">
      <c r="A1" s="37" t="s">
        <v>809</v>
      </c>
      <c r="B1" s="37" t="s">
        <v>792</v>
      </c>
      <c r="C1" s="37" t="s">
        <v>173</v>
      </c>
      <c r="D1" s="37" t="s">
        <v>145</v>
      </c>
      <c r="E1" s="37" t="s">
        <v>57</v>
      </c>
      <c r="F1" s="37" t="s">
        <v>58</v>
      </c>
      <c r="G1" s="37" t="s">
        <v>59</v>
      </c>
      <c r="H1" s="37" t="s">
        <v>60</v>
      </c>
      <c r="I1" s="37" t="s">
        <v>61</v>
      </c>
      <c r="J1" s="37" t="s">
        <v>808</v>
      </c>
    </row>
    <row r="2" spans="1:10" x14ac:dyDescent="0.3">
      <c r="B2" s="37" t="s">
        <v>793</v>
      </c>
      <c r="C2" s="19" t="str">
        <f t="shared" ref="C2:C33" ca="1" si="0">HYPERLINK(CONCATENATE("https://bugzilla.houston.hpecorp.net:1181/bugzilla/show_bug.cgi?id=",MID(INDIRECT("f"&amp;ROW()),9,5)),MID(INDIRECT("f"&amp;ROW()),9,5))</f>
        <v>34384</v>
      </c>
      <c r="D2" s="37">
        <v>55137</v>
      </c>
      <c r="E2" s="37" t="s">
        <v>376</v>
      </c>
      <c r="F2" s="37" t="s">
        <v>725</v>
      </c>
      <c r="G2" s="37" t="s">
        <v>11</v>
      </c>
      <c r="H2" s="37" t="s">
        <v>48</v>
      </c>
      <c r="I2" s="37" t="s">
        <v>337</v>
      </c>
    </row>
    <row r="3" spans="1:10" x14ac:dyDescent="0.3">
      <c r="A3" s="37" t="str">
        <f ca="1">INDIRECT("j"&amp;ROW())</f>
        <v>ravi.sajjan@hpe.com</v>
      </c>
      <c r="B3" s="39"/>
      <c r="C3" s="19" t="str">
        <f t="shared" ca="1" si="0"/>
        <v>42075</v>
      </c>
      <c r="D3" s="37">
        <v>54195</v>
      </c>
      <c r="E3" s="37" t="s">
        <v>726</v>
      </c>
      <c r="F3" s="37" t="s">
        <v>727</v>
      </c>
      <c r="G3" s="37" t="s">
        <v>11</v>
      </c>
      <c r="H3" s="37" t="s">
        <v>48</v>
      </c>
      <c r="I3" s="37" t="s">
        <v>831</v>
      </c>
      <c r="J3" s="37" t="s">
        <v>831</v>
      </c>
    </row>
    <row r="4" spans="1:10" x14ac:dyDescent="0.3">
      <c r="B4" s="37" t="s">
        <v>805</v>
      </c>
      <c r="C4" s="19" t="str">
        <f t="shared" ca="1" si="0"/>
        <v>50493</v>
      </c>
      <c r="D4" s="37">
        <v>50495</v>
      </c>
      <c r="E4" s="37" t="s">
        <v>376</v>
      </c>
      <c r="F4" s="37" t="s">
        <v>728</v>
      </c>
      <c r="G4" s="37" t="s">
        <v>11</v>
      </c>
      <c r="H4" s="37" t="s">
        <v>48</v>
      </c>
      <c r="I4" s="37" t="s">
        <v>374</v>
      </c>
    </row>
    <row r="5" spans="1:10" x14ac:dyDescent="0.3">
      <c r="B5" s="37" t="s">
        <v>804</v>
      </c>
      <c r="C5" s="19" t="str">
        <f t="shared" ca="1" si="0"/>
        <v>52555</v>
      </c>
      <c r="D5" s="37">
        <v>53686</v>
      </c>
      <c r="E5" s="37" t="s">
        <v>337</v>
      </c>
      <c r="F5" s="37" t="s">
        <v>729</v>
      </c>
      <c r="G5" s="37" t="s">
        <v>11</v>
      </c>
      <c r="H5" s="37" t="s">
        <v>48</v>
      </c>
      <c r="I5" s="37" t="s">
        <v>344</v>
      </c>
    </row>
    <row r="6" spans="1:10" x14ac:dyDescent="0.3">
      <c r="A6" s="37" t="str">
        <f ca="1">INDIRECT("j"&amp;ROW())</f>
        <v>raghavendra.s-r@hpe.com</v>
      </c>
      <c r="C6" s="19" t="str">
        <f t="shared" ca="1" si="0"/>
        <v>53348</v>
      </c>
      <c r="D6" s="37">
        <v>59261</v>
      </c>
      <c r="E6" s="37" t="s">
        <v>332</v>
      </c>
      <c r="F6" s="37" t="s">
        <v>730</v>
      </c>
      <c r="G6" s="37" t="s">
        <v>652</v>
      </c>
      <c r="H6" s="37" t="s">
        <v>48</v>
      </c>
      <c r="I6" s="37" t="s">
        <v>810</v>
      </c>
      <c r="J6" s="37" t="s">
        <v>810</v>
      </c>
    </row>
    <row r="7" spans="1:10" x14ac:dyDescent="0.3">
      <c r="B7" s="37" t="s">
        <v>797</v>
      </c>
      <c r="C7" s="19" t="str">
        <f t="shared" ca="1" si="0"/>
        <v>54263</v>
      </c>
      <c r="D7" s="37">
        <v>54360</v>
      </c>
      <c r="E7" s="37" t="s">
        <v>332</v>
      </c>
      <c r="F7" s="37" t="s">
        <v>731</v>
      </c>
      <c r="G7" s="37" t="s">
        <v>11</v>
      </c>
      <c r="H7" s="37" t="s">
        <v>48</v>
      </c>
      <c r="I7" s="37" t="s">
        <v>332</v>
      </c>
    </row>
    <row r="8" spans="1:10" x14ac:dyDescent="0.3">
      <c r="B8" s="37" t="s">
        <v>799</v>
      </c>
      <c r="C8" s="19" t="str">
        <f t="shared" ca="1" si="0"/>
        <v>54286</v>
      </c>
      <c r="D8" s="37">
        <v>54287</v>
      </c>
      <c r="E8" s="37" t="s">
        <v>344</v>
      </c>
      <c r="F8" s="37" t="s">
        <v>732</v>
      </c>
      <c r="G8" s="37" t="s">
        <v>11</v>
      </c>
      <c r="H8" s="37" t="s">
        <v>48</v>
      </c>
      <c r="I8" s="37" t="s">
        <v>344</v>
      </c>
    </row>
    <row r="9" spans="1:10" x14ac:dyDescent="0.3">
      <c r="A9" s="37" t="str">
        <f ca="1">INDIRECT("j"&amp;ROW())</f>
        <v>bryan.mcdade@hpe.com</v>
      </c>
      <c r="B9" s="39"/>
      <c r="C9" s="19" t="str">
        <f t="shared" ca="1" si="0"/>
        <v>54405</v>
      </c>
      <c r="D9" s="37">
        <v>54577</v>
      </c>
      <c r="E9" s="37" t="s">
        <v>332</v>
      </c>
      <c r="F9" s="37" t="s">
        <v>733</v>
      </c>
      <c r="G9" s="37" t="s">
        <v>11</v>
      </c>
      <c r="H9" s="37" t="s">
        <v>48</v>
      </c>
      <c r="I9" s="37" t="s">
        <v>832</v>
      </c>
      <c r="J9" s="37" t="s">
        <v>832</v>
      </c>
    </row>
    <row r="10" spans="1:10" x14ac:dyDescent="0.3">
      <c r="A10" s="37" t="str">
        <f ca="1">INDIRECT("j"&amp;ROW())</f>
        <v>matthew.dav.bondurant@hpe.com</v>
      </c>
      <c r="C10" s="19" t="str">
        <f t="shared" ca="1" si="0"/>
        <v>54619</v>
      </c>
      <c r="D10" s="37">
        <v>57049</v>
      </c>
      <c r="E10" s="37" t="s">
        <v>344</v>
      </c>
      <c r="F10" s="37" t="s">
        <v>734</v>
      </c>
      <c r="G10" s="37" t="s">
        <v>652</v>
      </c>
      <c r="H10" s="37" t="s">
        <v>48</v>
      </c>
      <c r="I10" s="37" t="s">
        <v>316</v>
      </c>
      <c r="J10" s="37" t="s">
        <v>316</v>
      </c>
    </row>
    <row r="11" spans="1:10" x14ac:dyDescent="0.3">
      <c r="A11" s="37" t="str">
        <f ca="1">INDIRECT("j"&amp;ROW())</f>
        <v>sumit.sarkar@hpe.com</v>
      </c>
      <c r="C11" s="19" t="str">
        <f t="shared" ca="1" si="0"/>
        <v>54828</v>
      </c>
      <c r="D11" s="37">
        <v>54871</v>
      </c>
      <c r="E11" s="37" t="s">
        <v>344</v>
      </c>
      <c r="F11" s="37" t="s">
        <v>735</v>
      </c>
      <c r="G11" s="37" t="s">
        <v>2</v>
      </c>
      <c r="H11" s="37" t="s">
        <v>48</v>
      </c>
      <c r="I11" s="19" t="s">
        <v>829</v>
      </c>
      <c r="J11" s="19" t="s">
        <v>829</v>
      </c>
    </row>
    <row r="12" spans="1:10" x14ac:dyDescent="0.3">
      <c r="A12" s="37" t="str">
        <f ca="1">INDIRECT("j"&amp;ROW())</f>
        <v>greg.turpin@hpe.com</v>
      </c>
      <c r="B12" s="39"/>
      <c r="C12" s="19" t="str">
        <f t="shared" ca="1" si="0"/>
        <v>55054</v>
      </c>
      <c r="D12" s="37">
        <v>55057</v>
      </c>
      <c r="E12" s="37" t="s">
        <v>343</v>
      </c>
      <c r="F12" s="37" t="s">
        <v>736</v>
      </c>
      <c r="G12" s="37" t="s">
        <v>11</v>
      </c>
      <c r="H12" s="37" t="s">
        <v>48</v>
      </c>
      <c r="I12" s="37" t="s">
        <v>833</v>
      </c>
      <c r="J12" s="37" t="s">
        <v>833</v>
      </c>
    </row>
    <row r="13" spans="1:10" x14ac:dyDescent="0.3">
      <c r="B13" s="37" t="s">
        <v>807</v>
      </c>
      <c r="C13" s="19" t="str">
        <f t="shared" ca="1" si="0"/>
        <v>55168</v>
      </c>
      <c r="D13" s="37">
        <v>55169</v>
      </c>
      <c r="E13" s="37" t="s">
        <v>332</v>
      </c>
      <c r="F13" s="37" t="s">
        <v>737</v>
      </c>
      <c r="G13" s="37" t="s">
        <v>652</v>
      </c>
      <c r="H13" s="37" t="s">
        <v>48</v>
      </c>
      <c r="I13" s="37" t="s">
        <v>564</v>
      </c>
    </row>
    <row r="14" spans="1:10" x14ac:dyDescent="0.3">
      <c r="B14" s="37" t="s">
        <v>804</v>
      </c>
      <c r="C14" s="19" t="str">
        <f t="shared" ca="1" si="0"/>
        <v>55485</v>
      </c>
      <c r="D14" s="37">
        <v>55585</v>
      </c>
      <c r="E14" s="37" t="s">
        <v>738</v>
      </c>
      <c r="F14" s="37" t="s">
        <v>739</v>
      </c>
      <c r="G14" s="37" t="s">
        <v>11</v>
      </c>
      <c r="H14" s="37" t="s">
        <v>48</v>
      </c>
      <c r="I14" s="37" t="s">
        <v>738</v>
      </c>
    </row>
    <row r="15" spans="1:10" x14ac:dyDescent="0.3">
      <c r="B15" s="37" t="s">
        <v>804</v>
      </c>
      <c r="C15" s="19" t="str">
        <f t="shared" ca="1" si="0"/>
        <v>55626</v>
      </c>
      <c r="D15" s="37">
        <v>57398</v>
      </c>
      <c r="E15" s="37" t="s">
        <v>382</v>
      </c>
      <c r="F15" s="37" t="s">
        <v>740</v>
      </c>
      <c r="G15" s="37" t="s">
        <v>2</v>
      </c>
      <c r="H15" s="37" t="s">
        <v>48</v>
      </c>
      <c r="I15" s="37" t="s">
        <v>81</v>
      </c>
      <c r="J15" s="37" t="s">
        <v>331</v>
      </c>
    </row>
    <row r="16" spans="1:10" x14ac:dyDescent="0.3">
      <c r="B16" s="37" t="s">
        <v>793</v>
      </c>
      <c r="C16" s="19" t="str">
        <f t="shared" ca="1" si="0"/>
        <v>55766</v>
      </c>
      <c r="D16" s="37">
        <v>56954</v>
      </c>
      <c r="E16" s="37" t="s">
        <v>376</v>
      </c>
      <c r="F16" s="37" t="s">
        <v>741</v>
      </c>
      <c r="G16" s="37" t="s">
        <v>11</v>
      </c>
      <c r="H16" s="37" t="s">
        <v>48</v>
      </c>
      <c r="I16" s="37" t="s">
        <v>81</v>
      </c>
      <c r="J16" s="37" t="s">
        <v>382</v>
      </c>
    </row>
    <row r="17" spans="1:10" x14ac:dyDescent="0.3">
      <c r="B17" s="37" t="s">
        <v>794</v>
      </c>
      <c r="C17" s="19" t="str">
        <f t="shared" ca="1" si="0"/>
        <v>56248</v>
      </c>
      <c r="D17" s="37">
        <v>56254</v>
      </c>
      <c r="E17" s="37" t="s">
        <v>742</v>
      </c>
      <c r="F17" s="37" t="s">
        <v>743</v>
      </c>
      <c r="G17" s="37" t="s">
        <v>11</v>
      </c>
      <c r="H17" s="37" t="s">
        <v>48</v>
      </c>
      <c r="I17" s="37" t="s">
        <v>81</v>
      </c>
      <c r="J17" s="37" t="s">
        <v>339</v>
      </c>
    </row>
    <row r="18" spans="1:10" x14ac:dyDescent="0.3">
      <c r="B18" s="37" t="s">
        <v>793</v>
      </c>
      <c r="C18" s="19" t="str">
        <f t="shared" ca="1" si="0"/>
        <v>56495</v>
      </c>
      <c r="D18" s="37">
        <v>57557</v>
      </c>
      <c r="E18" s="37" t="s">
        <v>334</v>
      </c>
      <c r="F18" s="37" t="s">
        <v>744</v>
      </c>
      <c r="G18" s="37" t="s">
        <v>11</v>
      </c>
      <c r="H18" s="37" t="s">
        <v>48</v>
      </c>
      <c r="I18" s="37" t="s">
        <v>81</v>
      </c>
      <c r="J18" s="19" t="s">
        <v>382</v>
      </c>
    </row>
    <row r="19" spans="1:10" x14ac:dyDescent="0.3">
      <c r="B19" s="37" t="s">
        <v>794</v>
      </c>
      <c r="C19" s="19" t="str">
        <f t="shared" ca="1" si="0"/>
        <v>56582</v>
      </c>
      <c r="D19" s="37">
        <v>56584</v>
      </c>
      <c r="E19" s="37" t="s">
        <v>745</v>
      </c>
      <c r="F19" s="37" t="s">
        <v>746</v>
      </c>
      <c r="G19" s="37" t="s">
        <v>11</v>
      </c>
      <c r="H19" s="37" t="s">
        <v>48</v>
      </c>
      <c r="I19" s="37" t="s">
        <v>81</v>
      </c>
      <c r="J19" s="37" t="s">
        <v>334</v>
      </c>
    </row>
    <row r="20" spans="1:10" x14ac:dyDescent="0.3">
      <c r="B20" s="37" t="s">
        <v>793</v>
      </c>
      <c r="C20" s="19" t="str">
        <f t="shared" ca="1" si="0"/>
        <v>56671</v>
      </c>
      <c r="D20" s="37">
        <v>56691</v>
      </c>
      <c r="E20" s="37" t="s">
        <v>343</v>
      </c>
      <c r="F20" s="37" t="s">
        <v>747</v>
      </c>
      <c r="G20" s="37" t="s">
        <v>2</v>
      </c>
      <c r="H20" s="37" t="s">
        <v>48</v>
      </c>
      <c r="I20" s="37" t="s">
        <v>81</v>
      </c>
      <c r="J20" s="19" t="s">
        <v>382</v>
      </c>
    </row>
    <row r="21" spans="1:10" x14ac:dyDescent="0.3">
      <c r="B21" s="37" t="s">
        <v>793</v>
      </c>
      <c r="C21" s="19" t="str">
        <f t="shared" ca="1" si="0"/>
        <v>57153</v>
      </c>
      <c r="D21" s="37">
        <v>57551</v>
      </c>
      <c r="E21" s="37" t="s">
        <v>331</v>
      </c>
      <c r="F21" s="37" t="s">
        <v>748</v>
      </c>
      <c r="G21" s="37" t="s">
        <v>2</v>
      </c>
      <c r="H21" s="37" t="s">
        <v>48</v>
      </c>
      <c r="I21" s="37" t="s">
        <v>81</v>
      </c>
      <c r="J21" s="46" t="s">
        <v>382</v>
      </c>
    </row>
    <row r="22" spans="1:10" x14ac:dyDescent="0.3">
      <c r="B22" s="37" t="s">
        <v>794</v>
      </c>
      <c r="C22" s="19" t="str">
        <f t="shared" ca="1" si="0"/>
        <v>57207</v>
      </c>
      <c r="D22" s="37">
        <v>57213</v>
      </c>
      <c r="E22" s="37" t="s">
        <v>332</v>
      </c>
      <c r="F22" s="37" t="s">
        <v>749</v>
      </c>
      <c r="G22" s="37" t="s">
        <v>2</v>
      </c>
      <c r="H22" s="37" t="s">
        <v>48</v>
      </c>
      <c r="I22" s="37" t="s">
        <v>81</v>
      </c>
      <c r="J22" s="19" t="s">
        <v>344</v>
      </c>
    </row>
    <row r="23" spans="1:10" x14ac:dyDescent="0.3">
      <c r="B23" s="37" t="s">
        <v>793</v>
      </c>
      <c r="C23" s="19" t="str">
        <f t="shared" ca="1" si="0"/>
        <v>57211</v>
      </c>
      <c r="D23" s="37">
        <v>57302</v>
      </c>
      <c r="E23" s="37" t="s">
        <v>376</v>
      </c>
      <c r="F23" s="37" t="s">
        <v>750</v>
      </c>
      <c r="G23" s="37" t="s">
        <v>11</v>
      </c>
      <c r="H23" s="37" t="s">
        <v>48</v>
      </c>
      <c r="I23" s="37" t="s">
        <v>81</v>
      </c>
      <c r="J23" s="19" t="s">
        <v>382</v>
      </c>
    </row>
    <row r="24" spans="1:10" x14ac:dyDescent="0.3">
      <c r="A24" s="37" t="str">
        <f ca="1">INDIRECT("j"&amp;ROW())</f>
        <v>precilla.menezes@hpe.com</v>
      </c>
      <c r="C24" s="19" t="str">
        <f t="shared" ca="1" si="0"/>
        <v>57500</v>
      </c>
      <c r="D24" s="37">
        <v>57749</v>
      </c>
      <c r="E24" s="37" t="s">
        <v>376</v>
      </c>
      <c r="F24" s="37" t="s">
        <v>751</v>
      </c>
      <c r="G24" s="37" t="s">
        <v>11</v>
      </c>
      <c r="H24" s="37" t="s">
        <v>48</v>
      </c>
      <c r="I24" s="37" t="s">
        <v>81</v>
      </c>
      <c r="J24" s="19" t="s">
        <v>811</v>
      </c>
    </row>
    <row r="25" spans="1:10" x14ac:dyDescent="0.3">
      <c r="B25" s="37" t="s">
        <v>803</v>
      </c>
      <c r="C25" s="19" t="str">
        <f t="shared" ca="1" si="0"/>
        <v>57810</v>
      </c>
      <c r="D25" s="37">
        <v>57833</v>
      </c>
      <c r="E25" s="37" t="s">
        <v>332</v>
      </c>
      <c r="F25" s="37" t="s">
        <v>752</v>
      </c>
      <c r="G25" s="37" t="s">
        <v>11</v>
      </c>
      <c r="H25" s="37" t="s">
        <v>48</v>
      </c>
      <c r="I25" s="37" t="s">
        <v>81</v>
      </c>
      <c r="J25" s="19" t="s">
        <v>344</v>
      </c>
    </row>
    <row r="26" spans="1:10" x14ac:dyDescent="0.3">
      <c r="B26" s="37" t="s">
        <v>795</v>
      </c>
      <c r="C26" s="19" t="str">
        <f t="shared" ca="1" si="0"/>
        <v>57894</v>
      </c>
      <c r="D26" s="37">
        <v>57904</v>
      </c>
      <c r="E26" s="37" t="s">
        <v>343</v>
      </c>
      <c r="F26" s="37" t="s">
        <v>753</v>
      </c>
      <c r="G26" s="37" t="s">
        <v>652</v>
      </c>
      <c r="H26" s="37" t="s">
        <v>48</v>
      </c>
      <c r="I26" s="37" t="s">
        <v>81</v>
      </c>
      <c r="J26" s="19" t="s">
        <v>827</v>
      </c>
    </row>
    <row r="27" spans="1:10" x14ac:dyDescent="0.3">
      <c r="A27" s="37" t="str">
        <f ca="1">INDIRECT("j"&amp;ROW())</f>
        <v>eddy.hutson@hpe.com</v>
      </c>
      <c r="C27" s="19" t="str">
        <f t="shared" ca="1" si="0"/>
        <v>58713</v>
      </c>
      <c r="D27" s="37">
        <v>58716</v>
      </c>
      <c r="E27" s="37" t="s">
        <v>338</v>
      </c>
      <c r="F27" s="37" t="s">
        <v>754</v>
      </c>
      <c r="G27" s="37" t="s">
        <v>2</v>
      </c>
      <c r="H27" s="37" t="s">
        <v>48</v>
      </c>
      <c r="I27" s="37" t="s">
        <v>81</v>
      </c>
      <c r="J27" s="19" t="s">
        <v>812</v>
      </c>
    </row>
    <row r="28" spans="1:10" x14ac:dyDescent="0.3">
      <c r="B28" s="37" t="s">
        <v>804</v>
      </c>
      <c r="C28" s="19" t="str">
        <f t="shared" ca="1" si="0"/>
        <v>58924</v>
      </c>
      <c r="D28" s="37">
        <v>58936</v>
      </c>
      <c r="E28" s="37" t="s">
        <v>376</v>
      </c>
      <c r="F28" s="37" t="s">
        <v>755</v>
      </c>
      <c r="G28" s="37" t="s">
        <v>2</v>
      </c>
      <c r="H28" s="37" t="s">
        <v>48</v>
      </c>
      <c r="I28" s="37" t="s">
        <v>81</v>
      </c>
      <c r="J28" s="19" t="s">
        <v>331</v>
      </c>
    </row>
    <row r="29" spans="1:10" x14ac:dyDescent="0.3">
      <c r="B29" s="37" t="s">
        <v>793</v>
      </c>
      <c r="C29" s="19" t="str">
        <f t="shared" ca="1" si="0"/>
        <v>59002</v>
      </c>
      <c r="D29" s="37">
        <v>59408</v>
      </c>
      <c r="E29" s="37" t="s">
        <v>745</v>
      </c>
      <c r="F29" s="37" t="s">
        <v>756</v>
      </c>
      <c r="G29" s="37" t="s">
        <v>2</v>
      </c>
      <c r="H29" s="37" t="s">
        <v>48</v>
      </c>
      <c r="I29" s="37" t="s">
        <v>555</v>
      </c>
      <c r="J29" s="19" t="s">
        <v>382</v>
      </c>
    </row>
    <row r="30" spans="1:10" x14ac:dyDescent="0.3">
      <c r="A30" s="35" t="str">
        <f ca="1">INDIRECT("j"&amp;ROW())</f>
        <v>marjorie.carlson@hpe.com</v>
      </c>
      <c r="C30" s="19" t="str">
        <f t="shared" ca="1" si="0"/>
        <v>60453</v>
      </c>
      <c r="D30" s="37">
        <v>60455</v>
      </c>
      <c r="E30" s="37" t="s">
        <v>332</v>
      </c>
      <c r="F30" s="37" t="s">
        <v>757</v>
      </c>
      <c r="G30" s="37" t="s">
        <v>11</v>
      </c>
      <c r="H30" s="37" t="s">
        <v>48</v>
      </c>
      <c r="I30" s="37" t="s">
        <v>81</v>
      </c>
      <c r="J30" s="19" t="s">
        <v>813</v>
      </c>
    </row>
    <row r="31" spans="1:10" x14ac:dyDescent="0.3">
      <c r="B31" s="37" t="s">
        <v>805</v>
      </c>
      <c r="C31" s="19" t="str">
        <f t="shared" ca="1" si="0"/>
        <v>60468</v>
      </c>
      <c r="D31" s="37">
        <v>62269</v>
      </c>
      <c r="E31" s="37" t="s">
        <v>331</v>
      </c>
      <c r="F31" s="37" t="s">
        <v>758</v>
      </c>
      <c r="G31" s="37" t="s">
        <v>11</v>
      </c>
      <c r="H31" s="37" t="s">
        <v>48</v>
      </c>
      <c r="I31" s="37" t="s">
        <v>81</v>
      </c>
      <c r="J31" s="19" t="s">
        <v>814</v>
      </c>
    </row>
    <row r="32" spans="1:10" x14ac:dyDescent="0.3">
      <c r="B32" s="37" t="s">
        <v>796</v>
      </c>
      <c r="C32" s="19" t="str">
        <f t="shared" ca="1" si="0"/>
        <v>60684</v>
      </c>
      <c r="D32" s="37">
        <v>60698</v>
      </c>
      <c r="E32" s="37" t="s">
        <v>339</v>
      </c>
      <c r="F32" s="37" t="s">
        <v>759</v>
      </c>
      <c r="G32" s="37" t="s">
        <v>652</v>
      </c>
      <c r="H32" s="37" t="s">
        <v>48</v>
      </c>
      <c r="I32" s="37" t="s">
        <v>81</v>
      </c>
      <c r="J32" s="19" t="s">
        <v>344</v>
      </c>
    </row>
    <row r="33" spans="1:13" x14ac:dyDescent="0.3">
      <c r="B33" s="37" t="s">
        <v>797</v>
      </c>
      <c r="C33" s="19" t="str">
        <f t="shared" ca="1" si="0"/>
        <v>60769</v>
      </c>
      <c r="D33" s="37">
        <v>60770</v>
      </c>
      <c r="E33" s="37" t="s">
        <v>332</v>
      </c>
      <c r="F33" s="37" t="s">
        <v>760</v>
      </c>
      <c r="G33" s="37" t="s">
        <v>11</v>
      </c>
      <c r="H33" s="37" t="s">
        <v>48</v>
      </c>
      <c r="I33" s="37" t="s">
        <v>81</v>
      </c>
      <c r="J33" s="19" t="s">
        <v>332</v>
      </c>
    </row>
    <row r="34" spans="1:13" x14ac:dyDescent="0.3">
      <c r="A34" s="37" t="s">
        <v>828</v>
      </c>
      <c r="C34" s="19" t="str">
        <f t="shared" ref="C34:C64" ca="1" si="1">HYPERLINK(CONCATENATE("https://bugzilla.houston.hpecorp.net:1181/bugzilla/show_bug.cgi?id=",MID(INDIRECT("f"&amp;ROW()),9,5)),MID(INDIRECT("f"&amp;ROW()),9,5))</f>
        <v>61232</v>
      </c>
      <c r="D34" s="37">
        <v>61450</v>
      </c>
      <c r="E34" s="37" t="s">
        <v>376</v>
      </c>
      <c r="F34" s="37" t="s">
        <v>761</v>
      </c>
      <c r="G34" s="37" t="s">
        <v>11</v>
      </c>
      <c r="H34" s="37" t="s">
        <v>48</v>
      </c>
      <c r="I34" s="37" t="s">
        <v>81</v>
      </c>
      <c r="J34" s="19" t="s">
        <v>815</v>
      </c>
    </row>
    <row r="35" spans="1:13" x14ac:dyDescent="0.3">
      <c r="A35" s="35" t="str">
        <f ca="1">INDIRECT("j"&amp;ROW())</f>
        <v>raju.pitta@hpe.com</v>
      </c>
      <c r="C35" s="19" t="str">
        <f t="shared" ca="1" si="1"/>
        <v>61495</v>
      </c>
      <c r="D35" s="37">
        <v>61531</v>
      </c>
      <c r="E35" s="37" t="s">
        <v>338</v>
      </c>
      <c r="F35" s="37" t="s">
        <v>762</v>
      </c>
      <c r="G35" s="37" t="s">
        <v>11</v>
      </c>
      <c r="H35" s="37" t="s">
        <v>48</v>
      </c>
      <c r="I35" s="37" t="s">
        <v>81</v>
      </c>
      <c r="J35" s="19" t="s">
        <v>816</v>
      </c>
    </row>
    <row r="36" spans="1:13" x14ac:dyDescent="0.3">
      <c r="A36" s="35" t="str">
        <f ca="1">INDIRECT("j"&amp;ROW())</f>
        <v>raju.pitta@hpe.com</v>
      </c>
      <c r="C36" s="19" t="str">
        <f t="shared" ca="1" si="1"/>
        <v>61496</v>
      </c>
      <c r="D36" s="37">
        <v>61534</v>
      </c>
      <c r="E36" s="37" t="s">
        <v>338</v>
      </c>
      <c r="F36" s="37" t="s">
        <v>763</v>
      </c>
      <c r="G36" s="37" t="s">
        <v>11</v>
      </c>
      <c r="H36" s="37" t="s">
        <v>48</v>
      </c>
      <c r="I36" s="37" t="s">
        <v>81</v>
      </c>
      <c r="J36" s="19" t="s">
        <v>816</v>
      </c>
    </row>
    <row r="37" spans="1:13" x14ac:dyDescent="0.3">
      <c r="A37" s="35" t="str">
        <f ca="1">INDIRECT("j"&amp;ROW())</f>
        <v>tom.connolly@hpe.com</v>
      </c>
      <c r="C37" s="19" t="str">
        <f t="shared" ca="1" si="1"/>
        <v>61692</v>
      </c>
      <c r="D37" s="37">
        <v>61707</v>
      </c>
      <c r="E37" s="37" t="s">
        <v>650</v>
      </c>
      <c r="F37" s="37" t="s">
        <v>764</v>
      </c>
      <c r="G37" s="37" t="s">
        <v>11</v>
      </c>
      <c r="H37" s="37" t="s">
        <v>48</v>
      </c>
      <c r="I37" s="37" t="s">
        <v>81</v>
      </c>
      <c r="J37" s="19" t="s">
        <v>817</v>
      </c>
      <c r="M37" s="35"/>
    </row>
    <row r="38" spans="1:13" x14ac:dyDescent="0.3">
      <c r="B38" s="37" t="s">
        <v>798</v>
      </c>
      <c r="C38" s="19" t="str">
        <f t="shared" ca="1" si="1"/>
        <v>62165</v>
      </c>
      <c r="D38" s="37">
        <v>62178</v>
      </c>
      <c r="E38" s="37" t="s">
        <v>376</v>
      </c>
      <c r="F38" s="37" t="s">
        <v>765</v>
      </c>
      <c r="G38" s="37" t="s">
        <v>11</v>
      </c>
      <c r="H38" s="37" t="s">
        <v>48</v>
      </c>
      <c r="I38" s="37" t="s">
        <v>81</v>
      </c>
      <c r="J38" s="19" t="s">
        <v>336</v>
      </c>
    </row>
    <row r="39" spans="1:13" x14ac:dyDescent="0.3">
      <c r="B39" s="37" t="s">
        <v>805</v>
      </c>
      <c r="C39" s="19" t="str">
        <f t="shared" ca="1" si="1"/>
        <v>62407</v>
      </c>
      <c r="D39" s="37">
        <v>62438</v>
      </c>
      <c r="E39" s="37" t="s">
        <v>596</v>
      </c>
      <c r="F39" s="37" t="s">
        <v>766</v>
      </c>
      <c r="G39" s="37" t="s">
        <v>11</v>
      </c>
      <c r="H39" s="37" t="s">
        <v>48</v>
      </c>
      <c r="I39" s="37" t="s">
        <v>81</v>
      </c>
      <c r="J39" s="19" t="s">
        <v>818</v>
      </c>
    </row>
    <row r="40" spans="1:13" x14ac:dyDescent="0.3">
      <c r="A40" s="19" t="s">
        <v>316</v>
      </c>
      <c r="C40" s="19" t="str">
        <f t="shared" ca="1" si="1"/>
        <v>63423</v>
      </c>
      <c r="D40" s="37">
        <v>63460</v>
      </c>
      <c r="E40" s="37" t="s">
        <v>332</v>
      </c>
      <c r="F40" s="37" t="s">
        <v>767</v>
      </c>
      <c r="G40" s="37" t="s">
        <v>2</v>
      </c>
      <c r="H40" s="37" t="s">
        <v>48</v>
      </c>
      <c r="I40" s="37" t="s">
        <v>555</v>
      </c>
      <c r="J40" s="19" t="s">
        <v>316</v>
      </c>
    </row>
    <row r="41" spans="1:13" x14ac:dyDescent="0.3">
      <c r="A41" s="35" t="str">
        <f ca="1">INDIRECT("j"&amp;ROW())</f>
        <v>sudarshan.patil@hpe.com</v>
      </c>
      <c r="C41" s="19" t="str">
        <f t="shared" ca="1" si="1"/>
        <v>63709</v>
      </c>
      <c r="D41" s="37">
        <v>63743</v>
      </c>
      <c r="E41" s="37" t="s">
        <v>331</v>
      </c>
      <c r="F41" s="37" t="s">
        <v>768</v>
      </c>
      <c r="G41" s="37" t="s">
        <v>2</v>
      </c>
      <c r="H41" s="37" t="s">
        <v>48</v>
      </c>
      <c r="I41" s="37" t="s">
        <v>81</v>
      </c>
      <c r="J41" s="19" t="s">
        <v>819</v>
      </c>
    </row>
    <row r="42" spans="1:13" x14ac:dyDescent="0.3">
      <c r="A42" s="35" t="str">
        <f ca="1">INDIRECT("j"&amp;ROW())</f>
        <v>sudarshan.patil@hpe.com</v>
      </c>
      <c r="C42" s="19" t="str">
        <f t="shared" ca="1" si="1"/>
        <v>64077</v>
      </c>
      <c r="D42" s="37">
        <v>64080</v>
      </c>
      <c r="E42" s="37" t="s">
        <v>337</v>
      </c>
      <c r="F42" s="37" t="s">
        <v>769</v>
      </c>
      <c r="G42" s="37" t="s">
        <v>2</v>
      </c>
      <c r="H42" s="37" t="s">
        <v>48</v>
      </c>
      <c r="I42" s="37" t="s">
        <v>81</v>
      </c>
      <c r="J42" s="19" t="s">
        <v>819</v>
      </c>
    </row>
    <row r="43" spans="1:13" x14ac:dyDescent="0.3">
      <c r="A43" s="35" t="str">
        <f ca="1">INDIRECT("j"&amp;ROW())</f>
        <v>roman.duka@hpe.com</v>
      </c>
      <c r="C43" s="19" t="str">
        <f t="shared" ca="1" si="1"/>
        <v>64203</v>
      </c>
      <c r="D43" s="37">
        <v>64207</v>
      </c>
      <c r="E43" s="37" t="s">
        <v>376</v>
      </c>
      <c r="F43" s="37" t="s">
        <v>770</v>
      </c>
      <c r="G43" s="37" t="s">
        <v>11</v>
      </c>
      <c r="H43" s="37" t="s">
        <v>48</v>
      </c>
      <c r="I43" s="37" t="s">
        <v>81</v>
      </c>
      <c r="J43" s="19" t="s">
        <v>820</v>
      </c>
    </row>
    <row r="44" spans="1:13" x14ac:dyDescent="0.3">
      <c r="B44" s="37" t="s">
        <v>804</v>
      </c>
      <c r="C44" s="19" t="str">
        <f t="shared" ca="1" si="1"/>
        <v>64629</v>
      </c>
      <c r="D44" s="37">
        <v>64635</v>
      </c>
      <c r="E44" s="37" t="s">
        <v>376</v>
      </c>
      <c r="F44" s="37" t="s">
        <v>771</v>
      </c>
      <c r="G44" s="37" t="s">
        <v>2</v>
      </c>
      <c r="H44" s="37" t="s">
        <v>48</v>
      </c>
      <c r="I44" s="37" t="s">
        <v>81</v>
      </c>
      <c r="J44" s="19" t="s">
        <v>331</v>
      </c>
    </row>
    <row r="45" spans="1:13" x14ac:dyDescent="0.3">
      <c r="B45" s="37" t="s">
        <v>798</v>
      </c>
      <c r="C45" s="19" t="str">
        <f t="shared" ca="1" si="1"/>
        <v>64823</v>
      </c>
      <c r="D45" s="37">
        <v>64844</v>
      </c>
      <c r="E45" s="37" t="s">
        <v>336</v>
      </c>
      <c r="F45" s="37" t="s">
        <v>772</v>
      </c>
      <c r="G45" s="37" t="s">
        <v>2</v>
      </c>
      <c r="H45" s="37" t="s">
        <v>48</v>
      </c>
      <c r="I45" s="37" t="s">
        <v>81</v>
      </c>
      <c r="J45" s="19" t="s">
        <v>336</v>
      </c>
    </row>
    <row r="46" spans="1:13" x14ac:dyDescent="0.3">
      <c r="B46" s="37" t="s">
        <v>805</v>
      </c>
      <c r="C46" s="19" t="str">
        <f t="shared" ca="1" si="1"/>
        <v>65259</v>
      </c>
      <c r="D46" s="37">
        <v>65284</v>
      </c>
      <c r="E46" s="37" t="s">
        <v>376</v>
      </c>
      <c r="F46" s="37" t="s">
        <v>773</v>
      </c>
      <c r="G46" s="37" t="s">
        <v>11</v>
      </c>
      <c r="H46" s="37" t="s">
        <v>48</v>
      </c>
      <c r="I46" s="37" t="s">
        <v>81</v>
      </c>
      <c r="J46" s="19" t="s">
        <v>374</v>
      </c>
    </row>
    <row r="47" spans="1:13" x14ac:dyDescent="0.3">
      <c r="B47" s="37" t="s">
        <v>797</v>
      </c>
      <c r="C47" s="19" t="str">
        <f t="shared" ca="1" si="1"/>
        <v>65291</v>
      </c>
      <c r="D47" s="37">
        <v>65364</v>
      </c>
      <c r="E47" s="37" t="s">
        <v>332</v>
      </c>
      <c r="F47" s="37" t="s">
        <v>774</v>
      </c>
      <c r="G47" s="37" t="s">
        <v>11</v>
      </c>
      <c r="H47" s="37" t="s">
        <v>48</v>
      </c>
      <c r="I47" s="37" t="s">
        <v>81</v>
      </c>
      <c r="J47" s="19" t="s">
        <v>332</v>
      </c>
    </row>
    <row r="48" spans="1:13" x14ac:dyDescent="0.3">
      <c r="A48" s="35" t="str">
        <f ca="1">INDIRECT("j"&amp;ROW())</f>
        <v>sudarshan.patil@hpe.com</v>
      </c>
      <c r="C48" s="19" t="str">
        <f t="shared" ca="1" si="1"/>
        <v>66200</v>
      </c>
      <c r="D48" s="37">
        <v>66205</v>
      </c>
      <c r="E48" s="37" t="s">
        <v>334</v>
      </c>
      <c r="F48" s="37" t="s">
        <v>775</v>
      </c>
      <c r="G48" s="37" t="s">
        <v>2</v>
      </c>
      <c r="H48" s="37" t="s">
        <v>48</v>
      </c>
      <c r="I48" s="37" t="s">
        <v>81</v>
      </c>
      <c r="J48" s="19" t="s">
        <v>819</v>
      </c>
    </row>
    <row r="49" spans="1:10" x14ac:dyDescent="0.3">
      <c r="B49" s="37" t="s">
        <v>799</v>
      </c>
      <c r="C49" s="19" t="str">
        <f t="shared" ca="1" si="1"/>
        <v>66413</v>
      </c>
      <c r="D49" s="37">
        <v>66461</v>
      </c>
      <c r="E49" s="37" t="s">
        <v>342</v>
      </c>
      <c r="F49" s="37" t="s">
        <v>776</v>
      </c>
      <c r="G49" s="37" t="s">
        <v>2</v>
      </c>
      <c r="H49" s="37" t="s">
        <v>48</v>
      </c>
      <c r="I49" s="37" t="s">
        <v>81</v>
      </c>
      <c r="J49" s="19" t="s">
        <v>342</v>
      </c>
    </row>
    <row r="50" spans="1:10" x14ac:dyDescent="0.3">
      <c r="B50" s="37" t="s">
        <v>800</v>
      </c>
      <c r="C50" s="19" t="str">
        <f t="shared" ca="1" si="1"/>
        <v>67034</v>
      </c>
      <c r="D50" s="37">
        <v>67043</v>
      </c>
      <c r="E50" s="37" t="s">
        <v>650</v>
      </c>
      <c r="F50" s="37" t="s">
        <v>777</v>
      </c>
      <c r="G50" s="37" t="s">
        <v>11</v>
      </c>
      <c r="H50" s="37" t="s">
        <v>48</v>
      </c>
      <c r="I50" s="37" t="s">
        <v>81</v>
      </c>
      <c r="J50" s="19" t="s">
        <v>821</v>
      </c>
    </row>
    <row r="51" spans="1:10" x14ac:dyDescent="0.3">
      <c r="B51" s="37" t="s">
        <v>806</v>
      </c>
      <c r="C51" s="19" t="str">
        <f t="shared" ca="1" si="1"/>
        <v>67131</v>
      </c>
      <c r="D51" s="37">
        <v>67220</v>
      </c>
      <c r="E51" s="37" t="s">
        <v>343</v>
      </c>
      <c r="F51" s="37" t="s">
        <v>778</v>
      </c>
      <c r="G51" s="37" t="s">
        <v>2</v>
      </c>
      <c r="H51" s="37" t="s">
        <v>48</v>
      </c>
      <c r="I51" s="37" t="s">
        <v>81</v>
      </c>
      <c r="J51" s="19" t="s">
        <v>343</v>
      </c>
    </row>
    <row r="52" spans="1:10" x14ac:dyDescent="0.3">
      <c r="A52" s="19" t="s">
        <v>830</v>
      </c>
      <c r="C52" s="19" t="str">
        <f t="shared" ca="1" si="1"/>
        <v>67243</v>
      </c>
      <c r="D52" s="37">
        <v>67245</v>
      </c>
      <c r="E52" s="37" t="s">
        <v>344</v>
      </c>
      <c r="F52" s="37" t="s">
        <v>779</v>
      </c>
      <c r="G52" s="37" t="s">
        <v>11</v>
      </c>
      <c r="H52" s="37" t="s">
        <v>48</v>
      </c>
      <c r="I52" s="37" t="s">
        <v>316</v>
      </c>
      <c r="J52" s="37" t="s">
        <v>316</v>
      </c>
    </row>
    <row r="53" spans="1:10" x14ac:dyDescent="0.3">
      <c r="B53" s="37" t="s">
        <v>793</v>
      </c>
      <c r="C53" s="19" t="str">
        <f t="shared" ca="1" si="1"/>
        <v>67730</v>
      </c>
      <c r="D53" s="37">
        <v>67740</v>
      </c>
      <c r="E53" s="37" t="s">
        <v>376</v>
      </c>
      <c r="F53" s="37" t="s">
        <v>780</v>
      </c>
      <c r="G53" s="37" t="s">
        <v>652</v>
      </c>
      <c r="H53" s="37" t="s">
        <v>48</v>
      </c>
      <c r="I53" s="37" t="s">
        <v>81</v>
      </c>
      <c r="J53" s="19" t="s">
        <v>382</v>
      </c>
    </row>
    <row r="54" spans="1:10" x14ac:dyDescent="0.3">
      <c r="B54" s="37" t="s">
        <v>800</v>
      </c>
      <c r="C54" s="19" t="str">
        <f t="shared" ca="1" si="1"/>
        <v>67873</v>
      </c>
      <c r="D54" s="37">
        <v>68618</v>
      </c>
      <c r="E54" s="37" t="s">
        <v>564</v>
      </c>
      <c r="F54" s="37" t="s">
        <v>781</v>
      </c>
      <c r="G54" s="37" t="s">
        <v>11</v>
      </c>
      <c r="H54" s="37" t="s">
        <v>48</v>
      </c>
      <c r="I54" s="37" t="s">
        <v>81</v>
      </c>
      <c r="J54" s="19" t="s">
        <v>821</v>
      </c>
    </row>
    <row r="55" spans="1:10" x14ac:dyDescent="0.3">
      <c r="B55" s="37" t="s">
        <v>805</v>
      </c>
      <c r="C55" s="19" t="str">
        <f t="shared" ca="1" si="1"/>
        <v>67996</v>
      </c>
      <c r="D55" s="37">
        <v>68078</v>
      </c>
      <c r="E55" s="37" t="s">
        <v>376</v>
      </c>
      <c r="F55" s="37" t="s">
        <v>782</v>
      </c>
      <c r="G55" s="37" t="s">
        <v>11</v>
      </c>
      <c r="H55" s="37" t="s">
        <v>48</v>
      </c>
      <c r="I55" s="37" t="s">
        <v>81</v>
      </c>
      <c r="J55" s="19" t="s">
        <v>822</v>
      </c>
    </row>
    <row r="56" spans="1:10" x14ac:dyDescent="0.3">
      <c r="A56" s="35" t="str">
        <f ca="1">INDIRECT("j"&amp;ROW())</f>
        <v>raju.pitta@hpe.com</v>
      </c>
      <c r="C56" s="19" t="str">
        <f t="shared" ca="1" si="1"/>
        <v>68302</v>
      </c>
      <c r="D56" s="37">
        <v>68352</v>
      </c>
      <c r="E56" s="37" t="s">
        <v>338</v>
      </c>
      <c r="F56" s="37" t="s">
        <v>783</v>
      </c>
      <c r="G56" s="37" t="s">
        <v>11</v>
      </c>
      <c r="H56" s="37" t="s">
        <v>48</v>
      </c>
      <c r="I56" s="37" t="s">
        <v>81</v>
      </c>
      <c r="J56" s="19" t="s">
        <v>816</v>
      </c>
    </row>
    <row r="57" spans="1:10" x14ac:dyDescent="0.3">
      <c r="B57" s="37" t="s">
        <v>805</v>
      </c>
      <c r="C57" s="19" t="str">
        <f t="shared" ca="1" si="1"/>
        <v>68935</v>
      </c>
      <c r="D57" s="37">
        <v>68946</v>
      </c>
      <c r="E57" s="37" t="s">
        <v>376</v>
      </c>
      <c r="F57" s="37" t="s">
        <v>784</v>
      </c>
      <c r="G57" s="37" t="s">
        <v>11</v>
      </c>
      <c r="H57" s="37" t="s">
        <v>48</v>
      </c>
      <c r="I57" s="37" t="s">
        <v>81</v>
      </c>
      <c r="J57" s="19" t="s">
        <v>822</v>
      </c>
    </row>
    <row r="58" spans="1:10" x14ac:dyDescent="0.3">
      <c r="A58" s="35" t="str">
        <f ca="1">INDIRECT("j"&amp;ROW())</f>
        <v>sachidananda.gs@hpe.com</v>
      </c>
      <c r="C58" s="19" t="str">
        <f t="shared" ca="1" si="1"/>
        <v>69146</v>
      </c>
      <c r="D58" s="37">
        <v>69186</v>
      </c>
      <c r="E58" s="37" t="s">
        <v>597</v>
      </c>
      <c r="F58" s="37" t="s">
        <v>785</v>
      </c>
      <c r="G58" s="37" t="s">
        <v>11</v>
      </c>
      <c r="H58" s="37" t="s">
        <v>48</v>
      </c>
      <c r="I58" s="37" t="s">
        <v>81</v>
      </c>
      <c r="J58" s="19" t="s">
        <v>823</v>
      </c>
    </row>
    <row r="59" spans="1:10" x14ac:dyDescent="0.3">
      <c r="B59" s="37" t="s">
        <v>798</v>
      </c>
      <c r="C59" s="19" t="str">
        <f t="shared" ca="1" si="1"/>
        <v>70210</v>
      </c>
      <c r="D59" s="37">
        <v>70214</v>
      </c>
      <c r="E59" s="37" t="s">
        <v>336</v>
      </c>
      <c r="F59" s="37" t="s">
        <v>786</v>
      </c>
      <c r="G59" s="37" t="s">
        <v>11</v>
      </c>
      <c r="H59" s="37" t="s">
        <v>48</v>
      </c>
      <c r="I59" s="37" t="s">
        <v>81</v>
      </c>
      <c r="J59" s="19" t="s">
        <v>339</v>
      </c>
    </row>
    <row r="60" spans="1:10" x14ac:dyDescent="0.3">
      <c r="A60" s="35" t="str">
        <f ca="1">INDIRECT("j"&amp;ROW())</f>
        <v>philip.everitt@hpe.com</v>
      </c>
      <c r="C60" s="19" t="str">
        <f t="shared" ca="1" si="1"/>
        <v>70542</v>
      </c>
      <c r="D60" s="37">
        <v>70802</v>
      </c>
      <c r="E60" s="37" t="s">
        <v>332</v>
      </c>
      <c r="F60" s="37" t="s">
        <v>787</v>
      </c>
      <c r="G60" s="37" t="s">
        <v>11</v>
      </c>
      <c r="H60" s="37" t="s">
        <v>48</v>
      </c>
      <c r="I60" s="37" t="s">
        <v>81</v>
      </c>
      <c r="J60" s="19" t="s">
        <v>824</v>
      </c>
    </row>
    <row r="61" spans="1:10" x14ac:dyDescent="0.3">
      <c r="B61" s="37" t="s">
        <v>801</v>
      </c>
      <c r="C61" s="19" t="str">
        <f t="shared" ca="1" si="1"/>
        <v>70618</v>
      </c>
      <c r="D61" s="37">
        <v>70621</v>
      </c>
      <c r="E61" s="37" t="s">
        <v>667</v>
      </c>
      <c r="F61" s="37" t="s">
        <v>788</v>
      </c>
      <c r="G61" s="37" t="s">
        <v>11</v>
      </c>
      <c r="H61" s="37" t="s">
        <v>48</v>
      </c>
      <c r="I61" s="37" t="s">
        <v>81</v>
      </c>
      <c r="J61" s="19" t="s">
        <v>335</v>
      </c>
    </row>
    <row r="62" spans="1:10" x14ac:dyDescent="0.3">
      <c r="A62" s="35" t="str">
        <f ca="1">INDIRECT("j"&amp;ROW())</f>
        <v>sandhya.dasari@hpe.com</v>
      </c>
      <c r="C62" s="19" t="str">
        <f t="shared" ca="1" si="1"/>
        <v>71658</v>
      </c>
      <c r="D62" s="37">
        <v>71969</v>
      </c>
      <c r="E62" s="37" t="s">
        <v>338</v>
      </c>
      <c r="F62" s="37" t="s">
        <v>789</v>
      </c>
      <c r="G62" s="37" t="s">
        <v>652</v>
      </c>
      <c r="H62" s="37" t="s">
        <v>48</v>
      </c>
      <c r="I62" s="37" t="s">
        <v>81</v>
      </c>
      <c r="J62" s="19" t="s">
        <v>825</v>
      </c>
    </row>
    <row r="63" spans="1:10" x14ac:dyDescent="0.3">
      <c r="A63" s="35" t="str">
        <f ca="1">INDIRECT("j"&amp;ROW())</f>
        <v>matthew.leach3@hpe.com</v>
      </c>
      <c r="C63" s="19" t="str">
        <f t="shared" ca="1" si="1"/>
        <v>72280</v>
      </c>
      <c r="D63" s="37">
        <v>72284</v>
      </c>
      <c r="E63" s="37" t="s">
        <v>564</v>
      </c>
      <c r="F63" s="37" t="s">
        <v>790</v>
      </c>
      <c r="G63" s="37" t="s">
        <v>11</v>
      </c>
      <c r="H63" s="37" t="s">
        <v>48</v>
      </c>
      <c r="I63" s="37" t="s">
        <v>81</v>
      </c>
      <c r="J63" s="19" t="s">
        <v>826</v>
      </c>
    </row>
    <row r="64" spans="1:10" x14ac:dyDescent="0.3">
      <c r="B64" s="37" t="s">
        <v>802</v>
      </c>
      <c r="C64" s="19" t="str">
        <f t="shared" ca="1" si="1"/>
        <v>73854</v>
      </c>
      <c r="D64" s="37">
        <v>73862</v>
      </c>
      <c r="E64" s="37" t="s">
        <v>376</v>
      </c>
      <c r="F64" s="37" t="s">
        <v>791</v>
      </c>
      <c r="G64" s="37" t="s">
        <v>11</v>
      </c>
      <c r="H64" s="37" t="s">
        <v>48</v>
      </c>
      <c r="I64" s="37" t="s">
        <v>81</v>
      </c>
      <c r="J64" s="19" t="s">
        <v>337</v>
      </c>
    </row>
    <row r="65" spans="1:10" x14ac:dyDescent="0.3">
      <c r="B65" s="37" t="s">
        <v>801</v>
      </c>
      <c r="C65" s="19">
        <f ca="1">HYPERLINK(CONCATENATE("https://bugzilla.houston.hpecorp.net:1181/bugzilla/show_bug.cgi?id=",INDIRECT("d"&amp;ROW())),INDIRECT("d"&amp;ROW()))</f>
        <v>67115</v>
      </c>
      <c r="D65" s="37">
        <v>67115</v>
      </c>
      <c r="E65" s="37" t="s">
        <v>335</v>
      </c>
      <c r="F65" s="37" t="s">
        <v>723</v>
      </c>
      <c r="G65" s="37" t="s">
        <v>11</v>
      </c>
      <c r="H65" s="37" t="s">
        <v>48</v>
      </c>
      <c r="I65" s="37" t="s">
        <v>344</v>
      </c>
      <c r="J65" s="37" t="s">
        <v>344</v>
      </c>
    </row>
    <row r="66" spans="1:10" x14ac:dyDescent="0.3">
      <c r="A66" s="37" t="str">
        <f ca="1">INDIRECT("j"&amp;ROW())</f>
        <v>matthew.dav.bondurant@hpe.com</v>
      </c>
      <c r="C66" s="19">
        <f ca="1">HYPERLINK(CONCATENATE("https://bugzilla.houston.hpecorp.net:1181/bugzilla/show_bug.cgi?id=",INDIRECT("d"&amp;ROW())),INDIRECT("d"&amp;ROW()))</f>
        <v>70232</v>
      </c>
      <c r="D66" s="37">
        <v>70232</v>
      </c>
      <c r="E66" s="37" t="s">
        <v>597</v>
      </c>
      <c r="F66" s="37" t="s">
        <v>724</v>
      </c>
      <c r="G66" s="37" t="s">
        <v>11</v>
      </c>
      <c r="H66" s="37" t="s">
        <v>48</v>
      </c>
      <c r="I66" s="37" t="s">
        <v>316</v>
      </c>
      <c r="J66" s="37" t="s">
        <v>316</v>
      </c>
    </row>
    <row r="67" spans="1:10" x14ac:dyDescent="0.3">
      <c r="A67" s="37" t="str">
        <f ca="1">INDIRECT("j"&amp;ROW())</f>
        <v>ved.sonkar@hp.com</v>
      </c>
      <c r="C67" s="19">
        <f ca="1">HYPERLINK(CONCATENATE("https://bugzilla.houston.hpecorp.net:1181/bugzilla/show_bug.cgi?id=",INDIRECT("d"&amp;ROW())),INDIRECT("d"&amp;ROW()))</f>
        <v>51689</v>
      </c>
      <c r="D67" s="37">
        <v>51689</v>
      </c>
      <c r="E67" s="37" t="s">
        <v>721</v>
      </c>
      <c r="F67" s="37" t="s">
        <v>722</v>
      </c>
      <c r="G67" s="37" t="s">
        <v>652</v>
      </c>
      <c r="H67" s="37" t="s">
        <v>48</v>
      </c>
      <c r="I67" s="37" t="s">
        <v>721</v>
      </c>
      <c r="J67" s="37" t="s">
        <v>721</v>
      </c>
    </row>
    <row r="69" spans="1:10" x14ac:dyDescent="0.3">
      <c r="B69" s="37">
        <f>SUBTOTAL(3,B2:B67)</f>
        <v>40</v>
      </c>
      <c r="C69" s="37">
        <f ca="1">SUBTOTAL(3,C2:C67)</f>
        <v>66</v>
      </c>
    </row>
  </sheetData>
  <autoFilter ref="A1:J68"/>
  <sortState ref="A2:J69">
    <sortCondition ref="C2:C69"/>
  </sortState>
  <conditionalFormatting sqref="D2:D67">
    <cfRule type="expression" dxfId="56" priority="1">
      <formula>IF(AC2="---",FALSE,TRUE)</formula>
    </cfRule>
  </conditionalFormatting>
  <hyperlinks>
    <hyperlink ref="J18" r:id="rId1"/>
    <hyperlink ref="J20" r:id="rId2"/>
    <hyperlink ref="J21" r:id="rId3"/>
    <hyperlink ref="J22" r:id="rId4"/>
    <hyperlink ref="J23" r:id="rId5"/>
    <hyperlink ref="J24" r:id="rId6"/>
    <hyperlink ref="J25" r:id="rId7"/>
    <hyperlink ref="J26" r:id="rId8"/>
    <hyperlink ref="J27" r:id="rId9"/>
    <hyperlink ref="J28" r:id="rId10"/>
    <hyperlink ref="J30" r:id="rId11"/>
    <hyperlink ref="J31" r:id="rId12"/>
    <hyperlink ref="J32" r:id="rId13"/>
    <hyperlink ref="J33" r:id="rId14"/>
    <hyperlink ref="J34" r:id="rId15"/>
    <hyperlink ref="J35" r:id="rId16"/>
    <hyperlink ref="J36" r:id="rId17"/>
    <hyperlink ref="J37" r:id="rId18"/>
    <hyperlink ref="J38" r:id="rId19"/>
    <hyperlink ref="J39" r:id="rId20"/>
    <hyperlink ref="J41" r:id="rId21"/>
    <hyperlink ref="J42" r:id="rId22"/>
    <hyperlink ref="J43" r:id="rId23"/>
    <hyperlink ref="J44" r:id="rId24"/>
    <hyperlink ref="J45" r:id="rId25"/>
    <hyperlink ref="J46" r:id="rId26"/>
    <hyperlink ref="J47" r:id="rId27"/>
    <hyperlink ref="J48" r:id="rId28"/>
    <hyperlink ref="J49" r:id="rId29"/>
    <hyperlink ref="J50" r:id="rId30"/>
    <hyperlink ref="J51" r:id="rId31"/>
    <hyperlink ref="J53" r:id="rId32"/>
    <hyperlink ref="J54" r:id="rId33"/>
    <hyperlink ref="J55" r:id="rId34"/>
    <hyperlink ref="J56" r:id="rId35"/>
    <hyperlink ref="J57" r:id="rId36"/>
    <hyperlink ref="J58" r:id="rId37"/>
    <hyperlink ref="J59" r:id="rId38"/>
    <hyperlink ref="J60" r:id="rId39"/>
    <hyperlink ref="J61" r:id="rId40"/>
    <hyperlink ref="J62" r:id="rId41"/>
    <hyperlink ref="J63" r:id="rId42"/>
    <hyperlink ref="J64" r:id="rId43"/>
    <hyperlink ref="J11" r:id="rId44"/>
    <hyperlink ref="A40" r:id="rId45"/>
    <hyperlink ref="A52" r:id="rId46"/>
    <hyperlink ref="I11" r:id="rId47"/>
    <hyperlink ref="J40" r:id="rId48"/>
    <hyperlink ref="J29" r:id="rId4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211"/>
  <sheetViews>
    <sheetView workbookViewId="0">
      <selection activeCell="E23" sqref="E23"/>
    </sheetView>
  </sheetViews>
  <sheetFormatPr defaultRowHeight="14.4" x14ac:dyDescent="0.3"/>
  <cols>
    <col min="5" max="5" width="44.77734375" customWidth="1"/>
    <col min="10" max="10" width="15.6640625" bestFit="1" customWidth="1"/>
    <col min="13" max="13" width="15.6640625" bestFit="1" customWidth="1"/>
  </cols>
  <sheetData>
    <row r="1" spans="1:30" x14ac:dyDescent="0.3">
      <c r="A1" s="37" t="s">
        <v>111</v>
      </c>
      <c r="B1" s="1">
        <f ca="1">COUNTIF(INDIRECT(A209&amp;A201):INDIRECT(A209&amp;A200),INDIRECT("c"&amp;ROW()))</f>
        <v>173</v>
      </c>
      <c r="C1" s="37" t="s">
        <v>569</v>
      </c>
      <c r="D1" s="37" t="s">
        <v>707</v>
      </c>
      <c r="E1" s="37"/>
      <c r="F1" s="37"/>
      <c r="G1" s="37"/>
      <c r="H1" s="37"/>
      <c r="I1" s="37"/>
      <c r="J1" s="37"/>
      <c r="K1" s="37"/>
      <c r="L1" s="37"/>
      <c r="M1" s="37"/>
      <c r="N1" s="37"/>
      <c r="O1" s="37"/>
      <c r="P1" s="37"/>
      <c r="Q1" s="37"/>
      <c r="R1" s="37"/>
      <c r="S1" s="37"/>
      <c r="T1" s="37"/>
      <c r="U1" s="37"/>
      <c r="V1" s="37"/>
      <c r="W1" s="37"/>
      <c r="X1" s="37"/>
      <c r="Y1" s="37"/>
      <c r="Z1" s="37"/>
      <c r="AA1" s="37"/>
      <c r="AB1" s="37"/>
      <c r="AC1" s="37"/>
      <c r="AD1" s="37"/>
    </row>
    <row r="2" spans="1:30" x14ac:dyDescent="0.3">
      <c r="A2" s="37"/>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row>
    <row r="3" spans="1:30" x14ac:dyDescent="0.3">
      <c r="A3" s="7" t="s">
        <v>59</v>
      </c>
      <c r="B3" s="37"/>
      <c r="C3" s="37"/>
      <c r="D3" s="7" t="s">
        <v>75</v>
      </c>
      <c r="E3" s="37"/>
      <c r="F3" s="37"/>
      <c r="G3" s="37"/>
      <c r="H3" s="37"/>
      <c r="I3" s="37"/>
      <c r="J3" s="37"/>
      <c r="K3" s="37"/>
      <c r="L3" s="37"/>
      <c r="M3" s="37"/>
      <c r="N3" s="37"/>
      <c r="O3" s="37"/>
      <c r="P3" s="37"/>
      <c r="Q3" s="37"/>
      <c r="R3" s="37"/>
      <c r="S3" s="37"/>
      <c r="T3" s="37"/>
      <c r="U3" s="37"/>
      <c r="V3" s="37"/>
      <c r="W3" s="37"/>
      <c r="X3" s="37"/>
      <c r="Y3" s="37"/>
      <c r="Z3" s="37"/>
      <c r="AA3" s="37"/>
      <c r="AB3" s="37"/>
      <c r="AC3" s="37"/>
      <c r="AD3" s="37"/>
    </row>
    <row r="4" spans="1:30" x14ac:dyDescent="0.3">
      <c r="A4" s="37" t="s">
        <v>11</v>
      </c>
      <c r="B4" s="37">
        <f ca="1">COUNTIF(INDIRECT(A202&amp;A201):INDIRECT(A202&amp;A200),INDIRECT("a"&amp;ROW()))</f>
        <v>117</v>
      </c>
      <c r="C4" s="37"/>
      <c r="D4" s="37" t="s">
        <v>107</v>
      </c>
      <c r="E4" s="2">
        <f ca="1">COUNTIF(INDIRECT(A205&amp;A201):INDIRECT(A205&amp;A200),"---")</f>
        <v>173</v>
      </c>
      <c r="F4" s="37"/>
      <c r="G4" s="37"/>
      <c r="H4" s="37"/>
      <c r="I4" s="37"/>
      <c r="J4" s="37"/>
      <c r="K4" s="37"/>
      <c r="L4" s="37"/>
      <c r="M4" s="37"/>
      <c r="N4" s="37"/>
      <c r="O4" s="37"/>
      <c r="P4" s="37"/>
      <c r="Q4" s="37"/>
      <c r="R4" s="37"/>
      <c r="S4" s="37"/>
      <c r="T4" s="37"/>
      <c r="U4" s="37"/>
      <c r="V4" s="37"/>
      <c r="W4" s="37"/>
      <c r="X4" s="37"/>
      <c r="Y4" s="37"/>
      <c r="Z4" s="37"/>
      <c r="AA4" s="37"/>
      <c r="AB4" s="37"/>
      <c r="AC4" s="37"/>
      <c r="AD4" s="37"/>
    </row>
    <row r="5" spans="1:30" x14ac:dyDescent="0.3">
      <c r="A5" s="37" t="s">
        <v>146</v>
      </c>
      <c r="B5" s="37">
        <f ca="1">COUNTIF(INDIRECT(A202&amp;A201):INDIRECT(A202&amp;A200),INDIRECT("a"&amp;ROW()))</f>
        <v>56</v>
      </c>
      <c r="C5" s="37"/>
      <c r="D5" s="37" t="s">
        <v>49</v>
      </c>
      <c r="E5" s="2">
        <f ca="1">COUNTIF(INDIRECT(A205&amp;A201):INDIRECT(A205&amp;A200),INDIRECT("d"&amp;ROW()))</f>
        <v>0</v>
      </c>
      <c r="F5" s="37"/>
      <c r="G5" s="37"/>
      <c r="H5" s="37"/>
      <c r="I5" s="37"/>
      <c r="J5" s="37"/>
      <c r="K5" s="37"/>
      <c r="L5" s="37"/>
      <c r="M5" s="37"/>
      <c r="N5" s="37"/>
      <c r="O5" s="37"/>
      <c r="P5" s="37"/>
      <c r="Q5" s="37"/>
      <c r="R5" s="37"/>
      <c r="S5" s="37"/>
      <c r="T5" s="37"/>
      <c r="U5" s="37"/>
      <c r="V5" s="37"/>
      <c r="W5" s="37"/>
      <c r="X5" s="37"/>
      <c r="Y5" s="37"/>
      <c r="Z5" s="37"/>
      <c r="AA5" s="37"/>
      <c r="AB5" s="37"/>
      <c r="AC5" s="37"/>
      <c r="AD5" s="37"/>
    </row>
    <row r="6" spans="1:30" x14ac:dyDescent="0.3">
      <c r="A6" s="37"/>
      <c r="B6" s="37">
        <f ca="1">COUNTIF(INDIRECT(A202&amp;A201):INDIRECT(A202&amp;A200),INDIRECT("a"&amp;ROW()))</f>
        <v>0</v>
      </c>
      <c r="C6" s="37"/>
      <c r="D6" s="37" t="s">
        <v>9</v>
      </c>
      <c r="E6" s="2">
        <f ca="1">COUNTIF(INDIRECT(A205&amp;A201):INDIRECT(A205&amp;A200),INDIRECT("d"&amp;ROW()))</f>
        <v>0</v>
      </c>
      <c r="F6" s="37"/>
      <c r="G6" s="37"/>
      <c r="H6" s="37"/>
      <c r="I6" s="37"/>
      <c r="J6" s="37"/>
      <c r="K6" s="37"/>
      <c r="L6" s="37"/>
      <c r="M6" s="37"/>
      <c r="N6" s="37"/>
      <c r="O6" s="37"/>
      <c r="P6" s="37"/>
      <c r="Q6" s="37"/>
      <c r="R6" s="37"/>
      <c r="S6" s="37"/>
      <c r="T6" s="37"/>
      <c r="U6" s="37"/>
      <c r="V6" s="37"/>
      <c r="W6" s="37"/>
      <c r="X6" s="37"/>
      <c r="Y6" s="37"/>
      <c r="Z6" s="37"/>
      <c r="AA6" s="37"/>
      <c r="AB6" s="37"/>
      <c r="AC6" s="37"/>
      <c r="AD6" s="37"/>
    </row>
    <row r="7" spans="1:30" x14ac:dyDescent="0.3">
      <c r="A7" s="7" t="s">
        <v>109</v>
      </c>
      <c r="B7" s="4">
        <f ca="1">COUNTIF(INDIRECT(A206&amp;A201):INDIRECT(A206&amp;A200),"&lt;2")</f>
        <v>0</v>
      </c>
      <c r="C7" s="37"/>
      <c r="D7" s="37" t="s">
        <v>55</v>
      </c>
      <c r="E7" s="2">
        <f ca="1">COUNTIF(INDIRECT(A205&amp;A201):INDIRECT(A205&amp;A200),INDIRECT("d"&amp;ROW()))</f>
        <v>0</v>
      </c>
      <c r="F7" s="37"/>
      <c r="G7" s="37"/>
      <c r="H7" s="37"/>
      <c r="I7" s="37"/>
      <c r="J7" s="37"/>
      <c r="K7" s="37"/>
      <c r="L7" s="37"/>
      <c r="M7" s="37"/>
      <c r="N7" s="37"/>
      <c r="O7" s="37"/>
      <c r="P7" s="37"/>
      <c r="Q7" s="37"/>
      <c r="R7" s="37"/>
      <c r="S7" s="37"/>
      <c r="T7" s="37"/>
      <c r="U7" s="37"/>
      <c r="V7" s="37"/>
      <c r="W7" s="37"/>
      <c r="X7" s="37"/>
      <c r="Y7" s="37"/>
      <c r="Z7" s="37"/>
      <c r="AA7" s="37"/>
      <c r="AB7" s="37"/>
      <c r="AC7" s="37"/>
      <c r="AD7" s="37"/>
    </row>
    <row r="8" spans="1:30" x14ac:dyDescent="0.3">
      <c r="A8" s="37" t="s">
        <v>110</v>
      </c>
      <c r="B8" s="37">
        <f ca="1">COUNTIF(INDIRECT(A207&amp;A201):INDIRECT(A207&amp;A200),"&gt;3")</f>
        <v>173</v>
      </c>
      <c r="C8" s="37"/>
      <c r="D8" s="7" t="s">
        <v>108</v>
      </c>
      <c r="E8" s="3">
        <f ca="1">COUNTIF(INDIRECT(A208&amp;A201):INDIRECT(A208&amp;A200),"Astra*")</f>
        <v>0</v>
      </c>
      <c r="F8" s="37"/>
      <c r="G8" s="37"/>
      <c r="H8" s="37"/>
      <c r="I8" s="37"/>
      <c r="J8" s="37"/>
      <c r="K8" s="37"/>
      <c r="L8" s="37"/>
      <c r="M8" s="37"/>
      <c r="N8" s="37"/>
      <c r="O8" s="37"/>
      <c r="P8" s="37"/>
      <c r="Q8" s="37"/>
      <c r="R8" s="37"/>
      <c r="S8" s="37"/>
      <c r="T8" s="37"/>
      <c r="U8" s="37"/>
      <c r="V8" s="37"/>
      <c r="W8" s="37"/>
      <c r="X8" s="37"/>
      <c r="Y8" s="37"/>
      <c r="Z8" s="37"/>
      <c r="AA8" s="37"/>
      <c r="AB8" s="37"/>
      <c r="AC8" s="37"/>
      <c r="AD8" s="37"/>
    </row>
    <row r="9" spans="1:30" x14ac:dyDescent="0.3">
      <c r="A9" s="37"/>
      <c r="B9" s="37"/>
      <c r="C9" s="37"/>
      <c r="D9" s="37"/>
      <c r="E9" s="37">
        <f ca="1">SUM(E4:E8)</f>
        <v>173</v>
      </c>
      <c r="F9" s="37"/>
      <c r="G9" s="37"/>
      <c r="H9" s="37"/>
      <c r="I9" s="37"/>
      <c r="J9" s="37"/>
      <c r="K9" s="37"/>
      <c r="L9" s="37"/>
      <c r="M9" s="37"/>
      <c r="N9" s="37"/>
      <c r="O9" s="37"/>
      <c r="P9" s="37"/>
      <c r="Q9" s="37"/>
      <c r="R9" s="37"/>
      <c r="S9" s="37"/>
      <c r="T9" s="37"/>
      <c r="U9" s="37"/>
      <c r="V9" s="37"/>
      <c r="W9" s="37"/>
      <c r="X9" s="37"/>
      <c r="Y9" s="37"/>
      <c r="Z9" s="37"/>
      <c r="AA9" s="37"/>
      <c r="AB9" s="37"/>
      <c r="AC9" s="37"/>
      <c r="AD9" s="37"/>
    </row>
    <row r="10" spans="1:30" x14ac:dyDescent="0.3">
      <c r="A10" s="7" t="s">
        <v>112</v>
      </c>
      <c r="B10" s="37"/>
      <c r="C10" s="37"/>
      <c r="D10" s="37" t="s">
        <v>13</v>
      </c>
      <c r="E10" s="2">
        <f ca="1">COUNTIF(INDIRECT(A203&amp;A201):INDIRECT(A203&amp;A200),INDIRECT("d"&amp;ROW()))</f>
        <v>89</v>
      </c>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row>
    <row r="11" spans="1:30" x14ac:dyDescent="0.3">
      <c r="A11" s="37" t="s">
        <v>80</v>
      </c>
      <c r="B11" s="37">
        <f ca="1">COUNTIF(INDIRECT(A204&amp;A201):INDIRECT(A204&amp;A200),INDIRECT("a"&amp;ROW()))</f>
        <v>37</v>
      </c>
      <c r="C11" s="37"/>
      <c r="D11" s="37" t="s">
        <v>8</v>
      </c>
      <c r="E11" s="2">
        <f ca="1">COUNTIF(INDIRECT(A203&amp;A201):INDIRECT(A203&amp;A200),INDIRECT("d"&amp;ROW()))</f>
        <v>50</v>
      </c>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row>
    <row r="12" spans="1:30" x14ac:dyDescent="0.3">
      <c r="A12" s="37" t="s">
        <v>83</v>
      </c>
      <c r="B12" s="37">
        <f ca="1">COUNTIF(INDIRECT(A204&amp;A201):INDIRECT(A204&amp;A200),"Astra-1.0.*")</f>
        <v>4</v>
      </c>
      <c r="C12" s="37"/>
      <c r="D12" s="37" t="s">
        <v>24</v>
      </c>
      <c r="E12" s="2">
        <f ca="1">COUNTIF(INDIRECT(A203&amp;A201):INDIRECT(A203&amp;A200),INDIRECT("d"&amp;ROW()))</f>
        <v>34</v>
      </c>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row>
    <row r="13" spans="1:30" x14ac:dyDescent="0.3">
      <c r="A13" s="37" t="s">
        <v>3</v>
      </c>
      <c r="B13" s="37">
        <f ca="1">COUNTIF(INDIRECT(A204&amp;A201):INDIRECT(A204&amp;A200),INDIRECT("a"&amp;ROW()))+COUNTIF(INDIRECT(A204&amp;A201):INDIRECT(A204&amp;A200),"Astra-P*")+COUNTIF(INDIRECT(A204&amp;A201):INDIRECT(A204&amp;A200),"Astra-IR*")</f>
        <v>85</v>
      </c>
      <c r="C13" s="37"/>
      <c r="D13" s="37"/>
      <c r="E13" s="37">
        <f ca="1">SUM(E10:E12)</f>
        <v>173</v>
      </c>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row>
    <row r="14" spans="1:30" x14ac:dyDescent="0.3">
      <c r="A14" s="37" t="s">
        <v>113</v>
      </c>
      <c r="B14" s="37">
        <f ca="1">COUNTIF(INDIRECT(A204&amp;A201):INDIRECT(A204&amp;A200),"6*")+COUNTIF(INDIRECT(A204&amp;A201):INDIRECT(A204&amp;A200),"Store*")+COUNTIF(INDIRECT(A204&amp;A201):INDIRECT(A204&amp;A200),"Halo")+COUNTIF(INDIRECT(A204&amp;A201):INDIRECT(A204&amp;A200),"3*")</f>
        <v>3</v>
      </c>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row>
    <row r="15" spans="1:30" x14ac:dyDescent="0.3">
      <c r="A15" s="37" t="s">
        <v>48</v>
      </c>
      <c r="B15" s="37">
        <f ca="1">COUNTIF(INDIRECT(A204&amp;A201):INDIRECT(A204&amp;A200),INDIRECT("a"&amp;ROW()))</f>
        <v>26</v>
      </c>
      <c r="C15" s="37"/>
      <c r="D15" s="37"/>
      <c r="E15" s="37">
        <f ca="1">SUM(B11:B15)</f>
        <v>155</v>
      </c>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row>
    <row r="16" spans="1:30" x14ac:dyDescent="0.3">
      <c r="A16" s="37"/>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row>
    <row r="17" spans="1:31" x14ac:dyDescent="0.3">
      <c r="A17" s="37" t="s">
        <v>0</v>
      </c>
      <c r="B17" s="37" t="s">
        <v>1</v>
      </c>
      <c r="C17" s="47" t="s">
        <v>145</v>
      </c>
      <c r="D17" s="47" t="s">
        <v>57</v>
      </c>
      <c r="E17" s="47" t="s">
        <v>58</v>
      </c>
      <c r="F17" s="47" t="s">
        <v>59</v>
      </c>
      <c r="G17" s="47" t="s">
        <v>60</v>
      </c>
      <c r="H17" s="47" t="s">
        <v>61</v>
      </c>
      <c r="I17" s="47" t="s">
        <v>62</v>
      </c>
      <c r="J17" s="47" t="s">
        <v>63</v>
      </c>
      <c r="K17" s="47" t="s">
        <v>64</v>
      </c>
      <c r="L17" s="47" t="s">
        <v>65</v>
      </c>
      <c r="M17" s="47" t="s">
        <v>66</v>
      </c>
      <c r="N17" s="47" t="s">
        <v>67</v>
      </c>
      <c r="O17" s="47" t="s">
        <v>68</v>
      </c>
      <c r="P17" s="47" t="s">
        <v>69</v>
      </c>
      <c r="Q17" s="47" t="s">
        <v>70</v>
      </c>
      <c r="R17" s="47" t="s">
        <v>71</v>
      </c>
      <c r="S17" s="47" t="s">
        <v>72</v>
      </c>
      <c r="T17" s="47" t="s">
        <v>73</v>
      </c>
      <c r="U17" s="47" t="s">
        <v>74</v>
      </c>
      <c r="V17" s="47" t="s">
        <v>75</v>
      </c>
      <c r="W17" s="47" t="s">
        <v>76</v>
      </c>
      <c r="X17" s="47" t="s">
        <v>77</v>
      </c>
      <c r="Y17" s="47" t="s">
        <v>78</v>
      </c>
      <c r="Z17" s="47" t="s">
        <v>79</v>
      </c>
      <c r="AA17" s="47" t="s">
        <v>615</v>
      </c>
      <c r="AB17" s="47" t="s">
        <v>308</v>
      </c>
      <c r="AC17" s="47" t="s">
        <v>307</v>
      </c>
      <c r="AD17" s="47" t="s">
        <v>621</v>
      </c>
      <c r="AE17" s="47" t="s">
        <v>622</v>
      </c>
    </row>
    <row r="18" spans="1:31" x14ac:dyDescent="0.3">
      <c r="A18" s="37">
        <f ca="1">DAYS360(INDIRECT(A211&amp;ROW()),TODAY())</f>
        <v>622</v>
      </c>
      <c r="B18" s="37">
        <f ca="1">DAYS360(INDIRECT(A210&amp;ROW()),TODAY())</f>
        <v>642</v>
      </c>
      <c r="C18" s="47">
        <v>68530</v>
      </c>
      <c r="D18" s="47" t="s">
        <v>338</v>
      </c>
      <c r="E18" s="47" t="s">
        <v>668</v>
      </c>
      <c r="F18" s="47" t="s">
        <v>11</v>
      </c>
      <c r="G18" s="47" t="s">
        <v>569</v>
      </c>
      <c r="H18" s="47" t="s">
        <v>81</v>
      </c>
      <c r="I18" s="47"/>
      <c r="J18" s="48">
        <v>42271.676782407405</v>
      </c>
      <c r="K18" s="47" t="s">
        <v>20</v>
      </c>
      <c r="L18" s="47" t="s">
        <v>80</v>
      </c>
      <c r="M18" s="48">
        <v>42251.019826388889</v>
      </c>
      <c r="N18" s="47" t="s">
        <v>22</v>
      </c>
      <c r="O18" s="47"/>
      <c r="P18" s="47"/>
      <c r="Q18" s="47" t="s">
        <v>6</v>
      </c>
      <c r="R18" s="47" t="s">
        <v>30</v>
      </c>
      <c r="S18" s="47" t="s">
        <v>8</v>
      </c>
      <c r="T18" s="47" t="s">
        <v>38</v>
      </c>
      <c r="U18" s="47"/>
      <c r="V18" s="47" t="s">
        <v>7</v>
      </c>
      <c r="W18" s="47" t="s">
        <v>10</v>
      </c>
      <c r="X18" s="47" t="s">
        <v>7</v>
      </c>
      <c r="Y18" s="47" t="s">
        <v>114</v>
      </c>
      <c r="Z18" s="47" t="s">
        <v>7</v>
      </c>
      <c r="AA18" s="47" t="s">
        <v>7</v>
      </c>
      <c r="AB18" s="47" t="s">
        <v>7</v>
      </c>
      <c r="AC18" s="47" t="s">
        <v>7</v>
      </c>
      <c r="AD18" s="47" t="s">
        <v>7</v>
      </c>
      <c r="AE18" s="47" t="s">
        <v>7</v>
      </c>
    </row>
    <row r="19" spans="1:31" x14ac:dyDescent="0.3">
      <c r="A19" s="37">
        <f ca="1">DAYS360(INDIRECT(A211&amp;ROW()),TODAY())</f>
        <v>459</v>
      </c>
      <c r="B19" s="37">
        <f ca="1">DAYS360(INDIRECT(A210&amp;ROW()),TODAY())</f>
        <v>636</v>
      </c>
      <c r="C19" s="47">
        <v>68814</v>
      </c>
      <c r="D19" s="47" t="s">
        <v>374</v>
      </c>
      <c r="E19" s="47" t="s">
        <v>990</v>
      </c>
      <c r="F19" s="47" t="s">
        <v>11</v>
      </c>
      <c r="G19" s="47" t="s">
        <v>569</v>
      </c>
      <c r="H19" s="47" t="s">
        <v>81</v>
      </c>
      <c r="I19" s="47"/>
      <c r="J19" s="48">
        <v>42436.39203703704</v>
      </c>
      <c r="K19" s="47" t="s">
        <v>20</v>
      </c>
      <c r="L19" s="47" t="s">
        <v>80</v>
      </c>
      <c r="M19" s="48">
        <v>42257.014386574076</v>
      </c>
      <c r="N19" s="47" t="s">
        <v>56</v>
      </c>
      <c r="O19" s="47"/>
      <c r="P19" s="47"/>
      <c r="Q19" s="47" t="s">
        <v>6</v>
      </c>
      <c r="R19" s="47" t="s">
        <v>30</v>
      </c>
      <c r="S19" s="47" t="s">
        <v>13</v>
      </c>
      <c r="T19" s="47" t="s">
        <v>14</v>
      </c>
      <c r="U19" s="47"/>
      <c r="V19" s="47" t="s">
        <v>7</v>
      </c>
      <c r="W19" s="47" t="s">
        <v>10</v>
      </c>
      <c r="X19" s="47" t="s">
        <v>44</v>
      </c>
      <c r="Y19" s="47" t="s">
        <v>114</v>
      </c>
      <c r="Z19" s="47" t="s">
        <v>7</v>
      </c>
      <c r="AA19" s="47" t="s">
        <v>7</v>
      </c>
      <c r="AB19" s="47" t="s">
        <v>7</v>
      </c>
      <c r="AC19" s="47" t="s">
        <v>7</v>
      </c>
      <c r="AD19" s="47" t="s">
        <v>7</v>
      </c>
      <c r="AE19" s="47" t="s">
        <v>7</v>
      </c>
    </row>
    <row r="20" spans="1:31" x14ac:dyDescent="0.3">
      <c r="A20" s="37">
        <f ca="1">DAYS360(INDIRECT(A211&amp;ROW()),TODAY())</f>
        <v>518</v>
      </c>
      <c r="B20" s="37">
        <f ca="1">DAYS360(INDIRECT(A210&amp;ROW()),TODAY())</f>
        <v>636</v>
      </c>
      <c r="C20" s="47">
        <v>68851</v>
      </c>
      <c r="D20" s="47" t="s">
        <v>376</v>
      </c>
      <c r="E20" s="47" t="s">
        <v>991</v>
      </c>
      <c r="F20" s="47" t="s">
        <v>11</v>
      </c>
      <c r="G20" s="47" t="s">
        <v>569</v>
      </c>
      <c r="H20" s="47" t="s">
        <v>81</v>
      </c>
      <c r="I20" s="47"/>
      <c r="J20" s="48">
        <v>42377.462731481479</v>
      </c>
      <c r="K20" s="47" t="s">
        <v>20</v>
      </c>
      <c r="L20" s="47" t="s">
        <v>80</v>
      </c>
      <c r="M20" s="48">
        <v>42257.3278125</v>
      </c>
      <c r="N20" s="47" t="s">
        <v>56</v>
      </c>
      <c r="O20" s="47"/>
      <c r="P20" s="47"/>
      <c r="Q20" s="47" t="s">
        <v>6</v>
      </c>
      <c r="R20" s="47" t="s">
        <v>30</v>
      </c>
      <c r="S20" s="47" t="s">
        <v>8</v>
      </c>
      <c r="T20" s="47" t="s">
        <v>38</v>
      </c>
      <c r="U20" s="47"/>
      <c r="V20" s="47" t="s">
        <v>7</v>
      </c>
      <c r="W20" s="47" t="s">
        <v>10</v>
      </c>
      <c r="X20" s="47" t="s">
        <v>7</v>
      </c>
      <c r="Y20" s="47" t="s">
        <v>114</v>
      </c>
      <c r="Z20" s="47" t="s">
        <v>7</v>
      </c>
      <c r="AA20" s="47" t="s">
        <v>7</v>
      </c>
      <c r="AB20" s="47" t="s">
        <v>7</v>
      </c>
      <c r="AC20" s="47" t="s">
        <v>7</v>
      </c>
      <c r="AD20" s="47" t="s">
        <v>7</v>
      </c>
      <c r="AE20" s="47" t="s">
        <v>7</v>
      </c>
    </row>
    <row r="21" spans="1:31" x14ac:dyDescent="0.3">
      <c r="A21" s="37">
        <f ca="1">DAYS360(INDIRECT(A211&amp;ROW()),TODAY())</f>
        <v>480</v>
      </c>
      <c r="B21" s="37">
        <f ca="1">DAYS360(INDIRECT(A210&amp;ROW()),TODAY())</f>
        <v>636</v>
      </c>
      <c r="C21" s="47">
        <v>68861</v>
      </c>
      <c r="D21" s="47" t="s">
        <v>339</v>
      </c>
      <c r="E21" s="47" t="s">
        <v>670</v>
      </c>
      <c r="F21" s="47" t="s">
        <v>11</v>
      </c>
      <c r="G21" s="47" t="s">
        <v>569</v>
      </c>
      <c r="H21" s="47" t="s">
        <v>81</v>
      </c>
      <c r="I21" s="47" t="s">
        <v>671</v>
      </c>
      <c r="J21" s="48">
        <v>42416.596076388887</v>
      </c>
      <c r="K21" s="47" t="s">
        <v>20</v>
      </c>
      <c r="L21" s="47" t="s">
        <v>3</v>
      </c>
      <c r="M21" s="48">
        <v>42257.42087962963</v>
      </c>
      <c r="N21" s="47" t="s">
        <v>29</v>
      </c>
      <c r="O21" s="47"/>
      <c r="P21" s="47"/>
      <c r="Q21" s="47" t="s">
        <v>6</v>
      </c>
      <c r="R21" s="47" t="s">
        <v>30</v>
      </c>
      <c r="S21" s="47" t="s">
        <v>8</v>
      </c>
      <c r="T21" s="47" t="s">
        <v>122</v>
      </c>
      <c r="U21" s="47"/>
      <c r="V21" s="47" t="s">
        <v>7</v>
      </c>
      <c r="W21" s="47" t="s">
        <v>10</v>
      </c>
      <c r="X21" s="47" t="s">
        <v>7</v>
      </c>
      <c r="Y21" s="47" t="s">
        <v>114</v>
      </c>
      <c r="Z21" s="47" t="s">
        <v>7</v>
      </c>
      <c r="AA21" s="47" t="s">
        <v>7</v>
      </c>
      <c r="AB21" s="47" t="s">
        <v>7</v>
      </c>
      <c r="AC21" s="47" t="s">
        <v>7</v>
      </c>
      <c r="AD21" s="47" t="s">
        <v>7</v>
      </c>
      <c r="AE21" s="47" t="s">
        <v>7</v>
      </c>
    </row>
    <row r="22" spans="1:31" x14ac:dyDescent="0.3">
      <c r="A22" s="37">
        <f ca="1">DAYS360(INDIRECT(A211&amp;ROW()),TODAY())</f>
        <v>554</v>
      </c>
      <c r="B22" s="37">
        <f ca="1">DAYS360(INDIRECT(A210&amp;ROW()),TODAY())</f>
        <v>635</v>
      </c>
      <c r="C22" s="47">
        <v>68929</v>
      </c>
      <c r="D22" s="47" t="s">
        <v>376</v>
      </c>
      <c r="E22" s="47" t="s">
        <v>672</v>
      </c>
      <c r="F22" s="47" t="s">
        <v>11</v>
      </c>
      <c r="G22" s="47" t="s">
        <v>569</v>
      </c>
      <c r="H22" s="47" t="s">
        <v>81</v>
      </c>
      <c r="I22" s="47"/>
      <c r="J22" s="48">
        <v>42340.115428240744</v>
      </c>
      <c r="K22" s="47" t="s">
        <v>159</v>
      </c>
      <c r="L22" s="47" t="s">
        <v>80</v>
      </c>
      <c r="M22" s="48">
        <v>42258.549062500002</v>
      </c>
      <c r="N22" s="47" t="s">
        <v>56</v>
      </c>
      <c r="O22" s="47"/>
      <c r="P22" s="47"/>
      <c r="Q22" s="47" t="s">
        <v>6</v>
      </c>
      <c r="R22" s="47" t="s">
        <v>30</v>
      </c>
      <c r="S22" s="47" t="s">
        <v>13</v>
      </c>
      <c r="T22" s="47" t="s">
        <v>19</v>
      </c>
      <c r="U22" s="47"/>
      <c r="V22" s="47" t="s">
        <v>7</v>
      </c>
      <c r="W22" s="47" t="s">
        <v>10</v>
      </c>
      <c r="X22" s="47" t="s">
        <v>7</v>
      </c>
      <c r="Y22" s="47" t="s">
        <v>114</v>
      </c>
      <c r="Z22" s="47" t="s">
        <v>7</v>
      </c>
      <c r="AA22" s="47" t="s">
        <v>7</v>
      </c>
      <c r="AB22" s="47" t="s">
        <v>7</v>
      </c>
      <c r="AC22" s="47" t="s">
        <v>7</v>
      </c>
      <c r="AD22" s="47" t="s">
        <v>7</v>
      </c>
      <c r="AE22" s="47" t="s">
        <v>7</v>
      </c>
    </row>
    <row r="23" spans="1:31" x14ac:dyDescent="0.3">
      <c r="A23" s="37">
        <f ca="1">DAYS360(INDIRECT(A211&amp;ROW()),TODAY())</f>
        <v>463</v>
      </c>
      <c r="B23" s="37">
        <f ca="1">DAYS360(INDIRECT(A210&amp;ROW()),TODAY())</f>
        <v>631</v>
      </c>
      <c r="C23" s="47">
        <v>69064</v>
      </c>
      <c r="D23" s="47" t="s">
        <v>376</v>
      </c>
      <c r="E23" s="47" t="s">
        <v>673</v>
      </c>
      <c r="F23" s="47" t="s">
        <v>11</v>
      </c>
      <c r="G23" s="47" t="s">
        <v>569</v>
      </c>
      <c r="H23" s="47" t="s">
        <v>81</v>
      </c>
      <c r="I23" s="47"/>
      <c r="J23" s="48">
        <v>42432.616898148146</v>
      </c>
      <c r="K23" s="47" t="s">
        <v>20</v>
      </c>
      <c r="L23" s="47" t="s">
        <v>80</v>
      </c>
      <c r="M23" s="48">
        <v>42262.233020833337</v>
      </c>
      <c r="N23" s="47" t="s">
        <v>22</v>
      </c>
      <c r="O23" s="47"/>
      <c r="P23" s="47"/>
      <c r="Q23" s="47" t="s">
        <v>6</v>
      </c>
      <c r="R23" s="47" t="s">
        <v>30</v>
      </c>
      <c r="S23" s="47" t="s">
        <v>13</v>
      </c>
      <c r="T23" s="47" t="s">
        <v>19</v>
      </c>
      <c r="U23" s="47"/>
      <c r="V23" s="47" t="s">
        <v>7</v>
      </c>
      <c r="W23" s="47" t="s">
        <v>26</v>
      </c>
      <c r="X23" s="47" t="s">
        <v>7</v>
      </c>
      <c r="Y23" s="47" t="s">
        <v>114</v>
      </c>
      <c r="Z23" s="47" t="s">
        <v>7</v>
      </c>
      <c r="AA23" s="47" t="s">
        <v>7</v>
      </c>
      <c r="AB23" s="47" t="s">
        <v>7</v>
      </c>
      <c r="AC23" s="47" t="s">
        <v>7</v>
      </c>
      <c r="AD23" s="47" t="s">
        <v>7</v>
      </c>
      <c r="AE23" s="47" t="s">
        <v>7</v>
      </c>
    </row>
    <row r="24" spans="1:31" x14ac:dyDescent="0.3">
      <c r="A24" s="37">
        <f ca="1">DAYS360(INDIRECT(A211&amp;ROW()),TODAY())</f>
        <v>624</v>
      </c>
      <c r="B24" s="37">
        <f ca="1">DAYS360(INDIRECT(A210&amp;ROW()),TODAY())</f>
        <v>629</v>
      </c>
      <c r="C24" s="47">
        <v>69247</v>
      </c>
      <c r="D24" s="47" t="s">
        <v>332</v>
      </c>
      <c r="E24" s="47" t="s">
        <v>674</v>
      </c>
      <c r="F24" s="47" t="s">
        <v>146</v>
      </c>
      <c r="G24" s="47" t="s">
        <v>569</v>
      </c>
      <c r="H24" s="47" t="s">
        <v>81</v>
      </c>
      <c r="I24" s="47"/>
      <c r="J24" s="48">
        <v>42269.386180555557</v>
      </c>
      <c r="K24" s="47" t="s">
        <v>20</v>
      </c>
      <c r="L24" s="47" t="s">
        <v>48</v>
      </c>
      <c r="M24" s="48">
        <v>42264.520590277774</v>
      </c>
      <c r="N24" s="47" t="s">
        <v>50</v>
      </c>
      <c r="O24" s="47"/>
      <c r="P24" s="47"/>
      <c r="Q24" s="47" t="s">
        <v>17</v>
      </c>
      <c r="R24" s="47" t="s">
        <v>30</v>
      </c>
      <c r="S24" s="47" t="s">
        <v>24</v>
      </c>
      <c r="T24" s="47" t="s">
        <v>46</v>
      </c>
      <c r="U24" s="47"/>
      <c r="V24" s="47" t="s">
        <v>7</v>
      </c>
      <c r="W24" s="47" t="s">
        <v>10</v>
      </c>
      <c r="X24" s="47" t="s">
        <v>7</v>
      </c>
      <c r="Y24" s="47" t="s">
        <v>114</v>
      </c>
      <c r="Z24" s="47" t="s">
        <v>7</v>
      </c>
      <c r="AA24" s="47" t="s">
        <v>7</v>
      </c>
      <c r="AB24" s="47" t="s">
        <v>7</v>
      </c>
      <c r="AC24" s="47" t="s">
        <v>7</v>
      </c>
      <c r="AD24" s="47" t="s">
        <v>7</v>
      </c>
      <c r="AE24" s="47" t="s">
        <v>7</v>
      </c>
    </row>
    <row r="25" spans="1:31" x14ac:dyDescent="0.3">
      <c r="A25" s="37">
        <f ca="1">DAYS360(INDIRECT(A211&amp;ROW()),TODAY())</f>
        <v>486</v>
      </c>
      <c r="B25" s="37">
        <f ca="1">DAYS360(INDIRECT(A210&amp;ROW()),TODAY())</f>
        <v>623</v>
      </c>
      <c r="C25" s="47">
        <v>69630</v>
      </c>
      <c r="D25" s="47" t="s">
        <v>337</v>
      </c>
      <c r="E25" s="47" t="s">
        <v>675</v>
      </c>
      <c r="F25" s="47" t="s">
        <v>146</v>
      </c>
      <c r="G25" s="47" t="s">
        <v>569</v>
      </c>
      <c r="H25" s="47" t="s">
        <v>81</v>
      </c>
      <c r="I25" s="47"/>
      <c r="J25" s="48">
        <v>42410.578506944446</v>
      </c>
      <c r="K25" s="47" t="s">
        <v>20</v>
      </c>
      <c r="L25" s="47" t="s">
        <v>48</v>
      </c>
      <c r="M25" s="48">
        <v>42270.52034722222</v>
      </c>
      <c r="N25" s="47" t="s">
        <v>5</v>
      </c>
      <c r="O25" s="47"/>
      <c r="P25" s="47"/>
      <c r="Q25" s="47" t="s">
        <v>17</v>
      </c>
      <c r="R25" s="47" t="s">
        <v>30</v>
      </c>
      <c r="S25" s="47" t="s">
        <v>8</v>
      </c>
      <c r="T25" s="47" t="s">
        <v>38</v>
      </c>
      <c r="U25" s="47"/>
      <c r="V25" s="47" t="s">
        <v>7</v>
      </c>
      <c r="W25" s="47" t="s">
        <v>10</v>
      </c>
      <c r="X25" s="47" t="s">
        <v>7</v>
      </c>
      <c r="Y25" s="47" t="s">
        <v>114</v>
      </c>
      <c r="Z25" s="47" t="s">
        <v>7</v>
      </c>
      <c r="AA25" s="47" t="s">
        <v>7</v>
      </c>
      <c r="AB25" s="47" t="s">
        <v>7</v>
      </c>
      <c r="AC25" s="47" t="s">
        <v>7</v>
      </c>
      <c r="AD25" s="47" t="s">
        <v>7</v>
      </c>
      <c r="AE25" s="47" t="s">
        <v>7</v>
      </c>
    </row>
    <row r="26" spans="1:31" x14ac:dyDescent="0.3">
      <c r="A26" s="37">
        <f ca="1">DAYS360(INDIRECT(A211&amp;ROW()),TODAY())</f>
        <v>622</v>
      </c>
      <c r="B26" s="37">
        <f ca="1">DAYS360(INDIRECT(A210&amp;ROW()),TODAY())</f>
        <v>622</v>
      </c>
      <c r="C26" s="47">
        <v>69729</v>
      </c>
      <c r="D26" s="47" t="s">
        <v>332</v>
      </c>
      <c r="E26" s="47" t="s">
        <v>676</v>
      </c>
      <c r="F26" s="47" t="s">
        <v>11</v>
      </c>
      <c r="G26" s="47" t="s">
        <v>569</v>
      </c>
      <c r="H26" s="47" t="s">
        <v>81</v>
      </c>
      <c r="I26" s="47"/>
      <c r="J26" s="48">
        <v>42271.431446759256</v>
      </c>
      <c r="K26" s="47" t="s">
        <v>20</v>
      </c>
      <c r="L26" s="47" t="s">
        <v>48</v>
      </c>
      <c r="M26" s="48">
        <v>42271.431446759256</v>
      </c>
      <c r="N26" s="47" t="s">
        <v>315</v>
      </c>
      <c r="O26" s="47"/>
      <c r="P26" s="47"/>
      <c r="Q26" s="47" t="s">
        <v>6</v>
      </c>
      <c r="R26" s="47" t="s">
        <v>30</v>
      </c>
      <c r="S26" s="47" t="s">
        <v>24</v>
      </c>
      <c r="T26" s="47" t="s">
        <v>46</v>
      </c>
      <c r="U26" s="47"/>
      <c r="V26" s="47" t="s">
        <v>7</v>
      </c>
      <c r="W26" s="47" t="s">
        <v>10</v>
      </c>
      <c r="X26" s="47" t="s">
        <v>7</v>
      </c>
      <c r="Y26" s="47" t="s">
        <v>114</v>
      </c>
      <c r="Z26" s="47" t="s">
        <v>7</v>
      </c>
      <c r="AA26" s="47" t="s">
        <v>7</v>
      </c>
      <c r="AB26" s="47" t="s">
        <v>7</v>
      </c>
      <c r="AC26" s="47" t="s">
        <v>7</v>
      </c>
      <c r="AD26" s="47" t="s">
        <v>7</v>
      </c>
      <c r="AE26" s="47" t="s">
        <v>7</v>
      </c>
    </row>
    <row r="27" spans="1:31" x14ac:dyDescent="0.3">
      <c r="A27" s="37">
        <f ca="1">DAYS360(INDIRECT(A211&amp;ROW()),TODAY())</f>
        <v>610</v>
      </c>
      <c r="B27" s="37">
        <f ca="1">DAYS360(INDIRECT(A210&amp;ROW()),TODAY())</f>
        <v>610</v>
      </c>
      <c r="C27" s="47">
        <v>70319</v>
      </c>
      <c r="D27" s="47" t="s">
        <v>343</v>
      </c>
      <c r="E27" s="47" t="s">
        <v>677</v>
      </c>
      <c r="F27" s="47" t="s">
        <v>146</v>
      </c>
      <c r="G27" s="47" t="s">
        <v>569</v>
      </c>
      <c r="H27" s="47" t="s">
        <v>81</v>
      </c>
      <c r="I27" s="47"/>
      <c r="J27" s="48">
        <v>42283.020601851851</v>
      </c>
      <c r="K27" s="47" t="s">
        <v>20</v>
      </c>
      <c r="L27" s="47" t="s">
        <v>80</v>
      </c>
      <c r="M27" s="48">
        <v>42283.020601851851</v>
      </c>
      <c r="N27" s="47" t="s">
        <v>40</v>
      </c>
      <c r="O27" s="47"/>
      <c r="P27" s="47"/>
      <c r="Q27" s="47" t="s">
        <v>17</v>
      </c>
      <c r="R27" s="47" t="s">
        <v>30</v>
      </c>
      <c r="S27" s="47" t="s">
        <v>24</v>
      </c>
      <c r="T27" s="47" t="s">
        <v>47</v>
      </c>
      <c r="U27" s="47"/>
      <c r="V27" s="47" t="s">
        <v>7</v>
      </c>
      <c r="W27" s="47" t="s">
        <v>10</v>
      </c>
      <c r="X27" s="47" t="s">
        <v>7</v>
      </c>
      <c r="Y27" s="47" t="s">
        <v>114</v>
      </c>
      <c r="Z27" s="47" t="s">
        <v>7</v>
      </c>
      <c r="AA27" s="47" t="s">
        <v>7</v>
      </c>
      <c r="AB27" s="47" t="s">
        <v>7</v>
      </c>
      <c r="AC27" s="47" t="s">
        <v>7</v>
      </c>
      <c r="AD27" s="47" t="s">
        <v>7</v>
      </c>
      <c r="AE27" s="47" t="s">
        <v>7</v>
      </c>
    </row>
    <row r="28" spans="1:31" x14ac:dyDescent="0.3">
      <c r="A28" s="37">
        <f ca="1">DAYS360(INDIRECT(A211&amp;ROW()),TODAY())</f>
        <v>492</v>
      </c>
      <c r="B28" s="37">
        <f ca="1">DAYS360(INDIRECT(A210&amp;ROW()),TODAY())</f>
        <v>609</v>
      </c>
      <c r="C28" s="47">
        <v>70473</v>
      </c>
      <c r="D28" s="47" t="s">
        <v>332</v>
      </c>
      <c r="E28" s="47" t="s">
        <v>678</v>
      </c>
      <c r="F28" s="47" t="s">
        <v>11</v>
      </c>
      <c r="G28" s="47" t="s">
        <v>569</v>
      </c>
      <c r="H28" s="47" t="s">
        <v>81</v>
      </c>
      <c r="I28" s="47"/>
      <c r="J28" s="48">
        <v>42404.593217592592</v>
      </c>
      <c r="K28" s="47" t="s">
        <v>159</v>
      </c>
      <c r="L28" s="47" t="s">
        <v>80</v>
      </c>
      <c r="M28" s="48">
        <v>42284.522210648145</v>
      </c>
      <c r="N28" s="47" t="s">
        <v>5</v>
      </c>
      <c r="O28" s="47"/>
      <c r="P28" s="47"/>
      <c r="Q28" s="47" t="s">
        <v>6</v>
      </c>
      <c r="R28" s="47" t="s">
        <v>30</v>
      </c>
      <c r="S28" s="47" t="s">
        <v>24</v>
      </c>
      <c r="T28" s="47" t="s">
        <v>47</v>
      </c>
      <c r="U28" s="47"/>
      <c r="V28" s="47" t="s">
        <v>7</v>
      </c>
      <c r="W28" s="47" t="s">
        <v>10</v>
      </c>
      <c r="X28" s="47" t="s">
        <v>7</v>
      </c>
      <c r="Y28" s="47" t="s">
        <v>114</v>
      </c>
      <c r="Z28" s="47" t="s">
        <v>7</v>
      </c>
      <c r="AA28" s="47" t="s">
        <v>7</v>
      </c>
      <c r="AB28" s="47" t="s">
        <v>7</v>
      </c>
      <c r="AC28" s="47" t="s">
        <v>7</v>
      </c>
      <c r="AD28" s="47" t="s">
        <v>7</v>
      </c>
      <c r="AE28" s="47" t="s">
        <v>7</v>
      </c>
    </row>
    <row r="29" spans="1:31" x14ac:dyDescent="0.3">
      <c r="A29" s="37">
        <f ca="1">DAYS360(INDIRECT(A211&amp;ROW()),TODAY())</f>
        <v>601</v>
      </c>
      <c r="B29" s="37">
        <f ca="1">DAYS360(INDIRECT(A210&amp;ROW()),TODAY())</f>
        <v>601</v>
      </c>
      <c r="C29" s="47">
        <v>70932</v>
      </c>
      <c r="D29" s="47" t="s">
        <v>342</v>
      </c>
      <c r="E29" s="47" t="s">
        <v>679</v>
      </c>
      <c r="F29" s="47" t="s">
        <v>11</v>
      </c>
      <c r="G29" s="47" t="s">
        <v>569</v>
      </c>
      <c r="H29" s="47" t="s">
        <v>81</v>
      </c>
      <c r="I29" s="47"/>
      <c r="J29" s="48">
        <v>42292.337534722225</v>
      </c>
      <c r="K29" s="47" t="s">
        <v>20</v>
      </c>
      <c r="L29" s="47" t="s">
        <v>80</v>
      </c>
      <c r="M29" s="48">
        <v>42292.337534722225</v>
      </c>
      <c r="N29" s="47" t="s">
        <v>16</v>
      </c>
      <c r="O29" s="47"/>
      <c r="P29" s="47"/>
      <c r="Q29" s="47" t="s">
        <v>6</v>
      </c>
      <c r="R29" s="47" t="s">
        <v>30</v>
      </c>
      <c r="S29" s="47" t="s">
        <v>8</v>
      </c>
      <c r="T29" s="47" t="s">
        <v>153</v>
      </c>
      <c r="U29" s="47"/>
      <c r="V29" s="47" t="s">
        <v>7</v>
      </c>
      <c r="W29" s="47" t="s">
        <v>10</v>
      </c>
      <c r="X29" s="47" t="s">
        <v>7</v>
      </c>
      <c r="Y29" s="47" t="s">
        <v>114</v>
      </c>
      <c r="Z29" s="47" t="s">
        <v>7</v>
      </c>
      <c r="AA29" s="47" t="s">
        <v>7</v>
      </c>
      <c r="AB29" s="47" t="s">
        <v>7</v>
      </c>
      <c r="AC29" s="47" t="s">
        <v>7</v>
      </c>
      <c r="AD29" s="47" t="s">
        <v>7</v>
      </c>
      <c r="AE29" s="47" t="s">
        <v>7</v>
      </c>
    </row>
    <row r="30" spans="1:31" x14ac:dyDescent="0.3">
      <c r="A30" s="37">
        <f ca="1">DAYS360(INDIRECT(A211&amp;ROW()),TODAY())</f>
        <v>466</v>
      </c>
      <c r="B30" s="37">
        <f ca="1">DAYS360(INDIRECT(A210&amp;ROW()),TODAY())</f>
        <v>600</v>
      </c>
      <c r="C30" s="47">
        <v>71034</v>
      </c>
      <c r="D30" s="47" t="s">
        <v>337</v>
      </c>
      <c r="E30" s="47" t="s">
        <v>680</v>
      </c>
      <c r="F30" s="47" t="s">
        <v>146</v>
      </c>
      <c r="G30" s="47" t="s">
        <v>569</v>
      </c>
      <c r="H30" s="47" t="s">
        <v>81</v>
      </c>
      <c r="I30" s="47"/>
      <c r="J30" s="48">
        <v>42429.631319444445</v>
      </c>
      <c r="K30" s="47" t="s">
        <v>20</v>
      </c>
      <c r="L30" s="47" t="s">
        <v>48</v>
      </c>
      <c r="M30" s="48">
        <v>42293.521006944444</v>
      </c>
      <c r="N30" s="47" t="s">
        <v>84</v>
      </c>
      <c r="O30" s="47"/>
      <c r="P30" s="47"/>
      <c r="Q30" s="47" t="s">
        <v>17</v>
      </c>
      <c r="R30" s="47" t="s">
        <v>30</v>
      </c>
      <c r="S30" s="47" t="s">
        <v>13</v>
      </c>
      <c r="T30" s="47" t="s">
        <v>19</v>
      </c>
      <c r="U30" s="47"/>
      <c r="V30" s="47" t="s">
        <v>7</v>
      </c>
      <c r="W30" s="47" t="s">
        <v>10</v>
      </c>
      <c r="X30" s="47" t="s">
        <v>7</v>
      </c>
      <c r="Y30" s="47" t="s">
        <v>114</v>
      </c>
      <c r="Z30" s="47" t="s">
        <v>7</v>
      </c>
      <c r="AA30" s="47" t="s">
        <v>7</v>
      </c>
      <c r="AB30" s="47" t="s">
        <v>7</v>
      </c>
      <c r="AC30" s="47" t="s">
        <v>7</v>
      </c>
      <c r="AD30" s="47" t="s">
        <v>7</v>
      </c>
      <c r="AE30" s="47" t="s">
        <v>7</v>
      </c>
    </row>
    <row r="31" spans="1:31" x14ac:dyDescent="0.3">
      <c r="A31" s="37">
        <f ca="1">DAYS360(INDIRECT(A211&amp;ROW()),TODAY())</f>
        <v>518</v>
      </c>
      <c r="B31" s="37">
        <f ca="1">DAYS360(INDIRECT(A210&amp;ROW()),TODAY())</f>
        <v>596</v>
      </c>
      <c r="C31" s="47">
        <v>71221</v>
      </c>
      <c r="D31" s="47" t="s">
        <v>343</v>
      </c>
      <c r="E31" s="47" t="s">
        <v>681</v>
      </c>
      <c r="F31" s="47" t="s">
        <v>146</v>
      </c>
      <c r="G31" s="47" t="s">
        <v>569</v>
      </c>
      <c r="H31" s="47" t="s">
        <v>81</v>
      </c>
      <c r="I31" s="47"/>
      <c r="J31" s="48">
        <v>42377.458865740744</v>
      </c>
      <c r="K31" s="47" t="s">
        <v>20</v>
      </c>
      <c r="L31" s="47" t="s">
        <v>48</v>
      </c>
      <c r="M31" s="48">
        <v>42297.021203703705</v>
      </c>
      <c r="N31" s="47" t="s">
        <v>43</v>
      </c>
      <c r="O31" s="47"/>
      <c r="P31" s="47"/>
      <c r="Q31" s="47" t="s">
        <v>17</v>
      </c>
      <c r="R31" s="47" t="s">
        <v>30</v>
      </c>
      <c r="S31" s="47" t="s">
        <v>24</v>
      </c>
      <c r="T31" s="47" t="s">
        <v>46</v>
      </c>
      <c r="U31" s="47"/>
      <c r="V31" s="47" t="s">
        <v>7</v>
      </c>
      <c r="W31" s="47" t="s">
        <v>10</v>
      </c>
      <c r="X31" s="47" t="s">
        <v>7</v>
      </c>
      <c r="Y31" s="47" t="s">
        <v>114</v>
      </c>
      <c r="Z31" s="47" t="s">
        <v>7</v>
      </c>
      <c r="AA31" s="47" t="s">
        <v>7</v>
      </c>
      <c r="AB31" s="47" t="s">
        <v>7</v>
      </c>
      <c r="AC31" s="47" t="s">
        <v>7</v>
      </c>
      <c r="AD31" s="47" t="s">
        <v>7</v>
      </c>
      <c r="AE31" s="47" t="s">
        <v>7</v>
      </c>
    </row>
    <row r="32" spans="1:31" x14ac:dyDescent="0.3">
      <c r="A32" s="37">
        <f ca="1">DAYS360(INDIRECT(A211&amp;ROW()),TODAY())</f>
        <v>471</v>
      </c>
      <c r="B32" s="37">
        <f ca="1">DAYS360(INDIRECT(A210&amp;ROW()),TODAY())</f>
        <v>587</v>
      </c>
      <c r="C32" s="47">
        <v>71817</v>
      </c>
      <c r="D32" s="47" t="s">
        <v>331</v>
      </c>
      <c r="E32" s="47" t="s">
        <v>683</v>
      </c>
      <c r="F32" s="47" t="s">
        <v>11</v>
      </c>
      <c r="G32" s="47" t="s">
        <v>569</v>
      </c>
      <c r="H32" s="47" t="s">
        <v>81</v>
      </c>
      <c r="I32" s="47"/>
      <c r="J32" s="48">
        <v>42425.394097222219</v>
      </c>
      <c r="K32" s="47" t="s">
        <v>20</v>
      </c>
      <c r="L32" s="47" t="s">
        <v>48</v>
      </c>
      <c r="M32" s="48">
        <v>42306.521180555559</v>
      </c>
      <c r="N32" s="47" t="s">
        <v>5</v>
      </c>
      <c r="O32" s="47"/>
      <c r="P32" s="47"/>
      <c r="Q32" s="47" t="s">
        <v>6</v>
      </c>
      <c r="R32" s="47" t="s">
        <v>30</v>
      </c>
      <c r="S32" s="47" t="s">
        <v>13</v>
      </c>
      <c r="T32" s="47" t="s">
        <v>19</v>
      </c>
      <c r="U32" s="47"/>
      <c r="V32" s="47" t="s">
        <v>7</v>
      </c>
      <c r="W32" s="47" t="s">
        <v>10</v>
      </c>
      <c r="X32" s="47" t="s">
        <v>7</v>
      </c>
      <c r="Y32" s="47" t="s">
        <v>114</v>
      </c>
      <c r="Z32" s="47" t="s">
        <v>7</v>
      </c>
      <c r="AA32" s="47" t="s">
        <v>7</v>
      </c>
      <c r="AB32" s="47" t="s">
        <v>7</v>
      </c>
      <c r="AC32" s="47" t="s">
        <v>7</v>
      </c>
      <c r="AD32" s="47" t="s">
        <v>7</v>
      </c>
      <c r="AE32" s="47" t="s">
        <v>7</v>
      </c>
    </row>
    <row r="33" spans="1:31" x14ac:dyDescent="0.3">
      <c r="A33" s="37">
        <f ca="1">DAYS360(INDIRECT(A211&amp;ROW()),TODAY())</f>
        <v>486</v>
      </c>
      <c r="B33" s="37">
        <f ca="1">DAYS360(INDIRECT(A210&amp;ROW()),TODAY())</f>
        <v>586</v>
      </c>
      <c r="C33" s="47">
        <v>71841</v>
      </c>
      <c r="D33" s="47" t="s">
        <v>332</v>
      </c>
      <c r="E33" s="47" t="s">
        <v>684</v>
      </c>
      <c r="F33" s="47" t="s">
        <v>11</v>
      </c>
      <c r="G33" s="47" t="s">
        <v>569</v>
      </c>
      <c r="H33" s="47" t="s">
        <v>81</v>
      </c>
      <c r="I33" s="47"/>
      <c r="J33" s="48">
        <v>42410.467268518521</v>
      </c>
      <c r="K33" s="47" t="s">
        <v>20</v>
      </c>
      <c r="L33" s="47" t="s">
        <v>48</v>
      </c>
      <c r="M33" s="48">
        <v>42307.021319444444</v>
      </c>
      <c r="N33" s="47" t="s">
        <v>5</v>
      </c>
      <c r="O33" s="47"/>
      <c r="P33" s="47"/>
      <c r="Q33" s="47" t="s">
        <v>6</v>
      </c>
      <c r="R33" s="47" t="s">
        <v>30</v>
      </c>
      <c r="S33" s="47" t="s">
        <v>24</v>
      </c>
      <c r="T33" s="47" t="s">
        <v>47</v>
      </c>
      <c r="U33" s="47"/>
      <c r="V33" s="47" t="s">
        <v>7</v>
      </c>
      <c r="W33" s="47" t="s">
        <v>10</v>
      </c>
      <c r="X33" s="47" t="s">
        <v>7</v>
      </c>
      <c r="Y33" s="47" t="s">
        <v>114</v>
      </c>
      <c r="Z33" s="47" t="s">
        <v>7</v>
      </c>
      <c r="AA33" s="47" t="s">
        <v>7</v>
      </c>
      <c r="AB33" s="47" t="s">
        <v>7</v>
      </c>
      <c r="AC33" s="47" t="s">
        <v>7</v>
      </c>
      <c r="AD33" s="47" t="s">
        <v>7</v>
      </c>
      <c r="AE33" s="47" t="s">
        <v>7</v>
      </c>
    </row>
    <row r="34" spans="1:31" x14ac:dyDescent="0.3">
      <c r="A34" s="37">
        <f ca="1">DAYS360(INDIRECT(A211&amp;ROW()),TODAY())</f>
        <v>444</v>
      </c>
      <c r="B34" s="37">
        <f ca="1">DAYS360(INDIRECT(A210&amp;ROW()),TODAY())</f>
        <v>576</v>
      </c>
      <c r="C34" s="47">
        <v>72428</v>
      </c>
      <c r="D34" s="47" t="s">
        <v>596</v>
      </c>
      <c r="E34" s="47" t="s">
        <v>685</v>
      </c>
      <c r="F34" s="47" t="s">
        <v>11</v>
      </c>
      <c r="G34" s="47" t="s">
        <v>569</v>
      </c>
      <c r="H34" s="47" t="s">
        <v>81</v>
      </c>
      <c r="I34" s="47"/>
      <c r="J34" s="48">
        <v>42451.091238425928</v>
      </c>
      <c r="K34" s="47" t="s">
        <v>20</v>
      </c>
      <c r="L34" s="47" t="s">
        <v>48</v>
      </c>
      <c r="M34" s="48">
        <v>42318.521377314813</v>
      </c>
      <c r="N34" s="47" t="s">
        <v>50</v>
      </c>
      <c r="O34" s="47"/>
      <c r="P34" s="47"/>
      <c r="Q34" s="47" t="s">
        <v>6</v>
      </c>
      <c r="R34" s="47" t="s">
        <v>30</v>
      </c>
      <c r="S34" s="47" t="s">
        <v>13</v>
      </c>
      <c r="T34" s="47" t="s">
        <v>19</v>
      </c>
      <c r="U34" s="47"/>
      <c r="V34" s="47" t="s">
        <v>7</v>
      </c>
      <c r="W34" s="47" t="s">
        <v>10</v>
      </c>
      <c r="X34" s="47" t="s">
        <v>7</v>
      </c>
      <c r="Y34" s="47" t="s">
        <v>114</v>
      </c>
      <c r="Z34" s="47" t="s">
        <v>7</v>
      </c>
      <c r="AA34" s="47" t="s">
        <v>7</v>
      </c>
      <c r="AB34" s="47" t="s">
        <v>7</v>
      </c>
      <c r="AC34" s="47" t="s">
        <v>7</v>
      </c>
      <c r="AD34" s="47" t="s">
        <v>7</v>
      </c>
      <c r="AE34" s="47" t="s">
        <v>7</v>
      </c>
    </row>
    <row r="35" spans="1:31" x14ac:dyDescent="0.3">
      <c r="A35" s="37">
        <f ca="1">DAYS360(INDIRECT(A211&amp;ROW()),TODAY())</f>
        <v>567</v>
      </c>
      <c r="B35" s="37">
        <f ca="1">DAYS360(INDIRECT(A210&amp;ROW()),TODAY())</f>
        <v>574</v>
      </c>
      <c r="C35" s="47">
        <v>72598</v>
      </c>
      <c r="D35" s="47" t="s">
        <v>376</v>
      </c>
      <c r="E35" s="47" t="s">
        <v>686</v>
      </c>
      <c r="F35" s="47" t="s">
        <v>11</v>
      </c>
      <c r="G35" s="47" t="s">
        <v>569</v>
      </c>
      <c r="H35" s="47" t="s">
        <v>81</v>
      </c>
      <c r="I35" s="47"/>
      <c r="J35" s="48">
        <v>42327.473229166666</v>
      </c>
      <c r="K35" s="47" t="s">
        <v>20</v>
      </c>
      <c r="L35" s="47" t="s">
        <v>48</v>
      </c>
      <c r="M35" s="48">
        <v>42320.521365740744</v>
      </c>
      <c r="N35" s="47" t="s">
        <v>56</v>
      </c>
      <c r="O35" s="47"/>
      <c r="P35" s="47"/>
      <c r="Q35" s="47" t="s">
        <v>6</v>
      </c>
      <c r="R35" s="47" t="s">
        <v>30</v>
      </c>
      <c r="S35" s="47" t="s">
        <v>13</v>
      </c>
      <c r="T35" s="47" t="s">
        <v>19</v>
      </c>
      <c r="U35" s="47"/>
      <c r="V35" s="47" t="s">
        <v>7</v>
      </c>
      <c r="W35" s="47" t="s">
        <v>10</v>
      </c>
      <c r="X35" s="47" t="s">
        <v>7</v>
      </c>
      <c r="Y35" s="47" t="s">
        <v>114</v>
      </c>
      <c r="Z35" s="47" t="s">
        <v>7</v>
      </c>
      <c r="AA35" s="47" t="s">
        <v>7</v>
      </c>
      <c r="AB35" s="47" t="s">
        <v>7</v>
      </c>
      <c r="AC35" s="47" t="s">
        <v>7</v>
      </c>
      <c r="AD35" s="47" t="s">
        <v>7</v>
      </c>
      <c r="AE35" s="47" t="s">
        <v>7</v>
      </c>
    </row>
    <row r="36" spans="1:31" x14ac:dyDescent="0.3">
      <c r="A36" s="37">
        <f ca="1">DAYS360(INDIRECT(A211&amp;ROW()),TODAY())</f>
        <v>569</v>
      </c>
      <c r="B36" s="37">
        <f ca="1">DAYS360(INDIRECT(A210&amp;ROW()),TODAY())</f>
        <v>569</v>
      </c>
      <c r="C36" s="47">
        <v>72857</v>
      </c>
      <c r="D36" s="47" t="s">
        <v>332</v>
      </c>
      <c r="E36" s="47" t="s">
        <v>688</v>
      </c>
      <c r="F36" s="47" t="s">
        <v>11</v>
      </c>
      <c r="G36" s="47" t="s">
        <v>569</v>
      </c>
      <c r="H36" s="47" t="s">
        <v>81</v>
      </c>
      <c r="I36" s="47"/>
      <c r="J36" s="48">
        <v>42325.658101851855</v>
      </c>
      <c r="K36" s="47" t="s">
        <v>20</v>
      </c>
      <c r="L36" s="47" t="s">
        <v>569</v>
      </c>
      <c r="M36" s="48">
        <v>42325.522847222222</v>
      </c>
      <c r="N36" s="47" t="s">
        <v>5</v>
      </c>
      <c r="O36" s="47"/>
      <c r="P36" s="47" t="s">
        <v>53</v>
      </c>
      <c r="Q36" s="47" t="s">
        <v>6</v>
      </c>
      <c r="R36" s="47" t="s">
        <v>30</v>
      </c>
      <c r="S36" s="47" t="s">
        <v>24</v>
      </c>
      <c r="T36" s="47" t="s">
        <v>46</v>
      </c>
      <c r="U36" s="47"/>
      <c r="V36" s="47" t="s">
        <v>7</v>
      </c>
      <c r="W36" s="47" t="s">
        <v>10</v>
      </c>
      <c r="X36" s="47" t="s">
        <v>7</v>
      </c>
      <c r="Y36" s="47" t="s">
        <v>114</v>
      </c>
      <c r="Z36" s="47" t="s">
        <v>7</v>
      </c>
      <c r="AA36" s="47" t="s">
        <v>7</v>
      </c>
      <c r="AB36" s="47" t="s">
        <v>7</v>
      </c>
      <c r="AC36" s="47" t="s">
        <v>309</v>
      </c>
      <c r="AD36" s="47" t="s">
        <v>7</v>
      </c>
      <c r="AE36" s="47" t="s">
        <v>7</v>
      </c>
    </row>
    <row r="37" spans="1:31" x14ac:dyDescent="0.3">
      <c r="A37" s="37">
        <f ca="1">DAYS360(INDIRECT(A211&amp;ROW()),TODAY())</f>
        <v>465</v>
      </c>
      <c r="B37" s="37">
        <f ca="1">DAYS360(INDIRECT(A210&amp;ROW()),TODAY())</f>
        <v>567</v>
      </c>
      <c r="C37" s="47">
        <v>73028</v>
      </c>
      <c r="D37" s="47" t="s">
        <v>331</v>
      </c>
      <c r="E37" s="47" t="s">
        <v>689</v>
      </c>
      <c r="F37" s="47" t="s">
        <v>11</v>
      </c>
      <c r="G37" s="47" t="s">
        <v>569</v>
      </c>
      <c r="H37" s="47" t="s">
        <v>81</v>
      </c>
      <c r="I37" s="47"/>
      <c r="J37" s="48">
        <v>42430.566828703704</v>
      </c>
      <c r="K37" s="47" t="s">
        <v>20</v>
      </c>
      <c r="L37" s="47" t="s">
        <v>167</v>
      </c>
      <c r="M37" s="48">
        <v>42327.679976851854</v>
      </c>
      <c r="N37" s="47" t="s">
        <v>102</v>
      </c>
      <c r="O37" s="47"/>
      <c r="P37" s="47"/>
      <c r="Q37" s="47" t="s">
        <v>6</v>
      </c>
      <c r="R37" s="47" t="s">
        <v>30</v>
      </c>
      <c r="S37" s="47" t="s">
        <v>13</v>
      </c>
      <c r="T37" s="47" t="s">
        <v>19</v>
      </c>
      <c r="U37" s="47"/>
      <c r="V37" s="47" t="s">
        <v>7</v>
      </c>
      <c r="W37" s="47" t="s">
        <v>10</v>
      </c>
      <c r="X37" s="47" t="s">
        <v>7</v>
      </c>
      <c r="Y37" s="47" t="s">
        <v>114</v>
      </c>
      <c r="Z37" s="47" t="s">
        <v>7</v>
      </c>
      <c r="AA37" s="47" t="s">
        <v>7</v>
      </c>
      <c r="AB37" s="47" t="s">
        <v>7</v>
      </c>
      <c r="AC37" s="47" t="s">
        <v>7</v>
      </c>
      <c r="AD37" s="47" t="s">
        <v>7</v>
      </c>
      <c r="AE37" s="47" t="s">
        <v>623</v>
      </c>
    </row>
    <row r="38" spans="1:31" x14ac:dyDescent="0.3">
      <c r="A38" s="37">
        <f ca="1">DAYS360(INDIRECT(A211&amp;ROW()),TODAY())</f>
        <v>471</v>
      </c>
      <c r="B38" s="37">
        <f ca="1">DAYS360(INDIRECT(A210&amp;ROW()),TODAY())</f>
        <v>566</v>
      </c>
      <c r="C38" s="47">
        <v>73074</v>
      </c>
      <c r="D38" s="47" t="s">
        <v>332</v>
      </c>
      <c r="E38" s="47" t="s">
        <v>690</v>
      </c>
      <c r="F38" s="47" t="s">
        <v>11</v>
      </c>
      <c r="G38" s="47" t="s">
        <v>569</v>
      </c>
      <c r="H38" s="47" t="s">
        <v>81</v>
      </c>
      <c r="I38" s="47"/>
      <c r="J38" s="48">
        <v>42425.403831018521</v>
      </c>
      <c r="K38" s="47" t="s">
        <v>20</v>
      </c>
      <c r="L38" s="47" t="s">
        <v>569</v>
      </c>
      <c r="M38" s="48">
        <v>42328.521550925929</v>
      </c>
      <c r="N38" s="47" t="s">
        <v>5</v>
      </c>
      <c r="O38" s="47"/>
      <c r="P38" s="47" t="s">
        <v>53</v>
      </c>
      <c r="Q38" s="47" t="s">
        <v>6</v>
      </c>
      <c r="R38" s="47" t="s">
        <v>30</v>
      </c>
      <c r="S38" s="47" t="s">
        <v>13</v>
      </c>
      <c r="T38" s="47" t="s">
        <v>19</v>
      </c>
      <c r="U38" s="47"/>
      <c r="V38" s="47" t="s">
        <v>7</v>
      </c>
      <c r="W38" s="47" t="s">
        <v>10</v>
      </c>
      <c r="X38" s="47" t="s">
        <v>7</v>
      </c>
      <c r="Y38" s="47" t="s">
        <v>114</v>
      </c>
      <c r="Z38" s="47" t="s">
        <v>7</v>
      </c>
      <c r="AA38" s="47" t="s">
        <v>7</v>
      </c>
      <c r="AB38" s="47" t="s">
        <v>7</v>
      </c>
      <c r="AC38" s="47" t="s">
        <v>655</v>
      </c>
      <c r="AD38" s="47" t="s">
        <v>7</v>
      </c>
      <c r="AE38" s="47" t="s">
        <v>7</v>
      </c>
    </row>
    <row r="39" spans="1:31" x14ac:dyDescent="0.3">
      <c r="A39" s="37">
        <f ca="1">DAYS360(INDIRECT(A211&amp;ROW()),TODAY())</f>
        <v>465</v>
      </c>
      <c r="B39" s="37">
        <f ca="1">DAYS360(INDIRECT(A210&amp;ROW()),TODAY())</f>
        <v>566</v>
      </c>
      <c r="C39" s="47">
        <v>73081</v>
      </c>
      <c r="D39" s="47" t="s">
        <v>376</v>
      </c>
      <c r="E39" s="47" t="s">
        <v>839</v>
      </c>
      <c r="F39" s="47" t="s">
        <v>11</v>
      </c>
      <c r="G39" s="47" t="s">
        <v>569</v>
      </c>
      <c r="H39" s="47" t="s">
        <v>81</v>
      </c>
      <c r="I39" s="47"/>
      <c r="J39" s="48">
        <v>42430.602835648147</v>
      </c>
      <c r="K39" s="47" t="s">
        <v>20</v>
      </c>
      <c r="L39" s="47" t="s">
        <v>3</v>
      </c>
      <c r="M39" s="48">
        <v>42328.522245370368</v>
      </c>
      <c r="N39" s="47" t="s">
        <v>102</v>
      </c>
      <c r="O39" s="47"/>
      <c r="P39" s="47" t="s">
        <v>347</v>
      </c>
      <c r="Q39" s="47" t="s">
        <v>6</v>
      </c>
      <c r="R39" s="47" t="s">
        <v>30</v>
      </c>
      <c r="S39" s="47" t="s">
        <v>13</v>
      </c>
      <c r="T39" s="47" t="s">
        <v>19</v>
      </c>
      <c r="U39" s="47"/>
      <c r="V39" s="47" t="s">
        <v>7</v>
      </c>
      <c r="W39" s="47" t="s">
        <v>10</v>
      </c>
      <c r="X39" s="47" t="s">
        <v>7</v>
      </c>
      <c r="Y39" s="47" t="s">
        <v>114</v>
      </c>
      <c r="Z39" s="47" t="s">
        <v>7</v>
      </c>
      <c r="AA39" s="47" t="s">
        <v>7</v>
      </c>
      <c r="AB39" s="47" t="s">
        <v>7</v>
      </c>
      <c r="AC39" s="47" t="s">
        <v>309</v>
      </c>
      <c r="AD39" s="47" t="s">
        <v>7</v>
      </c>
      <c r="AE39" s="47" t="s">
        <v>7</v>
      </c>
    </row>
    <row r="40" spans="1:31" x14ac:dyDescent="0.3">
      <c r="A40" s="37">
        <f ca="1">DAYS360(INDIRECT(A211&amp;ROW()),TODAY())</f>
        <v>547</v>
      </c>
      <c r="B40" s="37">
        <f ca="1">DAYS360(INDIRECT(A210&amp;ROW()),TODAY())</f>
        <v>563</v>
      </c>
      <c r="C40" s="47">
        <v>73109</v>
      </c>
      <c r="D40" s="47" t="s">
        <v>332</v>
      </c>
      <c r="E40" s="47" t="s">
        <v>691</v>
      </c>
      <c r="F40" s="47" t="s">
        <v>11</v>
      </c>
      <c r="G40" s="47" t="s">
        <v>569</v>
      </c>
      <c r="H40" s="47" t="s">
        <v>81</v>
      </c>
      <c r="I40" s="47"/>
      <c r="J40" s="48">
        <v>42347.32953703704</v>
      </c>
      <c r="K40" s="47" t="s">
        <v>20</v>
      </c>
      <c r="L40" s="47" t="s">
        <v>48</v>
      </c>
      <c r="M40" s="48">
        <v>42331.021678240744</v>
      </c>
      <c r="N40" s="47" t="s">
        <v>50</v>
      </c>
      <c r="O40" s="47"/>
      <c r="P40" s="47"/>
      <c r="Q40" s="47" t="s">
        <v>6</v>
      </c>
      <c r="R40" s="47" t="s">
        <v>30</v>
      </c>
      <c r="S40" s="47" t="s">
        <v>24</v>
      </c>
      <c r="T40" s="47" t="s">
        <v>47</v>
      </c>
      <c r="U40" s="47"/>
      <c r="V40" s="47" t="s">
        <v>7</v>
      </c>
      <c r="W40" s="47" t="s">
        <v>10</v>
      </c>
      <c r="X40" s="47" t="s">
        <v>7</v>
      </c>
      <c r="Y40" s="47" t="s">
        <v>114</v>
      </c>
      <c r="Z40" s="47" t="s">
        <v>7</v>
      </c>
      <c r="AA40" s="47" t="s">
        <v>7</v>
      </c>
      <c r="AB40" s="47" t="s">
        <v>7</v>
      </c>
      <c r="AC40" s="47" t="s">
        <v>7</v>
      </c>
      <c r="AD40" s="47" t="s">
        <v>7</v>
      </c>
      <c r="AE40" s="47" t="s">
        <v>7</v>
      </c>
    </row>
    <row r="41" spans="1:31" x14ac:dyDescent="0.3">
      <c r="A41" s="37">
        <f ca="1">DAYS360(INDIRECT(A211&amp;ROW()),TODAY())</f>
        <v>465</v>
      </c>
      <c r="B41" s="37">
        <f ca="1">DAYS360(INDIRECT(A210&amp;ROW()),TODAY())</f>
        <v>563</v>
      </c>
      <c r="C41" s="47">
        <v>73112</v>
      </c>
      <c r="D41" s="47" t="s">
        <v>332</v>
      </c>
      <c r="E41" s="47" t="s">
        <v>656</v>
      </c>
      <c r="F41" s="47" t="s">
        <v>11</v>
      </c>
      <c r="G41" s="47" t="s">
        <v>569</v>
      </c>
      <c r="H41" s="47" t="s">
        <v>81</v>
      </c>
      <c r="I41" s="47"/>
      <c r="J41" s="48">
        <v>42430.425196759257</v>
      </c>
      <c r="K41" s="47" t="s">
        <v>20</v>
      </c>
      <c r="L41" s="47" t="s">
        <v>48</v>
      </c>
      <c r="M41" s="48">
        <v>42331.022083333337</v>
      </c>
      <c r="N41" s="47" t="s">
        <v>600</v>
      </c>
      <c r="O41" s="47"/>
      <c r="P41" s="47"/>
      <c r="Q41" s="47" t="s">
        <v>6</v>
      </c>
      <c r="R41" s="47" t="s">
        <v>30</v>
      </c>
      <c r="S41" s="47" t="s">
        <v>24</v>
      </c>
      <c r="T41" s="47" t="s">
        <v>47</v>
      </c>
      <c r="U41" s="47"/>
      <c r="V41" s="47" t="s">
        <v>7</v>
      </c>
      <c r="W41" s="47" t="s">
        <v>10</v>
      </c>
      <c r="X41" s="47" t="s">
        <v>44</v>
      </c>
      <c r="Y41" s="47" t="s">
        <v>114</v>
      </c>
      <c r="Z41" s="47" t="s">
        <v>7</v>
      </c>
      <c r="AA41" s="47" t="s">
        <v>7</v>
      </c>
      <c r="AB41" s="47" t="s">
        <v>7</v>
      </c>
      <c r="AC41" s="47" t="s">
        <v>7</v>
      </c>
      <c r="AD41" s="47" t="s">
        <v>7</v>
      </c>
      <c r="AE41" s="47" t="s">
        <v>7</v>
      </c>
    </row>
    <row r="42" spans="1:31" x14ac:dyDescent="0.3">
      <c r="A42" s="37">
        <f ca="1">DAYS360(INDIRECT(A211&amp;ROW()),TODAY())</f>
        <v>492</v>
      </c>
      <c r="B42" s="37">
        <f ca="1">DAYS360(INDIRECT(A210&amp;ROW()),TODAY())</f>
        <v>561</v>
      </c>
      <c r="C42" s="47">
        <v>73298</v>
      </c>
      <c r="D42" s="47" t="s">
        <v>376</v>
      </c>
      <c r="E42" s="47" t="s">
        <v>692</v>
      </c>
      <c r="F42" s="47" t="s">
        <v>146</v>
      </c>
      <c r="G42" s="47" t="s">
        <v>569</v>
      </c>
      <c r="H42" s="47" t="s">
        <v>81</v>
      </c>
      <c r="I42" s="47"/>
      <c r="J42" s="48">
        <v>42404.55097222222</v>
      </c>
      <c r="K42" s="47" t="s">
        <v>20</v>
      </c>
      <c r="L42" s="47" t="s">
        <v>569</v>
      </c>
      <c r="M42" s="48">
        <v>42333.521724537037</v>
      </c>
      <c r="N42" s="47" t="s">
        <v>84</v>
      </c>
      <c r="O42" s="47"/>
      <c r="P42" s="47"/>
      <c r="Q42" s="47" t="s">
        <v>12</v>
      </c>
      <c r="R42" s="47" t="s">
        <v>30</v>
      </c>
      <c r="S42" s="47" t="s">
        <v>8</v>
      </c>
      <c r="T42" s="47" t="s">
        <v>153</v>
      </c>
      <c r="U42" s="47"/>
      <c r="V42" s="47" t="s">
        <v>7</v>
      </c>
      <c r="W42" s="47" t="s">
        <v>10</v>
      </c>
      <c r="X42" s="47" t="s">
        <v>7</v>
      </c>
      <c r="Y42" s="47" t="s">
        <v>114</v>
      </c>
      <c r="Z42" s="47" t="s">
        <v>7</v>
      </c>
      <c r="AA42" s="47" t="s">
        <v>7</v>
      </c>
      <c r="AB42" s="47" t="s">
        <v>7</v>
      </c>
      <c r="AC42" s="47" t="s">
        <v>309</v>
      </c>
      <c r="AD42" s="47" t="s">
        <v>7</v>
      </c>
      <c r="AE42" s="47" t="s">
        <v>7</v>
      </c>
    </row>
    <row r="43" spans="1:31" x14ac:dyDescent="0.3">
      <c r="A43" s="37">
        <f ca="1">DAYS360(INDIRECT(A211&amp;ROW()),TODAY())</f>
        <v>457</v>
      </c>
      <c r="B43" s="37">
        <f ca="1">DAYS360(INDIRECT(A210&amp;ROW()),TODAY())</f>
        <v>554</v>
      </c>
      <c r="C43" s="47">
        <v>73571</v>
      </c>
      <c r="D43" s="47" t="s">
        <v>1026</v>
      </c>
      <c r="E43" s="47" t="s">
        <v>1027</v>
      </c>
      <c r="F43" s="47" t="s">
        <v>11</v>
      </c>
      <c r="G43" s="47" t="s">
        <v>569</v>
      </c>
      <c r="H43" s="47" t="s">
        <v>81</v>
      </c>
      <c r="I43" s="47"/>
      <c r="J43" s="48">
        <v>42438.237766203703</v>
      </c>
      <c r="K43" s="47" t="s">
        <v>20</v>
      </c>
      <c r="L43" s="47" t="s">
        <v>48</v>
      </c>
      <c r="M43" s="48">
        <v>42340.522465277776</v>
      </c>
      <c r="N43" s="47" t="s">
        <v>84</v>
      </c>
      <c r="O43" s="47"/>
      <c r="P43" s="47" t="s">
        <v>975</v>
      </c>
      <c r="Q43" s="47" t="s">
        <v>6</v>
      </c>
      <c r="R43" s="47" t="s">
        <v>30</v>
      </c>
      <c r="S43" s="47" t="s">
        <v>13</v>
      </c>
      <c r="T43" s="47" t="s">
        <v>19</v>
      </c>
      <c r="U43" s="47"/>
      <c r="V43" s="47" t="s">
        <v>7</v>
      </c>
      <c r="W43" s="47" t="s">
        <v>10</v>
      </c>
      <c r="X43" s="47" t="s">
        <v>7</v>
      </c>
      <c r="Y43" s="47" t="s">
        <v>114</v>
      </c>
      <c r="Z43" s="47" t="s">
        <v>7</v>
      </c>
      <c r="AA43" s="47" t="s">
        <v>7</v>
      </c>
      <c r="AB43" s="47" t="s">
        <v>7</v>
      </c>
      <c r="AC43" s="47" t="s">
        <v>7</v>
      </c>
      <c r="AD43" s="47" t="s">
        <v>7</v>
      </c>
      <c r="AE43" s="47" t="s">
        <v>7</v>
      </c>
    </row>
    <row r="44" spans="1:31" x14ac:dyDescent="0.3">
      <c r="A44" s="37">
        <f ca="1">DAYS360(INDIRECT(A211&amp;ROW()),TODAY())</f>
        <v>547</v>
      </c>
      <c r="B44" s="37">
        <f ca="1">DAYS360(INDIRECT(A210&amp;ROW()),TODAY())</f>
        <v>547</v>
      </c>
      <c r="C44" s="47">
        <v>73893</v>
      </c>
      <c r="D44" s="47" t="s">
        <v>332</v>
      </c>
      <c r="E44" s="47" t="s">
        <v>694</v>
      </c>
      <c r="F44" s="47" t="s">
        <v>11</v>
      </c>
      <c r="G44" s="47" t="s">
        <v>569</v>
      </c>
      <c r="H44" s="47" t="s">
        <v>81</v>
      </c>
      <c r="I44" s="47"/>
      <c r="J44" s="48">
        <v>42347.593761574077</v>
      </c>
      <c r="K44" s="47" t="s">
        <v>20</v>
      </c>
      <c r="L44" s="47" t="s">
        <v>48</v>
      </c>
      <c r="M44" s="48">
        <v>42347.022800925923</v>
      </c>
      <c r="N44" s="47" t="s">
        <v>600</v>
      </c>
      <c r="O44" s="47"/>
      <c r="P44" s="47"/>
      <c r="Q44" s="47" t="s">
        <v>6</v>
      </c>
      <c r="R44" s="47" t="s">
        <v>30</v>
      </c>
      <c r="S44" s="47" t="s">
        <v>24</v>
      </c>
      <c r="T44" s="47" t="s">
        <v>46</v>
      </c>
      <c r="U44" s="47"/>
      <c r="V44" s="47" t="s">
        <v>7</v>
      </c>
      <c r="W44" s="47" t="s">
        <v>10</v>
      </c>
      <c r="X44" s="47" t="s">
        <v>7</v>
      </c>
      <c r="Y44" s="47" t="s">
        <v>114</v>
      </c>
      <c r="Z44" s="47" t="s">
        <v>7</v>
      </c>
      <c r="AA44" s="47" t="s">
        <v>7</v>
      </c>
      <c r="AB44" s="47" t="s">
        <v>7</v>
      </c>
      <c r="AC44" s="47" t="s">
        <v>7</v>
      </c>
      <c r="AD44" s="47" t="s">
        <v>7</v>
      </c>
      <c r="AE44" s="47" t="s">
        <v>7</v>
      </c>
    </row>
    <row r="45" spans="1:31" x14ac:dyDescent="0.3">
      <c r="A45" s="37">
        <f ca="1">DAYS360(INDIRECT(A211&amp;ROW()),TODAY())</f>
        <v>457</v>
      </c>
      <c r="B45" s="37">
        <f ca="1">DAYS360(INDIRECT(A210&amp;ROW()),TODAY())</f>
        <v>545</v>
      </c>
      <c r="C45" s="47">
        <v>74020</v>
      </c>
      <c r="D45" s="47" t="s">
        <v>331</v>
      </c>
      <c r="E45" s="47" t="s">
        <v>970</v>
      </c>
      <c r="F45" s="47" t="s">
        <v>11</v>
      </c>
      <c r="G45" s="47" t="s">
        <v>569</v>
      </c>
      <c r="H45" s="47" t="s">
        <v>81</v>
      </c>
      <c r="I45" s="47"/>
      <c r="J45" s="48">
        <v>42438.567743055559</v>
      </c>
      <c r="K45" s="47" t="s">
        <v>20</v>
      </c>
      <c r="L45" s="47" t="s">
        <v>569</v>
      </c>
      <c r="M45" s="48">
        <v>42349.022430555553</v>
      </c>
      <c r="N45" s="47" t="s">
        <v>120</v>
      </c>
      <c r="O45" s="47"/>
      <c r="P45" s="47" t="s">
        <v>717</v>
      </c>
      <c r="Q45" s="47" t="s">
        <v>6</v>
      </c>
      <c r="R45" s="47" t="s">
        <v>30</v>
      </c>
      <c r="S45" s="47" t="s">
        <v>13</v>
      </c>
      <c r="T45" s="47" t="s">
        <v>587</v>
      </c>
      <c r="U45" s="47"/>
      <c r="V45" s="47" t="s">
        <v>7</v>
      </c>
      <c r="W45" s="47" t="s">
        <v>10</v>
      </c>
      <c r="X45" s="47" t="s">
        <v>7</v>
      </c>
      <c r="Y45" s="47" t="s">
        <v>114</v>
      </c>
      <c r="Z45" s="47" t="s">
        <v>7</v>
      </c>
      <c r="AA45" s="47" t="s">
        <v>7</v>
      </c>
      <c r="AB45" s="47" t="s">
        <v>7</v>
      </c>
      <c r="AC45" s="47" t="s">
        <v>309</v>
      </c>
      <c r="AD45" s="47" t="s">
        <v>7</v>
      </c>
      <c r="AE45" s="47" t="s">
        <v>7</v>
      </c>
    </row>
    <row r="46" spans="1:31" x14ac:dyDescent="0.3">
      <c r="A46" s="37">
        <f ca="1">DAYS360(INDIRECT(A211&amp;ROW()),TODAY())</f>
        <v>463</v>
      </c>
      <c r="B46" s="37">
        <f ca="1">DAYS360(INDIRECT(A210&amp;ROW()),TODAY())</f>
        <v>528</v>
      </c>
      <c r="C46" s="47">
        <v>74655</v>
      </c>
      <c r="D46" s="47" t="s">
        <v>376</v>
      </c>
      <c r="E46" s="47" t="s">
        <v>696</v>
      </c>
      <c r="F46" s="47" t="s">
        <v>11</v>
      </c>
      <c r="G46" s="47" t="s">
        <v>569</v>
      </c>
      <c r="H46" s="47" t="s">
        <v>81</v>
      </c>
      <c r="I46" s="47"/>
      <c r="J46" s="48">
        <v>42432.583657407406</v>
      </c>
      <c r="K46" s="47" t="s">
        <v>20</v>
      </c>
      <c r="L46" s="47" t="s">
        <v>48</v>
      </c>
      <c r="M46" s="48">
        <v>42366.522685185184</v>
      </c>
      <c r="N46" s="47" t="s">
        <v>628</v>
      </c>
      <c r="O46" s="47"/>
      <c r="P46" s="47"/>
      <c r="Q46" s="47" t="s">
        <v>6</v>
      </c>
      <c r="R46" s="47" t="s">
        <v>30</v>
      </c>
      <c r="S46" s="47" t="s">
        <v>13</v>
      </c>
      <c r="T46" s="47" t="s">
        <v>19</v>
      </c>
      <c r="U46" s="47"/>
      <c r="V46" s="47" t="s">
        <v>7</v>
      </c>
      <c r="W46" s="47" t="s">
        <v>10</v>
      </c>
      <c r="X46" s="47" t="s">
        <v>7</v>
      </c>
      <c r="Y46" s="47" t="s">
        <v>114</v>
      </c>
      <c r="Z46" s="47" t="s">
        <v>7</v>
      </c>
      <c r="AA46" s="47" t="s">
        <v>7</v>
      </c>
      <c r="AB46" s="47" t="s">
        <v>7</v>
      </c>
      <c r="AC46" s="47" t="s">
        <v>7</v>
      </c>
      <c r="AD46" s="47" t="s">
        <v>7</v>
      </c>
      <c r="AE46" s="47" t="s">
        <v>7</v>
      </c>
    </row>
    <row r="47" spans="1:31" x14ac:dyDescent="0.3">
      <c r="A47" s="37">
        <f ca="1">DAYS360(INDIRECT(A211&amp;ROW()),TODAY())</f>
        <v>471</v>
      </c>
      <c r="B47" s="37">
        <f ca="1">DAYS360(INDIRECT(A210&amp;ROW()),TODAY())</f>
        <v>515</v>
      </c>
      <c r="C47" s="47">
        <v>75032</v>
      </c>
      <c r="D47" s="47" t="s">
        <v>337</v>
      </c>
      <c r="E47" s="47" t="s">
        <v>840</v>
      </c>
      <c r="F47" s="47" t="s">
        <v>11</v>
      </c>
      <c r="G47" s="47" t="s">
        <v>569</v>
      </c>
      <c r="H47" s="47" t="s">
        <v>81</v>
      </c>
      <c r="I47" s="47"/>
      <c r="J47" s="48">
        <v>42425.397824074076</v>
      </c>
      <c r="K47" s="47" t="s">
        <v>20</v>
      </c>
      <c r="L47" s="47" t="s">
        <v>48</v>
      </c>
      <c r="M47" s="48">
        <v>42380.523229166669</v>
      </c>
      <c r="N47" s="47" t="s">
        <v>5</v>
      </c>
      <c r="O47" s="47"/>
      <c r="P47" s="47" t="s">
        <v>347</v>
      </c>
      <c r="Q47" s="47" t="s">
        <v>6</v>
      </c>
      <c r="R47" s="47" t="s">
        <v>30</v>
      </c>
      <c r="S47" s="47" t="s">
        <v>13</v>
      </c>
      <c r="T47" s="47" t="s">
        <v>35</v>
      </c>
      <c r="U47" s="47"/>
      <c r="V47" s="47" t="s">
        <v>7</v>
      </c>
      <c r="W47" s="47" t="s">
        <v>10</v>
      </c>
      <c r="X47" s="47" t="s">
        <v>7</v>
      </c>
      <c r="Y47" s="47" t="s">
        <v>114</v>
      </c>
      <c r="Z47" s="47" t="s">
        <v>7</v>
      </c>
      <c r="AA47" s="47" t="s">
        <v>7</v>
      </c>
      <c r="AB47" s="47" t="s">
        <v>7</v>
      </c>
      <c r="AC47" s="47" t="s">
        <v>7</v>
      </c>
      <c r="AD47" s="47" t="s">
        <v>7</v>
      </c>
      <c r="AE47" s="47" t="s">
        <v>7</v>
      </c>
    </row>
    <row r="48" spans="1:31" x14ac:dyDescent="0.3">
      <c r="A48" s="37">
        <f ca="1">DAYS360(INDIRECT(A211&amp;ROW()),TODAY())</f>
        <v>499</v>
      </c>
      <c r="B48" s="37">
        <f ca="1">DAYS360(INDIRECT(A210&amp;ROW()),TODAY())</f>
        <v>512</v>
      </c>
      <c r="C48" s="47">
        <v>75154</v>
      </c>
      <c r="D48" s="47" t="s">
        <v>376</v>
      </c>
      <c r="E48" s="47" t="s">
        <v>841</v>
      </c>
      <c r="F48" s="47" t="s">
        <v>11</v>
      </c>
      <c r="G48" s="47" t="s">
        <v>569</v>
      </c>
      <c r="H48" s="47" t="s">
        <v>81</v>
      </c>
      <c r="I48" s="47"/>
      <c r="J48" s="48">
        <v>42396.498668981483</v>
      </c>
      <c r="K48" s="47" t="s">
        <v>20</v>
      </c>
      <c r="L48" s="47" t="s">
        <v>48</v>
      </c>
      <c r="M48" s="48">
        <v>42383.023032407407</v>
      </c>
      <c r="N48" s="47" t="s">
        <v>638</v>
      </c>
      <c r="O48" s="47"/>
      <c r="P48" s="47"/>
      <c r="Q48" s="47" t="s">
        <v>6</v>
      </c>
      <c r="R48" s="47" t="s">
        <v>30</v>
      </c>
      <c r="S48" s="47" t="s">
        <v>8</v>
      </c>
      <c r="T48" s="47" t="s">
        <v>153</v>
      </c>
      <c r="U48" s="47"/>
      <c r="V48" s="47" t="s">
        <v>7</v>
      </c>
      <c r="W48" s="47" t="s">
        <v>10</v>
      </c>
      <c r="X48" s="47" t="s">
        <v>7</v>
      </c>
      <c r="Y48" s="47" t="s">
        <v>114</v>
      </c>
      <c r="Z48" s="47" t="s">
        <v>7</v>
      </c>
      <c r="AA48" s="47" t="s">
        <v>7</v>
      </c>
      <c r="AB48" s="47" t="s">
        <v>7</v>
      </c>
      <c r="AC48" s="47" t="s">
        <v>7</v>
      </c>
      <c r="AD48" s="47" t="s">
        <v>7</v>
      </c>
      <c r="AE48" s="47" t="s">
        <v>7</v>
      </c>
    </row>
    <row r="49" spans="1:31" x14ac:dyDescent="0.3">
      <c r="A49" s="37">
        <f ca="1">DAYS360(INDIRECT(A211&amp;ROW()),TODAY())</f>
        <v>506</v>
      </c>
      <c r="B49" s="37">
        <f ca="1">DAYS360(INDIRECT(A210&amp;ROW()),TODAY())</f>
        <v>512</v>
      </c>
      <c r="C49" s="47">
        <v>75177</v>
      </c>
      <c r="D49" s="47" t="s">
        <v>382</v>
      </c>
      <c r="E49" s="47" t="s">
        <v>698</v>
      </c>
      <c r="F49" s="47" t="s">
        <v>11</v>
      </c>
      <c r="G49" s="47" t="s">
        <v>569</v>
      </c>
      <c r="H49" s="47" t="s">
        <v>81</v>
      </c>
      <c r="I49" s="47"/>
      <c r="J49" s="48">
        <v>42389.394513888888</v>
      </c>
      <c r="K49" s="47" t="s">
        <v>20</v>
      </c>
      <c r="L49" s="47" t="s">
        <v>3</v>
      </c>
      <c r="M49" s="48">
        <v>42383.38863425926</v>
      </c>
      <c r="N49" s="47" t="s">
        <v>16</v>
      </c>
      <c r="O49" s="47"/>
      <c r="P49" s="47"/>
      <c r="Q49" s="47" t="s">
        <v>6</v>
      </c>
      <c r="R49" s="47" t="s">
        <v>30</v>
      </c>
      <c r="S49" s="47" t="s">
        <v>13</v>
      </c>
      <c r="T49" s="47" t="s">
        <v>19</v>
      </c>
      <c r="U49" s="47"/>
      <c r="V49" s="47" t="s">
        <v>7</v>
      </c>
      <c r="W49" s="47" t="s">
        <v>10</v>
      </c>
      <c r="X49" s="47" t="s">
        <v>7</v>
      </c>
      <c r="Y49" s="47" t="s">
        <v>114</v>
      </c>
      <c r="Z49" s="47" t="s">
        <v>7</v>
      </c>
      <c r="AA49" s="47" t="s">
        <v>7</v>
      </c>
      <c r="AB49" s="47" t="s">
        <v>7</v>
      </c>
      <c r="AC49" s="47" t="s">
        <v>7</v>
      </c>
      <c r="AD49" s="47" t="s">
        <v>7</v>
      </c>
      <c r="AE49" s="47" t="s">
        <v>7</v>
      </c>
    </row>
    <row r="50" spans="1:31" x14ac:dyDescent="0.3">
      <c r="A50" s="37">
        <f ca="1">DAYS360(INDIRECT(A211&amp;ROW()),TODAY())</f>
        <v>480</v>
      </c>
      <c r="B50" s="37">
        <f ca="1">DAYS360(INDIRECT(A210&amp;ROW()),TODAY())</f>
        <v>511</v>
      </c>
      <c r="C50" s="47">
        <v>75233</v>
      </c>
      <c r="D50" s="47" t="s">
        <v>376</v>
      </c>
      <c r="E50" s="47" t="s">
        <v>699</v>
      </c>
      <c r="F50" s="47" t="s">
        <v>11</v>
      </c>
      <c r="G50" s="47" t="s">
        <v>569</v>
      </c>
      <c r="H50" s="47" t="s">
        <v>81</v>
      </c>
      <c r="I50" s="47"/>
      <c r="J50" s="48">
        <v>42416.736076388886</v>
      </c>
      <c r="K50" s="47" t="s">
        <v>20</v>
      </c>
      <c r="L50" s="47" t="s">
        <v>48</v>
      </c>
      <c r="M50" s="48">
        <v>42384.523148148146</v>
      </c>
      <c r="N50" s="47" t="s">
        <v>638</v>
      </c>
      <c r="O50" s="47"/>
      <c r="P50" s="47"/>
      <c r="Q50" s="47" t="s">
        <v>6</v>
      </c>
      <c r="R50" s="47" t="s">
        <v>30</v>
      </c>
      <c r="S50" s="47" t="s">
        <v>13</v>
      </c>
      <c r="T50" s="47" t="s">
        <v>19</v>
      </c>
      <c r="U50" s="47"/>
      <c r="V50" s="47" t="s">
        <v>7</v>
      </c>
      <c r="W50" s="47" t="s">
        <v>10</v>
      </c>
      <c r="X50" s="47" t="s">
        <v>7</v>
      </c>
      <c r="Y50" s="47" t="s">
        <v>114</v>
      </c>
      <c r="Z50" s="47" t="s">
        <v>7</v>
      </c>
      <c r="AA50" s="47" t="s">
        <v>7</v>
      </c>
      <c r="AB50" s="47" t="s">
        <v>7</v>
      </c>
      <c r="AC50" s="47" t="s">
        <v>7</v>
      </c>
      <c r="AD50" s="47" t="s">
        <v>7</v>
      </c>
      <c r="AE50" s="47" t="s">
        <v>7</v>
      </c>
    </row>
    <row r="51" spans="1:31" x14ac:dyDescent="0.3">
      <c r="A51" s="37">
        <f ca="1">DAYS360(INDIRECT(A211&amp;ROW()),TODAY())</f>
        <v>499</v>
      </c>
      <c r="B51" s="37">
        <f ca="1">DAYS360(INDIRECT(A210&amp;ROW()),TODAY())</f>
        <v>510</v>
      </c>
      <c r="C51" s="47">
        <v>75248</v>
      </c>
      <c r="D51" s="47" t="s">
        <v>812</v>
      </c>
      <c r="E51" s="47" t="s">
        <v>700</v>
      </c>
      <c r="F51" s="47" t="s">
        <v>11</v>
      </c>
      <c r="G51" s="47" t="s">
        <v>569</v>
      </c>
      <c r="H51" s="47" t="s">
        <v>81</v>
      </c>
      <c r="I51" s="47"/>
      <c r="J51" s="48">
        <v>42396.322569444441</v>
      </c>
      <c r="K51" s="47" t="s">
        <v>20</v>
      </c>
      <c r="L51" s="47" t="s">
        <v>80</v>
      </c>
      <c r="M51" s="48">
        <v>42385.023194444446</v>
      </c>
      <c r="N51" s="47" t="s">
        <v>50</v>
      </c>
      <c r="O51" s="47"/>
      <c r="P51" s="47"/>
      <c r="Q51" s="47" t="s">
        <v>6</v>
      </c>
      <c r="R51" s="47" t="s">
        <v>30</v>
      </c>
      <c r="S51" s="47" t="s">
        <v>8</v>
      </c>
      <c r="T51" s="47" t="s">
        <v>38</v>
      </c>
      <c r="U51" s="47"/>
      <c r="V51" s="47" t="s">
        <v>7</v>
      </c>
      <c r="W51" s="47" t="s">
        <v>10</v>
      </c>
      <c r="X51" s="47" t="s">
        <v>7</v>
      </c>
      <c r="Y51" s="47" t="s">
        <v>114</v>
      </c>
      <c r="Z51" s="47" t="s">
        <v>7</v>
      </c>
      <c r="AA51" s="47" t="s">
        <v>7</v>
      </c>
      <c r="AB51" s="47" t="s">
        <v>7</v>
      </c>
      <c r="AC51" s="47" t="s">
        <v>7</v>
      </c>
      <c r="AD51" s="47" t="s">
        <v>7</v>
      </c>
      <c r="AE51" s="47" t="s">
        <v>7</v>
      </c>
    </row>
    <row r="52" spans="1:31" x14ac:dyDescent="0.3">
      <c r="A52" s="37">
        <f ca="1">DAYS360(INDIRECT(A211&amp;ROW()),TODAY())</f>
        <v>499</v>
      </c>
      <c r="B52" s="37">
        <f ca="1">DAYS360(INDIRECT(A210&amp;ROW()),TODAY())</f>
        <v>510</v>
      </c>
      <c r="C52" s="47">
        <v>75263</v>
      </c>
      <c r="D52" s="47" t="s">
        <v>376</v>
      </c>
      <c r="E52" s="47" t="s">
        <v>842</v>
      </c>
      <c r="F52" s="47" t="s">
        <v>11</v>
      </c>
      <c r="G52" s="47" t="s">
        <v>569</v>
      </c>
      <c r="H52" s="47" t="s">
        <v>81</v>
      </c>
      <c r="I52" s="47"/>
      <c r="J52" s="48">
        <v>42396.494270833333</v>
      </c>
      <c r="K52" s="47" t="s">
        <v>20</v>
      </c>
      <c r="L52" s="47" t="s">
        <v>48</v>
      </c>
      <c r="M52" s="48">
        <v>42385.523194444446</v>
      </c>
      <c r="N52" s="47" t="s">
        <v>638</v>
      </c>
      <c r="O52" s="47"/>
      <c r="P52" s="47"/>
      <c r="Q52" s="47" t="s">
        <v>6</v>
      </c>
      <c r="R52" s="47" t="s">
        <v>30</v>
      </c>
      <c r="S52" s="47" t="s">
        <v>24</v>
      </c>
      <c r="T52" s="47" t="s">
        <v>843</v>
      </c>
      <c r="U52" s="47"/>
      <c r="V52" s="47" t="s">
        <v>7</v>
      </c>
      <c r="W52" s="47" t="s">
        <v>10</v>
      </c>
      <c r="X52" s="47" t="s">
        <v>7</v>
      </c>
      <c r="Y52" s="47" t="s">
        <v>114</v>
      </c>
      <c r="Z52" s="47" t="s">
        <v>7</v>
      </c>
      <c r="AA52" s="47" t="s">
        <v>7</v>
      </c>
      <c r="AB52" s="47" t="s">
        <v>7</v>
      </c>
      <c r="AC52" s="47" t="s">
        <v>7</v>
      </c>
      <c r="AD52" s="47" t="s">
        <v>7</v>
      </c>
      <c r="AE52" s="47" t="s">
        <v>7</v>
      </c>
    </row>
    <row r="53" spans="1:31" x14ac:dyDescent="0.3">
      <c r="A53" s="37">
        <f ca="1">DAYS360(INDIRECT(A211&amp;ROW()),TODAY())</f>
        <v>480</v>
      </c>
      <c r="B53" s="37">
        <f ca="1">DAYS360(INDIRECT(A210&amp;ROW()),TODAY())</f>
        <v>508</v>
      </c>
      <c r="C53" s="47">
        <v>75311</v>
      </c>
      <c r="D53" s="47" t="s">
        <v>376</v>
      </c>
      <c r="E53" s="47" t="s">
        <v>701</v>
      </c>
      <c r="F53" s="47" t="s">
        <v>146</v>
      </c>
      <c r="G53" s="47" t="s">
        <v>569</v>
      </c>
      <c r="H53" s="47" t="s">
        <v>81</v>
      </c>
      <c r="I53" s="47"/>
      <c r="J53" s="48">
        <v>42416.732766203706</v>
      </c>
      <c r="K53" s="47" t="s">
        <v>20</v>
      </c>
      <c r="L53" s="47" t="s">
        <v>3</v>
      </c>
      <c r="M53" s="48">
        <v>42387.523576388892</v>
      </c>
      <c r="N53" s="47" t="s">
        <v>242</v>
      </c>
      <c r="O53" s="47"/>
      <c r="P53" s="47"/>
      <c r="Q53" s="47" t="s">
        <v>17</v>
      </c>
      <c r="R53" s="47" t="s">
        <v>30</v>
      </c>
      <c r="S53" s="47" t="s">
        <v>8</v>
      </c>
      <c r="T53" s="47" t="s">
        <v>216</v>
      </c>
      <c r="U53" s="47"/>
      <c r="V53" s="47" t="s">
        <v>7</v>
      </c>
      <c r="W53" s="47" t="s">
        <v>10</v>
      </c>
      <c r="X53" s="47" t="s">
        <v>7</v>
      </c>
      <c r="Y53" s="47" t="s">
        <v>114</v>
      </c>
      <c r="Z53" s="47" t="s">
        <v>7</v>
      </c>
      <c r="AA53" s="47" t="s">
        <v>7</v>
      </c>
      <c r="AB53" s="47" t="s">
        <v>7</v>
      </c>
      <c r="AC53" s="47" t="s">
        <v>7</v>
      </c>
      <c r="AD53" s="47" t="s">
        <v>7</v>
      </c>
      <c r="AE53" s="47" t="s">
        <v>7</v>
      </c>
    </row>
    <row r="54" spans="1:31" x14ac:dyDescent="0.3">
      <c r="A54" s="37">
        <f ca="1">DAYS360(INDIRECT(A211&amp;ROW()),TODAY())</f>
        <v>480</v>
      </c>
      <c r="B54" s="37">
        <f ca="1">DAYS360(INDIRECT(A210&amp;ROW()),TODAY())</f>
        <v>504</v>
      </c>
      <c r="C54" s="47">
        <v>75742</v>
      </c>
      <c r="D54" s="47" t="s">
        <v>374</v>
      </c>
      <c r="E54" s="47" t="s">
        <v>702</v>
      </c>
      <c r="F54" s="47" t="s">
        <v>11</v>
      </c>
      <c r="G54" s="47" t="s">
        <v>569</v>
      </c>
      <c r="H54" s="47" t="s">
        <v>81</v>
      </c>
      <c r="I54" s="47"/>
      <c r="J54" s="48">
        <v>42416.607233796298</v>
      </c>
      <c r="K54" s="47" t="s">
        <v>20</v>
      </c>
      <c r="L54" s="47" t="s">
        <v>80</v>
      </c>
      <c r="M54" s="48">
        <v>42391.347048611111</v>
      </c>
      <c r="N54" s="47" t="s">
        <v>29</v>
      </c>
      <c r="O54" s="47"/>
      <c r="P54" s="47" t="s">
        <v>347</v>
      </c>
      <c r="Q54" s="47" t="s">
        <v>6</v>
      </c>
      <c r="R54" s="47" t="s">
        <v>30</v>
      </c>
      <c r="S54" s="47" t="s">
        <v>8</v>
      </c>
      <c r="T54" s="47" t="s">
        <v>153</v>
      </c>
      <c r="U54" s="47"/>
      <c r="V54" s="47" t="s">
        <v>7</v>
      </c>
      <c r="W54" s="47" t="s">
        <v>10</v>
      </c>
      <c r="X54" s="47" t="s">
        <v>7</v>
      </c>
      <c r="Y54" s="47" t="s">
        <v>114</v>
      </c>
      <c r="Z54" s="47" t="s">
        <v>7</v>
      </c>
      <c r="AA54" s="47" t="s">
        <v>7</v>
      </c>
      <c r="AB54" s="47" t="s">
        <v>7</v>
      </c>
      <c r="AC54" s="47" t="s">
        <v>7</v>
      </c>
      <c r="AD54" s="47" t="s">
        <v>7</v>
      </c>
      <c r="AE54" s="47" t="s">
        <v>7</v>
      </c>
    </row>
    <row r="55" spans="1:31" x14ac:dyDescent="0.3">
      <c r="A55" s="37">
        <f ca="1">DAYS360(INDIRECT(A211&amp;ROW()),TODAY())</f>
        <v>504</v>
      </c>
      <c r="B55" s="37">
        <f ca="1">DAYS360(INDIRECT(A210&amp;ROW()),TODAY())</f>
        <v>504</v>
      </c>
      <c r="C55" s="47">
        <v>75751</v>
      </c>
      <c r="D55" s="47" t="s">
        <v>338</v>
      </c>
      <c r="E55" s="47" t="s">
        <v>703</v>
      </c>
      <c r="F55" s="47" t="s">
        <v>11</v>
      </c>
      <c r="G55" s="47" t="s">
        <v>569</v>
      </c>
      <c r="H55" s="47" t="s">
        <v>81</v>
      </c>
      <c r="I55" s="47"/>
      <c r="J55" s="48">
        <v>42391.485150462962</v>
      </c>
      <c r="K55" s="47" t="s">
        <v>20</v>
      </c>
      <c r="L55" s="47" t="s">
        <v>3</v>
      </c>
      <c r="M55" s="48">
        <v>42391.485150462962</v>
      </c>
      <c r="N55" s="47" t="s">
        <v>40</v>
      </c>
      <c r="O55" s="47"/>
      <c r="P55" s="47"/>
      <c r="Q55" s="47" t="s">
        <v>6</v>
      </c>
      <c r="R55" s="47" t="s">
        <v>7</v>
      </c>
      <c r="S55" s="47" t="s">
        <v>8</v>
      </c>
      <c r="T55" s="47" t="s">
        <v>122</v>
      </c>
      <c r="U55" s="47"/>
      <c r="V55" s="47" t="s">
        <v>7</v>
      </c>
      <c r="W55" s="47" t="s">
        <v>10</v>
      </c>
      <c r="X55" s="47" t="s">
        <v>7</v>
      </c>
      <c r="Y55" s="47" t="s">
        <v>114</v>
      </c>
      <c r="Z55" s="47" t="s">
        <v>7</v>
      </c>
      <c r="AA55" s="47" t="s">
        <v>7</v>
      </c>
      <c r="AB55" s="47" t="s">
        <v>7</v>
      </c>
      <c r="AC55" s="47" t="s">
        <v>7</v>
      </c>
      <c r="AD55" s="47" t="s">
        <v>7</v>
      </c>
      <c r="AE55" s="47" t="s">
        <v>7</v>
      </c>
    </row>
    <row r="56" spans="1:31" x14ac:dyDescent="0.3">
      <c r="A56" s="37">
        <f ca="1">DAYS360(INDIRECT(A211&amp;ROW()),TODAY())</f>
        <v>504</v>
      </c>
      <c r="B56" s="37">
        <f ca="1">DAYS360(INDIRECT(A210&amp;ROW()),TODAY())</f>
        <v>504</v>
      </c>
      <c r="C56" s="47">
        <v>75752</v>
      </c>
      <c r="D56" s="47" t="s">
        <v>337</v>
      </c>
      <c r="E56" s="47" t="s">
        <v>704</v>
      </c>
      <c r="F56" s="47" t="s">
        <v>11</v>
      </c>
      <c r="G56" s="47" t="s">
        <v>569</v>
      </c>
      <c r="H56" s="47" t="s">
        <v>81</v>
      </c>
      <c r="I56" s="47"/>
      <c r="J56" s="48">
        <v>42391.485277777778</v>
      </c>
      <c r="K56" s="47" t="s">
        <v>20</v>
      </c>
      <c r="L56" s="47" t="s">
        <v>3</v>
      </c>
      <c r="M56" s="48">
        <v>42391.485277777778</v>
      </c>
      <c r="N56" s="47" t="s">
        <v>168</v>
      </c>
      <c r="O56" s="47"/>
      <c r="P56" s="47"/>
      <c r="Q56" s="47" t="s">
        <v>6</v>
      </c>
      <c r="R56" s="47" t="s">
        <v>7</v>
      </c>
      <c r="S56" s="47" t="s">
        <v>8</v>
      </c>
      <c r="T56" s="47" t="s">
        <v>122</v>
      </c>
      <c r="U56" s="47"/>
      <c r="V56" s="47" t="s">
        <v>7</v>
      </c>
      <c r="W56" s="47" t="s">
        <v>10</v>
      </c>
      <c r="X56" s="47" t="s">
        <v>7</v>
      </c>
      <c r="Y56" s="47" t="s">
        <v>114</v>
      </c>
      <c r="Z56" s="47" t="s">
        <v>7</v>
      </c>
      <c r="AA56" s="47" t="s">
        <v>7</v>
      </c>
      <c r="AB56" s="47" t="s">
        <v>7</v>
      </c>
      <c r="AC56" s="47" t="s">
        <v>7</v>
      </c>
      <c r="AD56" s="47" t="s">
        <v>7</v>
      </c>
      <c r="AE56" s="47" t="s">
        <v>7</v>
      </c>
    </row>
    <row r="57" spans="1:31" x14ac:dyDescent="0.3">
      <c r="A57" s="37">
        <f ca="1">DAYS360(INDIRECT(A211&amp;ROW()),TODAY())</f>
        <v>463</v>
      </c>
      <c r="B57" s="37">
        <f ca="1">DAYS360(INDIRECT(A210&amp;ROW()),TODAY())</f>
        <v>504</v>
      </c>
      <c r="C57" s="47">
        <v>75754</v>
      </c>
      <c r="D57" s="47" t="s">
        <v>336</v>
      </c>
      <c r="E57" s="47" t="s">
        <v>705</v>
      </c>
      <c r="F57" s="47" t="s">
        <v>11</v>
      </c>
      <c r="G57" s="47" t="s">
        <v>569</v>
      </c>
      <c r="H57" s="47" t="s">
        <v>81</v>
      </c>
      <c r="I57" s="47"/>
      <c r="J57" s="48">
        <v>42432.625011574077</v>
      </c>
      <c r="K57" s="47" t="s">
        <v>20</v>
      </c>
      <c r="L57" s="47" t="s">
        <v>3</v>
      </c>
      <c r="M57" s="48">
        <v>42391.485532407409</v>
      </c>
      <c r="N57" s="47" t="s">
        <v>40</v>
      </c>
      <c r="O57" s="47"/>
      <c r="P57" s="47"/>
      <c r="Q57" s="47" t="s">
        <v>6</v>
      </c>
      <c r="R57" s="47" t="s">
        <v>30</v>
      </c>
      <c r="S57" s="47" t="s">
        <v>13</v>
      </c>
      <c r="T57" s="47" t="s">
        <v>19</v>
      </c>
      <c r="U57" s="47"/>
      <c r="V57" s="47" t="s">
        <v>7</v>
      </c>
      <c r="W57" s="47" t="s">
        <v>10</v>
      </c>
      <c r="X57" s="47" t="s">
        <v>7</v>
      </c>
      <c r="Y57" s="47" t="s">
        <v>114</v>
      </c>
      <c r="Z57" s="47" t="s">
        <v>7</v>
      </c>
      <c r="AA57" s="47" t="s">
        <v>7</v>
      </c>
      <c r="AB57" s="47" t="s">
        <v>7</v>
      </c>
      <c r="AC57" s="47" t="s">
        <v>7</v>
      </c>
      <c r="AD57" s="47" t="s">
        <v>7</v>
      </c>
      <c r="AE57" s="47" t="s">
        <v>7</v>
      </c>
    </row>
    <row r="58" spans="1:31" x14ac:dyDescent="0.3">
      <c r="A58" s="37">
        <f ca="1">DAYS360(INDIRECT(A211&amp;ROW()),TODAY())</f>
        <v>463</v>
      </c>
      <c r="B58" s="37">
        <f ca="1">DAYS360(INDIRECT(A210&amp;ROW()),TODAY())</f>
        <v>504</v>
      </c>
      <c r="C58" s="47">
        <v>75755</v>
      </c>
      <c r="D58" s="47" t="s">
        <v>650</v>
      </c>
      <c r="E58" s="47" t="s">
        <v>706</v>
      </c>
      <c r="F58" s="47" t="s">
        <v>11</v>
      </c>
      <c r="G58" s="47" t="s">
        <v>569</v>
      </c>
      <c r="H58" s="47" t="s">
        <v>81</v>
      </c>
      <c r="I58" s="47" t="s">
        <v>666</v>
      </c>
      <c r="J58" s="48">
        <v>42432.619953703703</v>
      </c>
      <c r="K58" s="47" t="s">
        <v>20</v>
      </c>
      <c r="L58" s="47" t="s">
        <v>45</v>
      </c>
      <c r="M58" s="48">
        <v>42391.485775462963</v>
      </c>
      <c r="N58" s="47" t="s">
        <v>40</v>
      </c>
      <c r="O58" s="47"/>
      <c r="P58" s="47"/>
      <c r="Q58" s="47" t="s">
        <v>6</v>
      </c>
      <c r="R58" s="47" t="s">
        <v>30</v>
      </c>
      <c r="S58" s="47" t="s">
        <v>13</v>
      </c>
      <c r="T58" s="47" t="s">
        <v>19</v>
      </c>
      <c r="U58" s="47"/>
      <c r="V58" s="47" t="s">
        <v>7</v>
      </c>
      <c r="W58" s="47" t="s">
        <v>10</v>
      </c>
      <c r="X58" s="47" t="s">
        <v>7</v>
      </c>
      <c r="Y58" s="47" t="s">
        <v>114</v>
      </c>
      <c r="Z58" s="47" t="s">
        <v>7</v>
      </c>
      <c r="AA58" s="47" t="s">
        <v>7</v>
      </c>
      <c r="AB58" s="47" t="s">
        <v>7</v>
      </c>
      <c r="AC58" s="47" t="s">
        <v>7</v>
      </c>
      <c r="AD58" s="47" t="s">
        <v>7</v>
      </c>
      <c r="AE58" s="47" t="s">
        <v>7</v>
      </c>
    </row>
    <row r="59" spans="1:31" x14ac:dyDescent="0.3">
      <c r="A59" s="37">
        <f ca="1">DAYS360(INDIRECT(A211&amp;ROW()),TODAY())</f>
        <v>463</v>
      </c>
      <c r="B59" s="37">
        <f ca="1">DAYS360(INDIRECT(A210&amp;ROW()),TODAY())</f>
        <v>500</v>
      </c>
      <c r="C59" s="47">
        <v>75896</v>
      </c>
      <c r="D59" s="47" t="s">
        <v>376</v>
      </c>
      <c r="E59" s="47" t="s">
        <v>844</v>
      </c>
      <c r="F59" s="47" t="s">
        <v>11</v>
      </c>
      <c r="G59" s="47" t="s">
        <v>569</v>
      </c>
      <c r="H59" s="47" t="s">
        <v>81</v>
      </c>
      <c r="I59" s="47"/>
      <c r="J59" s="48">
        <v>42432.588622685187</v>
      </c>
      <c r="K59" s="47" t="s">
        <v>20</v>
      </c>
      <c r="L59" s="47" t="s">
        <v>48</v>
      </c>
      <c r="M59" s="48">
        <v>42395.299189814818</v>
      </c>
      <c r="N59" s="47" t="s">
        <v>638</v>
      </c>
      <c r="O59" s="47"/>
      <c r="P59" s="47"/>
      <c r="Q59" s="47" t="s">
        <v>6</v>
      </c>
      <c r="R59" s="47" t="s">
        <v>30</v>
      </c>
      <c r="S59" s="47" t="s">
        <v>13</v>
      </c>
      <c r="T59" s="47" t="s">
        <v>19</v>
      </c>
      <c r="U59" s="47"/>
      <c r="V59" s="47" t="s">
        <v>7</v>
      </c>
      <c r="W59" s="47" t="s">
        <v>10</v>
      </c>
      <c r="X59" s="47" t="s">
        <v>7</v>
      </c>
      <c r="Y59" s="47" t="s">
        <v>114</v>
      </c>
      <c r="Z59" s="47" t="s">
        <v>7</v>
      </c>
      <c r="AA59" s="47" t="s">
        <v>7</v>
      </c>
      <c r="AB59" s="47" t="s">
        <v>7</v>
      </c>
      <c r="AC59" s="47" t="s">
        <v>7</v>
      </c>
      <c r="AD59" s="47" t="s">
        <v>7</v>
      </c>
      <c r="AE59" s="47" t="s">
        <v>7</v>
      </c>
    </row>
    <row r="60" spans="1:31" x14ac:dyDescent="0.3">
      <c r="A60" s="37">
        <f ca="1">DAYS360(INDIRECT(A211&amp;ROW()),TODAY())</f>
        <v>466</v>
      </c>
      <c r="B60" s="37">
        <f ca="1">DAYS360(INDIRECT(A210&amp;ROW()),TODAY())</f>
        <v>499</v>
      </c>
      <c r="C60" s="47">
        <v>76037</v>
      </c>
      <c r="D60" s="47" t="s">
        <v>332</v>
      </c>
      <c r="E60" s="47" t="s">
        <v>845</v>
      </c>
      <c r="F60" s="47" t="s">
        <v>146</v>
      </c>
      <c r="G60" s="47" t="s">
        <v>569</v>
      </c>
      <c r="H60" s="47" t="s">
        <v>81</v>
      </c>
      <c r="I60" s="47"/>
      <c r="J60" s="48">
        <v>42429.626770833333</v>
      </c>
      <c r="K60" s="47" t="s">
        <v>20</v>
      </c>
      <c r="L60" s="47" t="s">
        <v>48</v>
      </c>
      <c r="M60" s="48">
        <v>42396.692870370367</v>
      </c>
      <c r="N60" s="47" t="s">
        <v>84</v>
      </c>
      <c r="O60" s="47"/>
      <c r="P60" s="47"/>
      <c r="Q60" s="47" t="s">
        <v>12</v>
      </c>
      <c r="R60" s="47" t="s">
        <v>30</v>
      </c>
      <c r="S60" s="47" t="s">
        <v>13</v>
      </c>
      <c r="T60" s="47" t="s">
        <v>19</v>
      </c>
      <c r="U60" s="47"/>
      <c r="V60" s="47" t="s">
        <v>7</v>
      </c>
      <c r="W60" s="47" t="s">
        <v>89</v>
      </c>
      <c r="X60" s="47" t="s">
        <v>7</v>
      </c>
      <c r="Y60" s="47" t="s">
        <v>114</v>
      </c>
      <c r="Z60" s="47" t="s">
        <v>7</v>
      </c>
      <c r="AA60" s="47" t="s">
        <v>7</v>
      </c>
      <c r="AB60" s="47" t="s">
        <v>7</v>
      </c>
      <c r="AC60" s="47" t="s">
        <v>7</v>
      </c>
      <c r="AD60" s="47" t="s">
        <v>7</v>
      </c>
      <c r="AE60" s="47" t="s">
        <v>7</v>
      </c>
    </row>
    <row r="61" spans="1:31" x14ac:dyDescent="0.3">
      <c r="A61" s="37">
        <f ca="1">DAYS360(INDIRECT(A211&amp;ROW()),TODAY())</f>
        <v>499</v>
      </c>
      <c r="B61" s="37">
        <f ca="1">DAYS360(INDIRECT(A210&amp;ROW()),TODAY())</f>
        <v>499</v>
      </c>
      <c r="C61" s="47">
        <v>76038</v>
      </c>
      <c r="D61" s="47" t="s">
        <v>338</v>
      </c>
      <c r="E61" s="47" t="s">
        <v>846</v>
      </c>
      <c r="F61" s="47" t="s">
        <v>146</v>
      </c>
      <c r="G61" s="47" t="s">
        <v>569</v>
      </c>
      <c r="H61" s="47" t="s">
        <v>81</v>
      </c>
      <c r="I61" s="47"/>
      <c r="J61" s="48">
        <v>42396.693159722221</v>
      </c>
      <c r="K61" s="47" t="s">
        <v>20</v>
      </c>
      <c r="L61" s="47" t="s">
        <v>80</v>
      </c>
      <c r="M61" s="48">
        <v>42396.693159722221</v>
      </c>
      <c r="N61" s="47" t="s">
        <v>120</v>
      </c>
      <c r="O61" s="47"/>
      <c r="P61" s="47"/>
      <c r="Q61" s="47" t="s">
        <v>12</v>
      </c>
      <c r="R61" s="47" t="s">
        <v>30</v>
      </c>
      <c r="S61" s="47" t="s">
        <v>8</v>
      </c>
      <c r="T61" s="47" t="s">
        <v>122</v>
      </c>
      <c r="U61" s="47"/>
      <c r="V61" s="47" t="s">
        <v>7</v>
      </c>
      <c r="W61" s="47" t="s">
        <v>10</v>
      </c>
      <c r="X61" s="47" t="s">
        <v>7</v>
      </c>
      <c r="Y61" s="47" t="s">
        <v>114</v>
      </c>
      <c r="Z61" s="47" t="s">
        <v>7</v>
      </c>
      <c r="AA61" s="47" t="s">
        <v>7</v>
      </c>
      <c r="AB61" s="47" t="s">
        <v>7</v>
      </c>
      <c r="AC61" s="47" t="s">
        <v>7</v>
      </c>
      <c r="AD61" s="47" t="s">
        <v>7</v>
      </c>
      <c r="AE61" s="47" t="s">
        <v>7</v>
      </c>
    </row>
    <row r="62" spans="1:31" x14ac:dyDescent="0.3">
      <c r="A62" s="37">
        <f ca="1">DAYS360(INDIRECT(A211&amp;ROW()),TODAY())</f>
        <v>499</v>
      </c>
      <c r="B62" s="37">
        <f ca="1">DAYS360(INDIRECT(A210&amp;ROW()),TODAY())</f>
        <v>499</v>
      </c>
      <c r="C62" s="47">
        <v>76039</v>
      </c>
      <c r="D62" s="47" t="s">
        <v>376</v>
      </c>
      <c r="E62" s="47" t="s">
        <v>847</v>
      </c>
      <c r="F62" s="47" t="s">
        <v>146</v>
      </c>
      <c r="G62" s="47" t="s">
        <v>569</v>
      </c>
      <c r="H62" s="47" t="s">
        <v>81</v>
      </c>
      <c r="I62" s="47"/>
      <c r="J62" s="48">
        <v>42396.69327546296</v>
      </c>
      <c r="K62" s="47" t="s">
        <v>20</v>
      </c>
      <c r="L62" s="47" t="s">
        <v>48</v>
      </c>
      <c r="M62" s="48">
        <v>42396.69327546296</v>
      </c>
      <c r="N62" s="47" t="s">
        <v>120</v>
      </c>
      <c r="O62" s="47"/>
      <c r="P62" s="47"/>
      <c r="Q62" s="47" t="s">
        <v>12</v>
      </c>
      <c r="R62" s="47" t="s">
        <v>30</v>
      </c>
      <c r="S62" s="47" t="s">
        <v>13</v>
      </c>
      <c r="T62" s="47" t="s">
        <v>19</v>
      </c>
      <c r="U62" s="47"/>
      <c r="V62" s="47" t="s">
        <v>7</v>
      </c>
      <c r="W62" s="47" t="s">
        <v>10</v>
      </c>
      <c r="X62" s="47" t="s">
        <v>7</v>
      </c>
      <c r="Y62" s="47" t="s">
        <v>114</v>
      </c>
      <c r="Z62" s="47" t="s">
        <v>7</v>
      </c>
      <c r="AA62" s="47" t="s">
        <v>7</v>
      </c>
      <c r="AB62" s="47" t="s">
        <v>7</v>
      </c>
      <c r="AC62" s="47" t="s">
        <v>7</v>
      </c>
      <c r="AD62" s="47" t="s">
        <v>7</v>
      </c>
      <c r="AE62" s="47" t="s">
        <v>7</v>
      </c>
    </row>
    <row r="63" spans="1:31" x14ac:dyDescent="0.3">
      <c r="A63" s="37">
        <f ca="1">DAYS360(INDIRECT(A211&amp;ROW()),TODAY())</f>
        <v>486</v>
      </c>
      <c r="B63" s="37">
        <f ca="1">DAYS360(INDIRECT(A210&amp;ROW()),TODAY())</f>
        <v>499</v>
      </c>
      <c r="C63" s="47">
        <v>76040</v>
      </c>
      <c r="D63" s="47" t="s">
        <v>331</v>
      </c>
      <c r="E63" s="47" t="s">
        <v>848</v>
      </c>
      <c r="F63" s="47" t="s">
        <v>146</v>
      </c>
      <c r="G63" s="47" t="s">
        <v>569</v>
      </c>
      <c r="H63" s="47" t="s">
        <v>81</v>
      </c>
      <c r="I63" s="47"/>
      <c r="J63" s="48">
        <v>42410.563113425924</v>
      </c>
      <c r="K63" s="47" t="s">
        <v>20</v>
      </c>
      <c r="L63" s="47" t="s">
        <v>3</v>
      </c>
      <c r="M63" s="48">
        <v>42396.693414351852</v>
      </c>
      <c r="N63" s="47" t="s">
        <v>5</v>
      </c>
      <c r="O63" s="47"/>
      <c r="P63" s="47"/>
      <c r="Q63" s="47" t="s">
        <v>12</v>
      </c>
      <c r="R63" s="47" t="s">
        <v>849</v>
      </c>
      <c r="S63" s="47" t="s">
        <v>13</v>
      </c>
      <c r="T63" s="47" t="s">
        <v>19</v>
      </c>
      <c r="U63" s="47"/>
      <c r="V63" s="47" t="s">
        <v>7</v>
      </c>
      <c r="W63" s="47" t="s">
        <v>10</v>
      </c>
      <c r="X63" s="47" t="s">
        <v>7</v>
      </c>
      <c r="Y63" s="47" t="s">
        <v>114</v>
      </c>
      <c r="Z63" s="47" t="s">
        <v>7</v>
      </c>
      <c r="AA63" s="47" t="s">
        <v>7</v>
      </c>
      <c r="AB63" s="47" t="s">
        <v>7</v>
      </c>
      <c r="AC63" s="47" t="s">
        <v>7</v>
      </c>
      <c r="AD63" s="47" t="s">
        <v>7</v>
      </c>
      <c r="AE63" s="47" t="s">
        <v>7</v>
      </c>
    </row>
    <row r="64" spans="1:31" x14ac:dyDescent="0.3">
      <c r="A64" s="37">
        <f ca="1">DAYS360(INDIRECT(A211&amp;ROW()),TODAY())</f>
        <v>494</v>
      </c>
      <c r="B64" s="37">
        <f ca="1">DAYS360(INDIRECT(A210&amp;ROW()),TODAY())</f>
        <v>499</v>
      </c>
      <c r="C64" s="47">
        <v>76041</v>
      </c>
      <c r="D64" s="47" t="s">
        <v>332</v>
      </c>
      <c r="E64" s="47" t="s">
        <v>850</v>
      </c>
      <c r="F64" s="47" t="s">
        <v>146</v>
      </c>
      <c r="G64" s="47" t="s">
        <v>569</v>
      </c>
      <c r="H64" s="47" t="s">
        <v>81</v>
      </c>
      <c r="I64" s="47"/>
      <c r="J64" s="48">
        <v>42402.62358796296</v>
      </c>
      <c r="K64" s="47" t="s">
        <v>20</v>
      </c>
      <c r="L64" s="47" t="s">
        <v>3</v>
      </c>
      <c r="M64" s="48">
        <v>42396.69358796296</v>
      </c>
      <c r="N64" s="47" t="s">
        <v>43</v>
      </c>
      <c r="O64" s="47"/>
      <c r="P64" s="47"/>
      <c r="Q64" s="47" t="s">
        <v>12</v>
      </c>
      <c r="R64" s="47" t="s">
        <v>7</v>
      </c>
      <c r="S64" s="47" t="s">
        <v>24</v>
      </c>
      <c r="T64" s="47" t="s">
        <v>31</v>
      </c>
      <c r="U64" s="47"/>
      <c r="V64" s="47" t="s">
        <v>7</v>
      </c>
      <c r="W64" s="47" t="s">
        <v>10</v>
      </c>
      <c r="X64" s="47" t="s">
        <v>7</v>
      </c>
      <c r="Y64" s="47" t="s">
        <v>114</v>
      </c>
      <c r="Z64" s="47" t="s">
        <v>7</v>
      </c>
      <c r="AA64" s="47" t="s">
        <v>7</v>
      </c>
      <c r="AB64" s="47" t="s">
        <v>7</v>
      </c>
      <c r="AC64" s="47" t="s">
        <v>7</v>
      </c>
      <c r="AD64" s="47" t="s">
        <v>7</v>
      </c>
      <c r="AE64" s="47" t="s">
        <v>7</v>
      </c>
    </row>
    <row r="65" spans="1:31" x14ac:dyDescent="0.3">
      <c r="A65" s="37">
        <f ca="1">DAYS360(INDIRECT(A211&amp;ROW()),TODAY())</f>
        <v>471</v>
      </c>
      <c r="B65" s="37">
        <f ca="1">DAYS360(INDIRECT(A210&amp;ROW()),TODAY())</f>
        <v>499</v>
      </c>
      <c r="C65" s="47">
        <v>76042</v>
      </c>
      <c r="D65" s="47" t="s">
        <v>392</v>
      </c>
      <c r="E65" s="47" t="s">
        <v>851</v>
      </c>
      <c r="F65" s="47" t="s">
        <v>146</v>
      </c>
      <c r="G65" s="47" t="s">
        <v>569</v>
      </c>
      <c r="H65" s="47" t="s">
        <v>81</v>
      </c>
      <c r="I65" s="47"/>
      <c r="J65" s="48">
        <v>42425.405949074076</v>
      </c>
      <c r="K65" s="47" t="s">
        <v>20</v>
      </c>
      <c r="L65" s="47" t="s">
        <v>3</v>
      </c>
      <c r="M65" s="48">
        <v>42396.693819444445</v>
      </c>
      <c r="N65" s="47" t="s">
        <v>5</v>
      </c>
      <c r="O65" s="47"/>
      <c r="P65" s="47"/>
      <c r="Q65" s="47" t="s">
        <v>12</v>
      </c>
      <c r="R65" s="47" t="s">
        <v>7</v>
      </c>
      <c r="S65" s="47" t="s">
        <v>13</v>
      </c>
      <c r="T65" s="47" t="s">
        <v>103</v>
      </c>
      <c r="U65" s="47"/>
      <c r="V65" s="47" t="s">
        <v>7</v>
      </c>
      <c r="W65" s="47" t="s">
        <v>26</v>
      </c>
      <c r="X65" s="47" t="s">
        <v>7</v>
      </c>
      <c r="Y65" s="47" t="s">
        <v>114</v>
      </c>
      <c r="Z65" s="47" t="s">
        <v>7</v>
      </c>
      <c r="AA65" s="47" t="s">
        <v>7</v>
      </c>
      <c r="AB65" s="47" t="s">
        <v>7</v>
      </c>
      <c r="AC65" s="47" t="s">
        <v>7</v>
      </c>
      <c r="AD65" s="47" t="s">
        <v>7</v>
      </c>
      <c r="AE65" s="47" t="s">
        <v>7</v>
      </c>
    </row>
    <row r="66" spans="1:31" x14ac:dyDescent="0.3">
      <c r="A66" s="37">
        <f ca="1">DAYS360(INDIRECT(A211&amp;ROW()),TODAY())</f>
        <v>487</v>
      </c>
      <c r="B66" s="37">
        <f ca="1">DAYS360(INDIRECT(A210&amp;ROW()),TODAY())</f>
        <v>499</v>
      </c>
      <c r="C66" s="47">
        <v>76043</v>
      </c>
      <c r="D66" s="47" t="s">
        <v>339</v>
      </c>
      <c r="E66" s="47" t="s">
        <v>852</v>
      </c>
      <c r="F66" s="47" t="s">
        <v>146</v>
      </c>
      <c r="G66" s="47" t="s">
        <v>569</v>
      </c>
      <c r="H66" s="47" t="s">
        <v>81</v>
      </c>
      <c r="I66" s="47"/>
      <c r="J66" s="48">
        <v>42409.360636574071</v>
      </c>
      <c r="K66" s="47" t="s">
        <v>20</v>
      </c>
      <c r="L66" s="47" t="s">
        <v>3</v>
      </c>
      <c r="M66" s="48">
        <v>42396.69394675926</v>
      </c>
      <c r="N66" s="47" t="s">
        <v>40</v>
      </c>
      <c r="O66" s="47"/>
      <c r="P66" s="47"/>
      <c r="Q66" s="47" t="s">
        <v>12</v>
      </c>
      <c r="R66" s="47" t="s">
        <v>7</v>
      </c>
      <c r="S66" s="47" t="s">
        <v>8</v>
      </c>
      <c r="T66" s="47" t="s">
        <v>479</v>
      </c>
      <c r="U66" s="47"/>
      <c r="V66" s="47" t="s">
        <v>7</v>
      </c>
      <c r="W66" s="47" t="s">
        <v>10</v>
      </c>
      <c r="X66" s="47" t="s">
        <v>7</v>
      </c>
      <c r="Y66" s="47" t="s">
        <v>114</v>
      </c>
      <c r="Z66" s="47" t="s">
        <v>7</v>
      </c>
      <c r="AA66" s="47" t="s">
        <v>7</v>
      </c>
      <c r="AB66" s="47" t="s">
        <v>7</v>
      </c>
      <c r="AC66" s="47" t="s">
        <v>7</v>
      </c>
      <c r="AD66" s="47" t="s">
        <v>7</v>
      </c>
      <c r="AE66" s="47" t="s">
        <v>7</v>
      </c>
    </row>
    <row r="67" spans="1:31" x14ac:dyDescent="0.3">
      <c r="A67" s="37">
        <f ca="1">DAYS360(INDIRECT(A211&amp;ROW()),TODAY())</f>
        <v>471</v>
      </c>
      <c r="B67" s="37">
        <f ca="1">DAYS360(INDIRECT(A210&amp;ROW()),TODAY())</f>
        <v>499</v>
      </c>
      <c r="C67" s="47">
        <v>76044</v>
      </c>
      <c r="D67" s="47" t="s">
        <v>376</v>
      </c>
      <c r="E67" s="47" t="s">
        <v>853</v>
      </c>
      <c r="F67" s="47" t="s">
        <v>146</v>
      </c>
      <c r="G67" s="47" t="s">
        <v>569</v>
      </c>
      <c r="H67" s="47" t="s">
        <v>81</v>
      </c>
      <c r="I67" s="47"/>
      <c r="J67" s="48">
        <v>42425.411122685182</v>
      </c>
      <c r="K67" s="47" t="s">
        <v>20</v>
      </c>
      <c r="L67" s="47" t="s">
        <v>3</v>
      </c>
      <c r="M67" s="48">
        <v>42396.694178240738</v>
      </c>
      <c r="N67" s="47" t="s">
        <v>29</v>
      </c>
      <c r="O67" s="47"/>
      <c r="P67" s="47"/>
      <c r="Q67" s="47" t="s">
        <v>12</v>
      </c>
      <c r="R67" s="47" t="s">
        <v>30</v>
      </c>
      <c r="S67" s="47" t="s">
        <v>13</v>
      </c>
      <c r="T67" s="47" t="s">
        <v>19</v>
      </c>
      <c r="U67" s="47"/>
      <c r="V67" s="47" t="s">
        <v>7</v>
      </c>
      <c r="W67" s="47" t="s">
        <v>10</v>
      </c>
      <c r="X67" s="47" t="s">
        <v>7</v>
      </c>
      <c r="Y67" s="47" t="s">
        <v>114</v>
      </c>
      <c r="Z67" s="47" t="s">
        <v>7</v>
      </c>
      <c r="AA67" s="47" t="s">
        <v>7</v>
      </c>
      <c r="AB67" s="47" t="s">
        <v>7</v>
      </c>
      <c r="AC67" s="47" t="s">
        <v>7</v>
      </c>
      <c r="AD67" s="47" t="s">
        <v>7</v>
      </c>
      <c r="AE67" s="47" t="s">
        <v>7</v>
      </c>
    </row>
    <row r="68" spans="1:31" x14ac:dyDescent="0.3">
      <c r="A68" s="37">
        <f ca="1">DAYS360(INDIRECT(A211&amp;ROW()),TODAY())</f>
        <v>499</v>
      </c>
      <c r="B68" s="37">
        <f ca="1">DAYS360(INDIRECT(A210&amp;ROW()),TODAY())</f>
        <v>499</v>
      </c>
      <c r="C68" s="47">
        <v>76045</v>
      </c>
      <c r="D68" s="47" t="s">
        <v>402</v>
      </c>
      <c r="E68" s="47" t="s">
        <v>854</v>
      </c>
      <c r="F68" s="47" t="s">
        <v>146</v>
      </c>
      <c r="G68" s="47" t="s">
        <v>569</v>
      </c>
      <c r="H68" s="47" t="s">
        <v>81</v>
      </c>
      <c r="I68" s="47"/>
      <c r="J68" s="48">
        <v>42396.729467592595</v>
      </c>
      <c r="K68" s="47" t="s">
        <v>20</v>
      </c>
      <c r="L68" s="47" t="s">
        <v>3</v>
      </c>
      <c r="M68" s="48">
        <v>42396.729467592595</v>
      </c>
      <c r="N68" s="47" t="s">
        <v>22</v>
      </c>
      <c r="O68" s="47"/>
      <c r="P68" s="47"/>
      <c r="Q68" s="47" t="s">
        <v>17</v>
      </c>
      <c r="R68" s="47" t="s">
        <v>30</v>
      </c>
      <c r="S68" s="47" t="s">
        <v>24</v>
      </c>
      <c r="T68" s="47" t="s">
        <v>404</v>
      </c>
      <c r="U68" s="47"/>
      <c r="V68" s="47" t="s">
        <v>7</v>
      </c>
      <c r="W68" s="47" t="s">
        <v>10</v>
      </c>
      <c r="X68" s="47" t="s">
        <v>7</v>
      </c>
      <c r="Y68" s="47" t="s">
        <v>114</v>
      </c>
      <c r="Z68" s="47" t="s">
        <v>7</v>
      </c>
      <c r="AA68" s="47" t="s">
        <v>7</v>
      </c>
      <c r="AB68" s="47" t="s">
        <v>7</v>
      </c>
      <c r="AC68" s="47" t="s">
        <v>7</v>
      </c>
      <c r="AD68" s="47" t="s">
        <v>7</v>
      </c>
      <c r="AE68" s="47" t="s">
        <v>7</v>
      </c>
    </row>
    <row r="69" spans="1:31" x14ac:dyDescent="0.3">
      <c r="A69" s="37">
        <f ca="1">DAYS360(INDIRECT(A211&amp;ROW()),TODAY())</f>
        <v>499</v>
      </c>
      <c r="B69" s="37">
        <f ca="1">DAYS360(INDIRECT(A210&amp;ROW()),TODAY())</f>
        <v>499</v>
      </c>
      <c r="C69" s="47">
        <v>76047</v>
      </c>
      <c r="D69" s="47" t="s">
        <v>332</v>
      </c>
      <c r="E69" s="47" t="s">
        <v>855</v>
      </c>
      <c r="F69" s="47" t="s">
        <v>146</v>
      </c>
      <c r="G69" s="47" t="s">
        <v>569</v>
      </c>
      <c r="H69" s="47" t="s">
        <v>81</v>
      </c>
      <c r="I69" s="47"/>
      <c r="J69" s="48">
        <v>42396.729861111111</v>
      </c>
      <c r="K69" s="47" t="s">
        <v>20</v>
      </c>
      <c r="L69" s="47" t="s">
        <v>80</v>
      </c>
      <c r="M69" s="48">
        <v>42396.729861111111</v>
      </c>
      <c r="N69" s="47" t="s">
        <v>56</v>
      </c>
      <c r="O69" s="47"/>
      <c r="P69" s="47"/>
      <c r="Q69" s="47" t="s">
        <v>17</v>
      </c>
      <c r="R69" s="47" t="s">
        <v>30</v>
      </c>
      <c r="S69" s="47" t="s">
        <v>24</v>
      </c>
      <c r="T69" s="47" t="s">
        <v>213</v>
      </c>
      <c r="U69" s="47"/>
      <c r="V69" s="47" t="s">
        <v>7</v>
      </c>
      <c r="W69" s="47" t="s">
        <v>10</v>
      </c>
      <c r="X69" s="47" t="s">
        <v>7</v>
      </c>
      <c r="Y69" s="47" t="s">
        <v>114</v>
      </c>
      <c r="Z69" s="47" t="s">
        <v>7</v>
      </c>
      <c r="AA69" s="47" t="s">
        <v>7</v>
      </c>
      <c r="AB69" s="47" t="s">
        <v>7</v>
      </c>
      <c r="AC69" s="47" t="s">
        <v>7</v>
      </c>
      <c r="AD69" s="47" t="s">
        <v>7</v>
      </c>
      <c r="AE69" s="47" t="s">
        <v>7</v>
      </c>
    </row>
    <row r="70" spans="1:31" x14ac:dyDescent="0.3">
      <c r="A70" s="37">
        <f ca="1">DAYS360(INDIRECT(A211&amp;ROW()),TODAY())</f>
        <v>499</v>
      </c>
      <c r="B70" s="37">
        <f ca="1">DAYS360(INDIRECT(A210&amp;ROW()),TODAY())</f>
        <v>499</v>
      </c>
      <c r="C70" s="47">
        <v>76048</v>
      </c>
      <c r="D70" s="47" t="s">
        <v>342</v>
      </c>
      <c r="E70" s="47" t="s">
        <v>856</v>
      </c>
      <c r="F70" s="47" t="s">
        <v>146</v>
      </c>
      <c r="G70" s="47" t="s">
        <v>569</v>
      </c>
      <c r="H70" s="47" t="s">
        <v>81</v>
      </c>
      <c r="I70" s="47"/>
      <c r="J70" s="48">
        <v>42396.730034722219</v>
      </c>
      <c r="K70" s="47" t="s">
        <v>20</v>
      </c>
      <c r="L70" s="47" t="s">
        <v>3</v>
      </c>
      <c r="M70" s="48">
        <v>42396.730034722219</v>
      </c>
      <c r="N70" s="47" t="s">
        <v>40</v>
      </c>
      <c r="O70" s="47"/>
      <c r="P70" s="47"/>
      <c r="Q70" s="47" t="s">
        <v>17</v>
      </c>
      <c r="R70" s="47" t="s">
        <v>30</v>
      </c>
      <c r="S70" s="47" t="s">
        <v>24</v>
      </c>
      <c r="T70" s="47" t="s">
        <v>213</v>
      </c>
      <c r="U70" s="47"/>
      <c r="V70" s="47" t="s">
        <v>7</v>
      </c>
      <c r="W70" s="47" t="s">
        <v>10</v>
      </c>
      <c r="X70" s="47" t="s">
        <v>7</v>
      </c>
      <c r="Y70" s="47" t="s">
        <v>114</v>
      </c>
      <c r="Z70" s="47" t="s">
        <v>7</v>
      </c>
      <c r="AA70" s="47" t="s">
        <v>7</v>
      </c>
      <c r="AB70" s="47" t="s">
        <v>7</v>
      </c>
      <c r="AC70" s="47" t="s">
        <v>7</v>
      </c>
      <c r="AD70" s="47" t="s">
        <v>7</v>
      </c>
      <c r="AE70" s="47" t="s">
        <v>7</v>
      </c>
    </row>
    <row r="71" spans="1:31" x14ac:dyDescent="0.3">
      <c r="A71" s="37">
        <f ca="1">DAYS360(INDIRECT(A211&amp;ROW()),TODAY())</f>
        <v>499</v>
      </c>
      <c r="B71" s="37">
        <f ca="1">DAYS360(INDIRECT(A210&amp;ROW()),TODAY())</f>
        <v>499</v>
      </c>
      <c r="C71" s="47">
        <v>76049</v>
      </c>
      <c r="D71" s="47" t="s">
        <v>376</v>
      </c>
      <c r="E71" s="47" t="s">
        <v>857</v>
      </c>
      <c r="F71" s="47" t="s">
        <v>146</v>
      </c>
      <c r="G71" s="47" t="s">
        <v>569</v>
      </c>
      <c r="H71" s="47" t="s">
        <v>81</v>
      </c>
      <c r="I71" s="47" t="s">
        <v>666</v>
      </c>
      <c r="J71" s="48">
        <v>42396.730150462965</v>
      </c>
      <c r="K71" s="47" t="s">
        <v>20</v>
      </c>
      <c r="L71" s="47" t="s">
        <v>3</v>
      </c>
      <c r="M71" s="48">
        <v>42396.730150462965</v>
      </c>
      <c r="N71" s="47" t="s">
        <v>116</v>
      </c>
      <c r="O71" s="47"/>
      <c r="P71" s="47"/>
      <c r="Q71" s="47" t="s">
        <v>17</v>
      </c>
      <c r="R71" s="47" t="s">
        <v>7</v>
      </c>
      <c r="S71" s="47" t="s">
        <v>13</v>
      </c>
      <c r="T71" s="47" t="s">
        <v>19</v>
      </c>
      <c r="U71" s="47"/>
      <c r="V71" s="47" t="s">
        <v>7</v>
      </c>
      <c r="W71" s="47" t="s">
        <v>26</v>
      </c>
      <c r="X71" s="47" t="s">
        <v>7</v>
      </c>
      <c r="Y71" s="47" t="s">
        <v>114</v>
      </c>
      <c r="Z71" s="47" t="s">
        <v>7</v>
      </c>
      <c r="AA71" s="47" t="s">
        <v>7</v>
      </c>
      <c r="AB71" s="47" t="s">
        <v>7</v>
      </c>
      <c r="AC71" s="47" t="s">
        <v>7</v>
      </c>
      <c r="AD71" s="47" t="s">
        <v>7</v>
      </c>
      <c r="AE71" s="47" t="s">
        <v>7</v>
      </c>
    </row>
    <row r="72" spans="1:31" x14ac:dyDescent="0.3">
      <c r="A72" s="37">
        <f ca="1">DAYS360(INDIRECT(A211&amp;ROW()),TODAY())</f>
        <v>480</v>
      </c>
      <c r="B72" s="37">
        <f ca="1">DAYS360(INDIRECT(A210&amp;ROW()),TODAY())</f>
        <v>499</v>
      </c>
      <c r="C72" s="47">
        <v>76050</v>
      </c>
      <c r="D72" s="47" t="s">
        <v>371</v>
      </c>
      <c r="E72" s="47" t="s">
        <v>858</v>
      </c>
      <c r="F72" s="47" t="s">
        <v>146</v>
      </c>
      <c r="G72" s="47" t="s">
        <v>569</v>
      </c>
      <c r="H72" s="47" t="s">
        <v>81</v>
      </c>
      <c r="I72" s="47"/>
      <c r="J72" s="48">
        <v>42416.621319444443</v>
      </c>
      <c r="K72" s="47" t="s">
        <v>20</v>
      </c>
      <c r="L72" s="47" t="s">
        <v>3</v>
      </c>
      <c r="M72" s="48">
        <v>42396.730358796296</v>
      </c>
      <c r="N72" s="47" t="s">
        <v>29</v>
      </c>
      <c r="O72" s="47"/>
      <c r="P72" s="47"/>
      <c r="Q72" s="47" t="s">
        <v>17</v>
      </c>
      <c r="R72" s="47" t="s">
        <v>30</v>
      </c>
      <c r="S72" s="47" t="s">
        <v>8</v>
      </c>
      <c r="T72" s="47" t="s">
        <v>38</v>
      </c>
      <c r="U72" s="47"/>
      <c r="V72" s="47" t="s">
        <v>7</v>
      </c>
      <c r="W72" s="47" t="s">
        <v>10</v>
      </c>
      <c r="X72" s="47" t="s">
        <v>7</v>
      </c>
      <c r="Y72" s="47" t="s">
        <v>114</v>
      </c>
      <c r="Z72" s="47" t="s">
        <v>7</v>
      </c>
      <c r="AA72" s="47" t="s">
        <v>7</v>
      </c>
      <c r="AB72" s="47" t="s">
        <v>7</v>
      </c>
      <c r="AC72" s="47" t="s">
        <v>7</v>
      </c>
      <c r="AD72" s="47" t="s">
        <v>7</v>
      </c>
      <c r="AE72" s="47" t="s">
        <v>7</v>
      </c>
    </row>
    <row r="73" spans="1:31" x14ac:dyDescent="0.3">
      <c r="A73" s="37">
        <f ca="1">DAYS360(INDIRECT(A211&amp;ROW()),TODAY())</f>
        <v>499</v>
      </c>
      <c r="B73" s="37">
        <f ca="1">DAYS360(INDIRECT(A210&amp;ROW()),TODAY())</f>
        <v>499</v>
      </c>
      <c r="C73" s="47">
        <v>76052</v>
      </c>
      <c r="D73" s="47" t="s">
        <v>859</v>
      </c>
      <c r="E73" s="47" t="s">
        <v>860</v>
      </c>
      <c r="F73" s="47" t="s">
        <v>146</v>
      </c>
      <c r="G73" s="47" t="s">
        <v>569</v>
      </c>
      <c r="H73" s="47" t="s">
        <v>81</v>
      </c>
      <c r="I73" s="47"/>
      <c r="J73" s="48">
        <v>42396.73065972222</v>
      </c>
      <c r="K73" s="47" t="s">
        <v>20</v>
      </c>
      <c r="L73" s="47" t="s">
        <v>3</v>
      </c>
      <c r="M73" s="48">
        <v>42396.73065972222</v>
      </c>
      <c r="N73" s="47" t="s">
        <v>481</v>
      </c>
      <c r="O73" s="47"/>
      <c r="P73" s="47"/>
      <c r="Q73" s="47" t="s">
        <v>17</v>
      </c>
      <c r="R73" s="47" t="s">
        <v>30</v>
      </c>
      <c r="S73" s="47" t="s">
        <v>24</v>
      </c>
      <c r="T73" s="47" t="s">
        <v>46</v>
      </c>
      <c r="U73" s="47"/>
      <c r="V73" s="47" t="s">
        <v>7</v>
      </c>
      <c r="W73" s="47" t="s">
        <v>10</v>
      </c>
      <c r="X73" s="47" t="s">
        <v>7</v>
      </c>
      <c r="Y73" s="47" t="s">
        <v>114</v>
      </c>
      <c r="Z73" s="47" t="s">
        <v>7</v>
      </c>
      <c r="AA73" s="47" t="s">
        <v>7</v>
      </c>
      <c r="AB73" s="47" t="s">
        <v>7</v>
      </c>
      <c r="AC73" s="47" t="s">
        <v>7</v>
      </c>
      <c r="AD73" s="47" t="s">
        <v>7</v>
      </c>
      <c r="AE73" s="47" t="s">
        <v>7</v>
      </c>
    </row>
    <row r="74" spans="1:31" x14ac:dyDescent="0.3">
      <c r="A74" s="37">
        <f ca="1">DAYS360(INDIRECT(A211&amp;ROW()),TODAY())</f>
        <v>499</v>
      </c>
      <c r="B74" s="37">
        <f ca="1">DAYS360(INDIRECT(A210&amp;ROW()),TODAY())</f>
        <v>499</v>
      </c>
      <c r="C74" s="47">
        <v>76053</v>
      </c>
      <c r="D74" s="47" t="s">
        <v>396</v>
      </c>
      <c r="E74" s="47" t="s">
        <v>861</v>
      </c>
      <c r="F74" s="47" t="s">
        <v>146</v>
      </c>
      <c r="G74" s="47" t="s">
        <v>569</v>
      </c>
      <c r="H74" s="47" t="s">
        <v>81</v>
      </c>
      <c r="I74" s="47"/>
      <c r="J74" s="48">
        <v>42396.730810185189</v>
      </c>
      <c r="K74" s="47" t="s">
        <v>20</v>
      </c>
      <c r="L74" s="47" t="s">
        <v>3</v>
      </c>
      <c r="M74" s="48">
        <v>42396.730810185189</v>
      </c>
      <c r="N74" s="47" t="s">
        <v>40</v>
      </c>
      <c r="O74" s="47"/>
      <c r="P74" s="47"/>
      <c r="Q74" s="47" t="s">
        <v>17</v>
      </c>
      <c r="R74" s="47" t="s">
        <v>7</v>
      </c>
      <c r="S74" s="47" t="s">
        <v>8</v>
      </c>
      <c r="T74" s="47" t="s">
        <v>38</v>
      </c>
      <c r="U74" s="47"/>
      <c r="V74" s="47" t="s">
        <v>7</v>
      </c>
      <c r="W74" s="47" t="s">
        <v>10</v>
      </c>
      <c r="X74" s="47" t="s">
        <v>7</v>
      </c>
      <c r="Y74" s="47" t="s">
        <v>114</v>
      </c>
      <c r="Z74" s="47" t="s">
        <v>7</v>
      </c>
      <c r="AA74" s="47" t="s">
        <v>7</v>
      </c>
      <c r="AB74" s="47" t="s">
        <v>7</v>
      </c>
      <c r="AC74" s="47" t="s">
        <v>7</v>
      </c>
      <c r="AD74" s="47" t="s">
        <v>7</v>
      </c>
      <c r="AE74" s="47" t="s">
        <v>7</v>
      </c>
    </row>
    <row r="75" spans="1:31" x14ac:dyDescent="0.3">
      <c r="A75" s="37">
        <f ca="1">DAYS360(INDIRECT(A211&amp;ROW()),TODAY())</f>
        <v>466</v>
      </c>
      <c r="B75" s="37">
        <f ca="1">DAYS360(INDIRECT(A210&amp;ROW()),TODAY())</f>
        <v>499</v>
      </c>
      <c r="C75" s="47">
        <v>76055</v>
      </c>
      <c r="D75" s="47" t="s">
        <v>336</v>
      </c>
      <c r="E75" s="47" t="s">
        <v>862</v>
      </c>
      <c r="F75" s="47" t="s">
        <v>146</v>
      </c>
      <c r="G75" s="47" t="s">
        <v>569</v>
      </c>
      <c r="H75" s="47" t="s">
        <v>81</v>
      </c>
      <c r="I75" s="47"/>
      <c r="J75" s="48">
        <v>42429.472060185188</v>
      </c>
      <c r="K75" s="47" t="s">
        <v>20</v>
      </c>
      <c r="L75" s="47" t="s">
        <v>80</v>
      </c>
      <c r="M75" s="48">
        <v>42396.731273148151</v>
      </c>
      <c r="N75" s="47" t="s">
        <v>992</v>
      </c>
      <c r="O75" s="47"/>
      <c r="P75" s="47"/>
      <c r="Q75" s="47" t="s">
        <v>17</v>
      </c>
      <c r="R75" s="47" t="s">
        <v>30</v>
      </c>
      <c r="S75" s="47" t="s">
        <v>13</v>
      </c>
      <c r="T75" s="47" t="s">
        <v>19</v>
      </c>
      <c r="U75" s="47"/>
      <c r="V75" s="47" t="s">
        <v>7</v>
      </c>
      <c r="W75" s="47" t="s">
        <v>10</v>
      </c>
      <c r="X75" s="47" t="s">
        <v>44</v>
      </c>
      <c r="Y75" s="47" t="s">
        <v>114</v>
      </c>
      <c r="Z75" s="47" t="s">
        <v>7</v>
      </c>
      <c r="AA75" s="47" t="s">
        <v>7</v>
      </c>
      <c r="AB75" s="47" t="s">
        <v>7</v>
      </c>
      <c r="AC75" s="47" t="s">
        <v>7</v>
      </c>
      <c r="AD75" s="47" t="s">
        <v>7</v>
      </c>
      <c r="AE75" s="47" t="s">
        <v>7</v>
      </c>
    </row>
    <row r="76" spans="1:31" x14ac:dyDescent="0.3">
      <c r="A76" s="37">
        <f ca="1">DAYS360(INDIRECT($A$211&amp;ROW()),TODAY())</f>
        <v>471</v>
      </c>
      <c r="B76" s="37">
        <f ca="1">DAYS360(INDIRECT(A210&amp;ROW()),TODAY())</f>
        <v>499</v>
      </c>
      <c r="C76" s="47">
        <v>76059</v>
      </c>
      <c r="D76" s="47" t="s">
        <v>336</v>
      </c>
      <c r="E76" s="47" t="s">
        <v>863</v>
      </c>
      <c r="F76" s="47" t="s">
        <v>146</v>
      </c>
      <c r="G76" s="47" t="s">
        <v>569</v>
      </c>
      <c r="H76" s="47" t="s">
        <v>81</v>
      </c>
      <c r="I76" s="47" t="s">
        <v>864</v>
      </c>
      <c r="J76" s="48">
        <v>42425.406481481485</v>
      </c>
      <c r="K76" s="47" t="s">
        <v>20</v>
      </c>
      <c r="L76" s="47" t="s">
        <v>80</v>
      </c>
      <c r="M76" s="48">
        <v>42396.731817129628</v>
      </c>
      <c r="N76" s="47" t="s">
        <v>5</v>
      </c>
      <c r="O76" s="47"/>
      <c r="P76" s="47"/>
      <c r="Q76" s="47" t="s">
        <v>17</v>
      </c>
      <c r="R76" s="47" t="s">
        <v>30</v>
      </c>
      <c r="S76" s="47" t="s">
        <v>13</v>
      </c>
      <c r="T76" s="47" t="s">
        <v>35</v>
      </c>
      <c r="U76" s="47"/>
      <c r="V76" s="47" t="s">
        <v>7</v>
      </c>
      <c r="W76" s="47" t="s">
        <v>10</v>
      </c>
      <c r="X76" s="47" t="s">
        <v>7</v>
      </c>
      <c r="Y76" s="47" t="s">
        <v>114</v>
      </c>
      <c r="Z76" s="47" t="s">
        <v>7</v>
      </c>
      <c r="AA76" s="47" t="s">
        <v>7</v>
      </c>
      <c r="AB76" s="47" t="s">
        <v>7</v>
      </c>
      <c r="AC76" s="47" t="s">
        <v>7</v>
      </c>
      <c r="AD76" s="47" t="s">
        <v>7</v>
      </c>
      <c r="AE76" s="47" t="s">
        <v>7</v>
      </c>
    </row>
    <row r="77" spans="1:31" x14ac:dyDescent="0.3">
      <c r="A77" s="37">
        <f ca="1">DAYS360(INDIRECT($A$211&amp;ROW()),TODAY())</f>
        <v>457</v>
      </c>
      <c r="B77" s="37">
        <f ca="1">DAYS360(INDIRECT($A$210&amp;ROW()),TODAY())</f>
        <v>499</v>
      </c>
      <c r="C77" s="47">
        <v>76060</v>
      </c>
      <c r="D77" s="47" t="s">
        <v>331</v>
      </c>
      <c r="E77" s="47" t="s">
        <v>865</v>
      </c>
      <c r="F77" s="47" t="s">
        <v>11</v>
      </c>
      <c r="G77" s="47" t="s">
        <v>569</v>
      </c>
      <c r="H77" s="47" t="s">
        <v>81</v>
      </c>
      <c r="I77" s="47"/>
      <c r="J77" s="48">
        <v>42438.600243055553</v>
      </c>
      <c r="K77" s="47" t="s">
        <v>20</v>
      </c>
      <c r="L77" s="47" t="s">
        <v>3</v>
      </c>
      <c r="M77" s="48">
        <v>42396.73196759259</v>
      </c>
      <c r="N77" s="47" t="s">
        <v>40</v>
      </c>
      <c r="O77" s="47"/>
      <c r="P77" s="47"/>
      <c r="Q77" s="47" t="s">
        <v>6</v>
      </c>
      <c r="R77" s="47" t="s">
        <v>7</v>
      </c>
      <c r="S77" s="47" t="s">
        <v>13</v>
      </c>
      <c r="T77" s="47" t="s">
        <v>19</v>
      </c>
      <c r="U77" s="47"/>
      <c r="V77" s="47" t="s">
        <v>7</v>
      </c>
      <c r="W77" s="47" t="s">
        <v>10</v>
      </c>
      <c r="X77" s="47" t="s">
        <v>7</v>
      </c>
      <c r="Y77" s="47" t="s">
        <v>114</v>
      </c>
      <c r="Z77" s="47" t="s">
        <v>7</v>
      </c>
      <c r="AA77" s="47" t="s">
        <v>7</v>
      </c>
      <c r="AB77" s="47" t="s">
        <v>7</v>
      </c>
      <c r="AC77" s="47" t="s">
        <v>7</v>
      </c>
      <c r="AD77" s="47" t="s">
        <v>7</v>
      </c>
      <c r="AE77" s="47" t="s">
        <v>7</v>
      </c>
    </row>
    <row r="78" spans="1:31" x14ac:dyDescent="0.3">
      <c r="A78" s="37">
        <f ca="1">DAYS360(INDIRECT($A$211&amp;ROW()),TODAY())</f>
        <v>499</v>
      </c>
      <c r="B78" s="37">
        <f ca="1">DAYS360(INDIRECT($A$210&amp;ROW()),TODAY())</f>
        <v>499</v>
      </c>
      <c r="C78" s="47">
        <v>76061</v>
      </c>
      <c r="D78" s="47" t="s">
        <v>396</v>
      </c>
      <c r="E78" s="47" t="s">
        <v>866</v>
      </c>
      <c r="F78" s="47" t="s">
        <v>146</v>
      </c>
      <c r="G78" s="47" t="s">
        <v>569</v>
      </c>
      <c r="H78" s="47" t="s">
        <v>81</v>
      </c>
      <c r="I78" s="47"/>
      <c r="J78" s="48">
        <v>42396.732129629629</v>
      </c>
      <c r="K78" s="47" t="s">
        <v>20</v>
      </c>
      <c r="L78" s="47" t="s">
        <v>3</v>
      </c>
      <c r="M78" s="48">
        <v>42396.732129629629</v>
      </c>
      <c r="N78" s="47" t="s">
        <v>40</v>
      </c>
      <c r="O78" s="47"/>
      <c r="P78" s="47"/>
      <c r="Q78" s="47" t="s">
        <v>17</v>
      </c>
      <c r="R78" s="47" t="s">
        <v>7</v>
      </c>
      <c r="S78" s="47" t="s">
        <v>8</v>
      </c>
      <c r="T78" s="47" t="s">
        <v>38</v>
      </c>
      <c r="U78" s="47"/>
      <c r="V78" s="47" t="s">
        <v>7</v>
      </c>
      <c r="W78" s="47" t="s">
        <v>10</v>
      </c>
      <c r="X78" s="47" t="s">
        <v>7</v>
      </c>
      <c r="Y78" s="47" t="s">
        <v>114</v>
      </c>
      <c r="Z78" s="47" t="s">
        <v>7</v>
      </c>
      <c r="AA78" s="47" t="s">
        <v>7</v>
      </c>
      <c r="AB78" s="47" t="s">
        <v>7</v>
      </c>
      <c r="AC78" s="47" t="s">
        <v>7</v>
      </c>
      <c r="AD78" s="47" t="s">
        <v>7</v>
      </c>
      <c r="AE78" s="47" t="s">
        <v>7</v>
      </c>
    </row>
    <row r="79" spans="1:31" x14ac:dyDescent="0.3">
      <c r="A79" s="37">
        <f t="shared" ref="A79:A142" ca="1" si="0">DAYS360(INDIRECT($A$211&amp;ROW()),TODAY())</f>
        <v>495</v>
      </c>
      <c r="B79" s="37">
        <f t="shared" ref="B79:B142" ca="1" si="1">DAYS360(INDIRECT($A$210&amp;ROW()),TODAY())</f>
        <v>499</v>
      </c>
      <c r="C79" s="47">
        <v>76062</v>
      </c>
      <c r="D79" s="47" t="s">
        <v>374</v>
      </c>
      <c r="E79" s="47" t="s">
        <v>867</v>
      </c>
      <c r="F79" s="47" t="s">
        <v>146</v>
      </c>
      <c r="G79" s="47" t="s">
        <v>569</v>
      </c>
      <c r="H79" s="47" t="s">
        <v>81</v>
      </c>
      <c r="I79" s="47"/>
      <c r="J79" s="48">
        <v>42401.301481481481</v>
      </c>
      <c r="K79" s="47" t="s">
        <v>20</v>
      </c>
      <c r="L79" s="47" t="s">
        <v>80</v>
      </c>
      <c r="M79" s="48">
        <v>42396.73238425926</v>
      </c>
      <c r="N79" s="47" t="s">
        <v>40</v>
      </c>
      <c r="O79" s="47"/>
      <c r="P79" s="47"/>
      <c r="Q79" s="47" t="s">
        <v>17</v>
      </c>
      <c r="R79" s="47" t="s">
        <v>30</v>
      </c>
      <c r="S79" s="47" t="s">
        <v>13</v>
      </c>
      <c r="T79" s="47" t="s">
        <v>19</v>
      </c>
      <c r="U79" s="47"/>
      <c r="V79" s="47" t="s">
        <v>7</v>
      </c>
      <c r="W79" s="47" t="s">
        <v>10</v>
      </c>
      <c r="X79" s="47" t="s">
        <v>7</v>
      </c>
      <c r="Y79" s="47" t="s">
        <v>114</v>
      </c>
      <c r="Z79" s="47" t="s">
        <v>7</v>
      </c>
      <c r="AA79" s="47" t="s">
        <v>7</v>
      </c>
      <c r="AB79" s="47" t="s">
        <v>7</v>
      </c>
      <c r="AC79" s="47" t="s">
        <v>7</v>
      </c>
      <c r="AD79" s="47" t="s">
        <v>7</v>
      </c>
      <c r="AE79" s="47" t="s">
        <v>7</v>
      </c>
    </row>
    <row r="80" spans="1:31" x14ac:dyDescent="0.3">
      <c r="A80" s="37">
        <f t="shared" ca="1" si="0"/>
        <v>499</v>
      </c>
      <c r="B80" s="37">
        <f t="shared" ca="1" si="1"/>
        <v>499</v>
      </c>
      <c r="C80" s="47">
        <v>76063</v>
      </c>
      <c r="D80" s="47" t="s">
        <v>342</v>
      </c>
      <c r="E80" s="47" t="s">
        <v>868</v>
      </c>
      <c r="F80" s="47" t="s">
        <v>146</v>
      </c>
      <c r="G80" s="47" t="s">
        <v>569</v>
      </c>
      <c r="H80" s="47" t="s">
        <v>81</v>
      </c>
      <c r="I80" s="47"/>
      <c r="J80" s="48">
        <v>42396.732546296298</v>
      </c>
      <c r="K80" s="47" t="s">
        <v>20</v>
      </c>
      <c r="L80" s="47" t="s">
        <v>3</v>
      </c>
      <c r="M80" s="48">
        <v>42396.732546296298</v>
      </c>
      <c r="N80" s="47" t="s">
        <v>116</v>
      </c>
      <c r="O80" s="47"/>
      <c r="P80" s="47"/>
      <c r="Q80" s="47" t="s">
        <v>17</v>
      </c>
      <c r="R80" s="47" t="s">
        <v>30</v>
      </c>
      <c r="S80" s="47" t="s">
        <v>24</v>
      </c>
      <c r="T80" s="47" t="s">
        <v>47</v>
      </c>
      <c r="U80" s="47"/>
      <c r="V80" s="47" t="s">
        <v>7</v>
      </c>
      <c r="W80" s="47" t="s">
        <v>10</v>
      </c>
      <c r="X80" s="47" t="s">
        <v>7</v>
      </c>
      <c r="Y80" s="47" t="s">
        <v>114</v>
      </c>
      <c r="Z80" s="47" t="s">
        <v>7</v>
      </c>
      <c r="AA80" s="47" t="s">
        <v>7</v>
      </c>
      <c r="AB80" s="47" t="s">
        <v>7</v>
      </c>
      <c r="AC80" s="47" t="s">
        <v>7</v>
      </c>
      <c r="AD80" s="47" t="s">
        <v>7</v>
      </c>
      <c r="AE80" s="47" t="s">
        <v>7</v>
      </c>
    </row>
    <row r="81" spans="1:31" x14ac:dyDescent="0.3">
      <c r="A81" s="37">
        <f t="shared" ca="1" si="0"/>
        <v>457</v>
      </c>
      <c r="B81" s="37">
        <f t="shared" ca="1" si="1"/>
        <v>499</v>
      </c>
      <c r="C81" s="47">
        <v>76066</v>
      </c>
      <c r="D81" s="47" t="s">
        <v>376</v>
      </c>
      <c r="E81" s="47" t="s">
        <v>869</v>
      </c>
      <c r="F81" s="47" t="s">
        <v>146</v>
      </c>
      <c r="G81" s="47" t="s">
        <v>569</v>
      </c>
      <c r="H81" s="47" t="s">
        <v>81</v>
      </c>
      <c r="I81" s="47"/>
      <c r="J81" s="48">
        <v>42438.604872685188</v>
      </c>
      <c r="K81" s="47" t="s">
        <v>20</v>
      </c>
      <c r="L81" s="47" t="s">
        <v>3</v>
      </c>
      <c r="M81" s="48">
        <v>42396.733113425929</v>
      </c>
      <c r="N81" s="47" t="s">
        <v>40</v>
      </c>
      <c r="O81" s="47"/>
      <c r="P81" s="47"/>
      <c r="Q81" s="47" t="s">
        <v>17</v>
      </c>
      <c r="R81" s="47" t="s">
        <v>30</v>
      </c>
      <c r="S81" s="47" t="s">
        <v>13</v>
      </c>
      <c r="T81" s="47" t="s">
        <v>19</v>
      </c>
      <c r="U81" s="47"/>
      <c r="V81" s="47" t="s">
        <v>7</v>
      </c>
      <c r="W81" s="47" t="s">
        <v>10</v>
      </c>
      <c r="X81" s="47" t="s">
        <v>7</v>
      </c>
      <c r="Y81" s="47" t="s">
        <v>114</v>
      </c>
      <c r="Z81" s="47" t="s">
        <v>7</v>
      </c>
      <c r="AA81" s="47" t="s">
        <v>7</v>
      </c>
      <c r="AB81" s="47" t="s">
        <v>7</v>
      </c>
      <c r="AC81" s="47" t="s">
        <v>7</v>
      </c>
      <c r="AD81" s="47" t="s">
        <v>7</v>
      </c>
      <c r="AE81" s="47" t="s">
        <v>7</v>
      </c>
    </row>
    <row r="82" spans="1:31" x14ac:dyDescent="0.3">
      <c r="A82" s="37">
        <f t="shared" ca="1" si="0"/>
        <v>463</v>
      </c>
      <c r="B82" s="37">
        <f t="shared" ca="1" si="1"/>
        <v>499</v>
      </c>
      <c r="C82" s="47">
        <v>76067</v>
      </c>
      <c r="D82" s="47" t="s">
        <v>376</v>
      </c>
      <c r="E82" s="47" t="s">
        <v>870</v>
      </c>
      <c r="F82" s="47" t="s">
        <v>146</v>
      </c>
      <c r="G82" s="47" t="s">
        <v>569</v>
      </c>
      <c r="H82" s="47" t="s">
        <v>81</v>
      </c>
      <c r="I82" s="47" t="s">
        <v>498</v>
      </c>
      <c r="J82" s="48">
        <v>42432.581620370373</v>
      </c>
      <c r="K82" s="47" t="s">
        <v>20</v>
      </c>
      <c r="L82" s="47" t="s">
        <v>3</v>
      </c>
      <c r="M82" s="48">
        <v>42396.733240740738</v>
      </c>
      <c r="N82" s="47" t="s">
        <v>499</v>
      </c>
      <c r="O82" s="47"/>
      <c r="P82" s="47"/>
      <c r="Q82" s="47" t="s">
        <v>17</v>
      </c>
      <c r="R82" s="47" t="s">
        <v>30</v>
      </c>
      <c r="S82" s="47" t="s">
        <v>13</v>
      </c>
      <c r="T82" s="47" t="s">
        <v>19</v>
      </c>
      <c r="U82" s="47"/>
      <c r="V82" s="47" t="s">
        <v>7</v>
      </c>
      <c r="W82" s="47" t="s">
        <v>10</v>
      </c>
      <c r="X82" s="47" t="s">
        <v>7</v>
      </c>
      <c r="Y82" s="47" t="s">
        <v>114</v>
      </c>
      <c r="Z82" s="47" t="s">
        <v>7</v>
      </c>
      <c r="AA82" s="47" t="s">
        <v>7</v>
      </c>
      <c r="AB82" s="47" t="s">
        <v>7</v>
      </c>
      <c r="AC82" s="47" t="s">
        <v>7</v>
      </c>
      <c r="AD82" s="47" t="s">
        <v>7</v>
      </c>
      <c r="AE82" s="47" t="s">
        <v>7</v>
      </c>
    </row>
    <row r="83" spans="1:31" x14ac:dyDescent="0.3">
      <c r="A83" s="37">
        <f t="shared" ca="1" si="0"/>
        <v>499</v>
      </c>
      <c r="B83" s="37">
        <f t="shared" ca="1" si="1"/>
        <v>499</v>
      </c>
      <c r="C83" s="47">
        <v>76068</v>
      </c>
      <c r="D83" s="47" t="s">
        <v>332</v>
      </c>
      <c r="E83" s="47" t="s">
        <v>871</v>
      </c>
      <c r="F83" s="47" t="s">
        <v>146</v>
      </c>
      <c r="G83" s="47" t="s">
        <v>569</v>
      </c>
      <c r="H83" s="47" t="s">
        <v>81</v>
      </c>
      <c r="I83" s="47"/>
      <c r="J83" s="48">
        <v>42396.733402777776</v>
      </c>
      <c r="K83" s="47" t="s">
        <v>20</v>
      </c>
      <c r="L83" s="47" t="s">
        <v>3</v>
      </c>
      <c r="M83" s="48">
        <v>42396.733402777776</v>
      </c>
      <c r="N83" s="47" t="s">
        <v>22</v>
      </c>
      <c r="O83" s="47"/>
      <c r="P83" s="47"/>
      <c r="Q83" s="47" t="s">
        <v>17</v>
      </c>
      <c r="R83" s="47" t="s">
        <v>30</v>
      </c>
      <c r="S83" s="47" t="s">
        <v>24</v>
      </c>
      <c r="T83" s="47" t="s">
        <v>404</v>
      </c>
      <c r="U83" s="47"/>
      <c r="V83" s="47" t="s">
        <v>7</v>
      </c>
      <c r="W83" s="47" t="s">
        <v>10</v>
      </c>
      <c r="X83" s="47" t="s">
        <v>7</v>
      </c>
      <c r="Y83" s="47" t="s">
        <v>114</v>
      </c>
      <c r="Z83" s="47" t="s">
        <v>7</v>
      </c>
      <c r="AA83" s="47" t="s">
        <v>7</v>
      </c>
      <c r="AB83" s="47" t="s">
        <v>7</v>
      </c>
      <c r="AC83" s="47" t="s">
        <v>7</v>
      </c>
      <c r="AD83" s="47" t="s">
        <v>7</v>
      </c>
      <c r="AE83" s="47" t="s">
        <v>7</v>
      </c>
    </row>
    <row r="84" spans="1:31" x14ac:dyDescent="0.3">
      <c r="A84" s="37">
        <f t="shared" ca="1" si="0"/>
        <v>499</v>
      </c>
      <c r="B84" s="37">
        <f t="shared" ca="1" si="1"/>
        <v>499</v>
      </c>
      <c r="C84" s="47">
        <v>76069</v>
      </c>
      <c r="D84" s="47" t="s">
        <v>376</v>
      </c>
      <c r="E84" s="47" t="s">
        <v>993</v>
      </c>
      <c r="F84" s="47" t="s">
        <v>146</v>
      </c>
      <c r="G84" s="47" t="s">
        <v>569</v>
      </c>
      <c r="H84" s="47" t="s">
        <v>81</v>
      </c>
      <c r="I84" s="47"/>
      <c r="J84" s="48">
        <v>42396.733553240738</v>
      </c>
      <c r="K84" s="47" t="s">
        <v>20</v>
      </c>
      <c r="L84" s="47" t="s">
        <v>3</v>
      </c>
      <c r="M84" s="48">
        <v>42396.733553240738</v>
      </c>
      <c r="N84" s="47" t="s">
        <v>40</v>
      </c>
      <c r="O84" s="47"/>
      <c r="P84" s="47"/>
      <c r="Q84" s="47" t="s">
        <v>17</v>
      </c>
      <c r="R84" s="47" t="s">
        <v>30</v>
      </c>
      <c r="S84" s="47" t="s">
        <v>13</v>
      </c>
      <c r="T84" s="47" t="s">
        <v>19</v>
      </c>
      <c r="U84" s="47"/>
      <c r="V84" s="47" t="s">
        <v>7</v>
      </c>
      <c r="W84" s="47" t="s">
        <v>10</v>
      </c>
      <c r="X84" s="47" t="s">
        <v>7</v>
      </c>
      <c r="Y84" s="47" t="s">
        <v>114</v>
      </c>
      <c r="Z84" s="47" t="s">
        <v>7</v>
      </c>
      <c r="AA84" s="47" t="s">
        <v>7</v>
      </c>
      <c r="AB84" s="47" t="s">
        <v>7</v>
      </c>
      <c r="AC84" s="47" t="s">
        <v>7</v>
      </c>
      <c r="AD84" s="47" t="s">
        <v>7</v>
      </c>
      <c r="AE84" s="47" t="s">
        <v>7</v>
      </c>
    </row>
    <row r="85" spans="1:31" x14ac:dyDescent="0.3">
      <c r="A85" s="37">
        <f t="shared" ca="1" si="0"/>
        <v>499</v>
      </c>
      <c r="B85" s="37">
        <f t="shared" ca="1" si="1"/>
        <v>499</v>
      </c>
      <c r="C85" s="47">
        <v>76070</v>
      </c>
      <c r="D85" s="47" t="s">
        <v>337</v>
      </c>
      <c r="E85" s="47" t="s">
        <v>872</v>
      </c>
      <c r="F85" s="47" t="s">
        <v>146</v>
      </c>
      <c r="G85" s="47" t="s">
        <v>569</v>
      </c>
      <c r="H85" s="47" t="s">
        <v>81</v>
      </c>
      <c r="I85" s="47"/>
      <c r="J85" s="48">
        <v>42396.733703703707</v>
      </c>
      <c r="K85" s="47" t="s">
        <v>20</v>
      </c>
      <c r="L85" s="47" t="s">
        <v>3</v>
      </c>
      <c r="M85" s="48">
        <v>42396.733703703707</v>
      </c>
      <c r="N85" s="47" t="s">
        <v>22</v>
      </c>
      <c r="O85" s="47"/>
      <c r="P85" s="47"/>
      <c r="Q85" s="47" t="s">
        <v>17</v>
      </c>
      <c r="R85" s="47" t="s">
        <v>30</v>
      </c>
      <c r="S85" s="47" t="s">
        <v>8</v>
      </c>
      <c r="T85" s="47" t="s">
        <v>122</v>
      </c>
      <c r="U85" s="47"/>
      <c r="V85" s="47" t="s">
        <v>7</v>
      </c>
      <c r="W85" s="47" t="s">
        <v>10</v>
      </c>
      <c r="X85" s="47" t="s">
        <v>7</v>
      </c>
      <c r="Y85" s="47" t="s">
        <v>697</v>
      </c>
      <c r="Z85" s="47" t="s">
        <v>7</v>
      </c>
      <c r="AA85" s="47" t="s">
        <v>7</v>
      </c>
      <c r="AB85" s="47" t="s">
        <v>7</v>
      </c>
      <c r="AC85" s="47" t="s">
        <v>7</v>
      </c>
      <c r="AD85" s="47" t="s">
        <v>7</v>
      </c>
      <c r="AE85" s="47" t="s">
        <v>7</v>
      </c>
    </row>
    <row r="86" spans="1:31" x14ac:dyDescent="0.3">
      <c r="A86" s="37">
        <f t="shared" ca="1" si="0"/>
        <v>499</v>
      </c>
      <c r="B86" s="37">
        <f t="shared" ca="1" si="1"/>
        <v>499</v>
      </c>
      <c r="C86" s="47">
        <v>76071</v>
      </c>
      <c r="D86" s="47" t="s">
        <v>376</v>
      </c>
      <c r="E86" s="47" t="s">
        <v>873</v>
      </c>
      <c r="F86" s="47" t="s">
        <v>146</v>
      </c>
      <c r="G86" s="47" t="s">
        <v>569</v>
      </c>
      <c r="H86" s="47" t="s">
        <v>81</v>
      </c>
      <c r="I86" s="47"/>
      <c r="J86" s="48">
        <v>42396.733842592592</v>
      </c>
      <c r="K86" s="47" t="s">
        <v>20</v>
      </c>
      <c r="L86" s="47" t="s">
        <v>48</v>
      </c>
      <c r="M86" s="48">
        <v>42396.733842592592</v>
      </c>
      <c r="N86" s="47" t="s">
        <v>116</v>
      </c>
      <c r="O86" s="47"/>
      <c r="P86" s="47"/>
      <c r="Q86" s="47" t="s">
        <v>17</v>
      </c>
      <c r="R86" s="47" t="s">
        <v>30</v>
      </c>
      <c r="S86" s="47" t="s">
        <v>13</v>
      </c>
      <c r="T86" s="47" t="s">
        <v>19</v>
      </c>
      <c r="U86" s="47"/>
      <c r="V86" s="47" t="s">
        <v>7</v>
      </c>
      <c r="W86" s="47" t="s">
        <v>10</v>
      </c>
      <c r="X86" s="47" t="s">
        <v>7</v>
      </c>
      <c r="Y86" s="47" t="s">
        <v>114</v>
      </c>
      <c r="Z86" s="47" t="s">
        <v>7</v>
      </c>
      <c r="AA86" s="47" t="s">
        <v>7</v>
      </c>
      <c r="AB86" s="47" t="s">
        <v>7</v>
      </c>
      <c r="AC86" s="47" t="s">
        <v>7</v>
      </c>
      <c r="AD86" s="47" t="s">
        <v>7</v>
      </c>
      <c r="AE86" s="47" t="s">
        <v>7</v>
      </c>
    </row>
    <row r="87" spans="1:31" x14ac:dyDescent="0.3">
      <c r="A87" s="37">
        <f t="shared" ca="1" si="0"/>
        <v>472</v>
      </c>
      <c r="B87" s="37">
        <f t="shared" ca="1" si="1"/>
        <v>499</v>
      </c>
      <c r="C87" s="47">
        <v>76072</v>
      </c>
      <c r="D87" s="47" t="s">
        <v>336</v>
      </c>
      <c r="E87" s="47" t="s">
        <v>874</v>
      </c>
      <c r="F87" s="47" t="s">
        <v>11</v>
      </c>
      <c r="G87" s="47" t="s">
        <v>569</v>
      </c>
      <c r="H87" s="47" t="s">
        <v>81</v>
      </c>
      <c r="I87" s="47"/>
      <c r="J87" s="48">
        <v>42424.708402777775</v>
      </c>
      <c r="K87" s="47" t="s">
        <v>20</v>
      </c>
      <c r="L87" s="47" t="s">
        <v>3</v>
      </c>
      <c r="M87" s="48">
        <v>42396.733981481484</v>
      </c>
      <c r="N87" s="47" t="s">
        <v>992</v>
      </c>
      <c r="O87" s="47"/>
      <c r="P87" s="47" t="s">
        <v>366</v>
      </c>
      <c r="Q87" s="47" t="s">
        <v>6</v>
      </c>
      <c r="R87" s="47" t="s">
        <v>30</v>
      </c>
      <c r="S87" s="47" t="s">
        <v>13</v>
      </c>
      <c r="T87" s="47" t="s">
        <v>19</v>
      </c>
      <c r="U87" s="47"/>
      <c r="V87" s="47" t="s">
        <v>7</v>
      </c>
      <c r="W87" s="47" t="s">
        <v>10</v>
      </c>
      <c r="X87" s="47" t="s">
        <v>7</v>
      </c>
      <c r="Y87" s="47" t="s">
        <v>114</v>
      </c>
      <c r="Z87" s="47" t="s">
        <v>7</v>
      </c>
      <c r="AA87" s="47" t="s">
        <v>7</v>
      </c>
      <c r="AB87" s="47" t="s">
        <v>7</v>
      </c>
      <c r="AC87" s="47" t="s">
        <v>7</v>
      </c>
      <c r="AD87" s="47" t="s">
        <v>7</v>
      </c>
      <c r="AE87" s="47" t="s">
        <v>7</v>
      </c>
    </row>
    <row r="88" spans="1:31" x14ac:dyDescent="0.3">
      <c r="A88" s="37">
        <f t="shared" ca="1" si="0"/>
        <v>499</v>
      </c>
      <c r="B88" s="37">
        <f t="shared" ca="1" si="1"/>
        <v>499</v>
      </c>
      <c r="C88" s="47">
        <v>76074</v>
      </c>
      <c r="D88" s="47" t="s">
        <v>339</v>
      </c>
      <c r="E88" s="47" t="s">
        <v>875</v>
      </c>
      <c r="F88" s="47" t="s">
        <v>146</v>
      </c>
      <c r="G88" s="47" t="s">
        <v>569</v>
      </c>
      <c r="H88" s="47" t="s">
        <v>81</v>
      </c>
      <c r="I88" s="47"/>
      <c r="J88" s="48">
        <v>42396.734270833331</v>
      </c>
      <c r="K88" s="47" t="s">
        <v>20</v>
      </c>
      <c r="L88" s="47" t="s">
        <v>3</v>
      </c>
      <c r="M88" s="48">
        <v>42396.734270833331</v>
      </c>
      <c r="N88" s="47" t="s">
        <v>40</v>
      </c>
      <c r="O88" s="47"/>
      <c r="P88" s="47"/>
      <c r="Q88" s="47" t="s">
        <v>17</v>
      </c>
      <c r="R88" s="47" t="s">
        <v>7</v>
      </c>
      <c r="S88" s="47" t="s">
        <v>24</v>
      </c>
      <c r="T88" s="47" t="s">
        <v>47</v>
      </c>
      <c r="U88" s="47"/>
      <c r="V88" s="47" t="s">
        <v>7</v>
      </c>
      <c r="W88" s="47" t="s">
        <v>26</v>
      </c>
      <c r="X88" s="47" t="s">
        <v>7</v>
      </c>
      <c r="Y88" s="47" t="s">
        <v>114</v>
      </c>
      <c r="Z88" s="47" t="s">
        <v>7</v>
      </c>
      <c r="AA88" s="47" t="s">
        <v>7</v>
      </c>
      <c r="AB88" s="47" t="s">
        <v>7</v>
      </c>
      <c r="AC88" s="47" t="s">
        <v>7</v>
      </c>
      <c r="AD88" s="47" t="s">
        <v>7</v>
      </c>
      <c r="AE88" s="47" t="s">
        <v>7</v>
      </c>
    </row>
    <row r="89" spans="1:31" x14ac:dyDescent="0.3">
      <c r="A89" s="37">
        <f t="shared" ca="1" si="0"/>
        <v>499</v>
      </c>
      <c r="B89" s="37">
        <f t="shared" ca="1" si="1"/>
        <v>499</v>
      </c>
      <c r="C89" s="47">
        <v>76075</v>
      </c>
      <c r="D89" s="47" t="s">
        <v>376</v>
      </c>
      <c r="E89" s="47" t="s">
        <v>876</v>
      </c>
      <c r="F89" s="47" t="s">
        <v>146</v>
      </c>
      <c r="G89" s="47" t="s">
        <v>569</v>
      </c>
      <c r="H89" s="47" t="s">
        <v>81</v>
      </c>
      <c r="I89" s="47"/>
      <c r="J89" s="48">
        <v>42396.7344212963</v>
      </c>
      <c r="K89" s="47" t="s">
        <v>20</v>
      </c>
      <c r="L89" s="47" t="s">
        <v>80</v>
      </c>
      <c r="M89" s="48">
        <v>42396.7344212963</v>
      </c>
      <c r="N89" s="47" t="s">
        <v>29</v>
      </c>
      <c r="O89" s="47"/>
      <c r="P89" s="47"/>
      <c r="Q89" s="47" t="s">
        <v>17</v>
      </c>
      <c r="R89" s="47" t="s">
        <v>30</v>
      </c>
      <c r="S89" s="47" t="s">
        <v>13</v>
      </c>
      <c r="T89" s="47" t="s">
        <v>19</v>
      </c>
      <c r="U89" s="47"/>
      <c r="V89" s="47" t="s">
        <v>7</v>
      </c>
      <c r="W89" s="47" t="s">
        <v>10</v>
      </c>
      <c r="X89" s="47" t="s">
        <v>7</v>
      </c>
      <c r="Y89" s="47" t="s">
        <v>114</v>
      </c>
      <c r="Z89" s="47" t="s">
        <v>7</v>
      </c>
      <c r="AA89" s="47" t="s">
        <v>7</v>
      </c>
      <c r="AB89" s="47" t="s">
        <v>7</v>
      </c>
      <c r="AC89" s="47" t="s">
        <v>7</v>
      </c>
      <c r="AD89" s="47" t="s">
        <v>7</v>
      </c>
      <c r="AE89" s="47" t="s">
        <v>7</v>
      </c>
    </row>
    <row r="90" spans="1:31" x14ac:dyDescent="0.3">
      <c r="A90" s="37">
        <f t="shared" ca="1" si="0"/>
        <v>472</v>
      </c>
      <c r="B90" s="37">
        <f t="shared" ca="1" si="1"/>
        <v>499</v>
      </c>
      <c r="C90" s="47">
        <v>76076</v>
      </c>
      <c r="D90" s="47" t="s">
        <v>331</v>
      </c>
      <c r="E90" s="47" t="s">
        <v>877</v>
      </c>
      <c r="F90" s="47" t="s">
        <v>11</v>
      </c>
      <c r="G90" s="47" t="s">
        <v>569</v>
      </c>
      <c r="H90" s="47" t="s">
        <v>81</v>
      </c>
      <c r="I90" s="47"/>
      <c r="J90" s="48">
        <v>42424.718043981484</v>
      </c>
      <c r="K90" s="47" t="s">
        <v>20</v>
      </c>
      <c r="L90" s="47" t="s">
        <v>3</v>
      </c>
      <c r="M90" s="48">
        <v>42396.734606481485</v>
      </c>
      <c r="N90" s="47" t="s">
        <v>43</v>
      </c>
      <c r="O90" s="47"/>
      <c r="P90" s="47"/>
      <c r="Q90" s="47" t="s">
        <v>6</v>
      </c>
      <c r="R90" s="47" t="s">
        <v>30</v>
      </c>
      <c r="S90" s="47" t="s">
        <v>13</v>
      </c>
      <c r="T90" s="47" t="s">
        <v>19</v>
      </c>
      <c r="U90" s="47"/>
      <c r="V90" s="47" t="s">
        <v>7</v>
      </c>
      <c r="W90" s="47" t="s">
        <v>10</v>
      </c>
      <c r="X90" s="47" t="s">
        <v>7</v>
      </c>
      <c r="Y90" s="47" t="s">
        <v>114</v>
      </c>
      <c r="Z90" s="47" t="s">
        <v>7</v>
      </c>
      <c r="AA90" s="47" t="s">
        <v>7</v>
      </c>
      <c r="AB90" s="47" t="s">
        <v>7</v>
      </c>
      <c r="AC90" s="47" t="s">
        <v>7</v>
      </c>
      <c r="AD90" s="47" t="s">
        <v>7</v>
      </c>
      <c r="AE90" s="47" t="s">
        <v>7</v>
      </c>
    </row>
    <row r="91" spans="1:31" x14ac:dyDescent="0.3">
      <c r="A91" s="37">
        <f t="shared" ca="1" si="0"/>
        <v>499</v>
      </c>
      <c r="B91" s="37">
        <f t="shared" ca="1" si="1"/>
        <v>499</v>
      </c>
      <c r="C91" s="47">
        <v>76077</v>
      </c>
      <c r="D91" s="47" t="s">
        <v>396</v>
      </c>
      <c r="E91" s="47" t="s">
        <v>878</v>
      </c>
      <c r="F91" s="47" t="s">
        <v>146</v>
      </c>
      <c r="G91" s="47" t="s">
        <v>569</v>
      </c>
      <c r="H91" s="47" t="s">
        <v>81</v>
      </c>
      <c r="I91" s="47"/>
      <c r="J91" s="48">
        <v>42396.734768518516</v>
      </c>
      <c r="K91" s="47" t="s">
        <v>20</v>
      </c>
      <c r="L91" s="47" t="s">
        <v>3</v>
      </c>
      <c r="M91" s="48">
        <v>42396.734768518516</v>
      </c>
      <c r="N91" s="47" t="s">
        <v>40</v>
      </c>
      <c r="O91" s="47"/>
      <c r="P91" s="47"/>
      <c r="Q91" s="47" t="s">
        <v>17</v>
      </c>
      <c r="R91" s="47" t="s">
        <v>7</v>
      </c>
      <c r="S91" s="47" t="s">
        <v>8</v>
      </c>
      <c r="T91" s="47" t="s">
        <v>38</v>
      </c>
      <c r="U91" s="47"/>
      <c r="V91" s="47" t="s">
        <v>7</v>
      </c>
      <c r="W91" s="47" t="s">
        <v>10</v>
      </c>
      <c r="X91" s="47" t="s">
        <v>7</v>
      </c>
      <c r="Y91" s="47" t="s">
        <v>114</v>
      </c>
      <c r="Z91" s="47" t="s">
        <v>7</v>
      </c>
      <c r="AA91" s="47" t="s">
        <v>7</v>
      </c>
      <c r="AB91" s="47" t="s">
        <v>7</v>
      </c>
      <c r="AC91" s="47" t="s">
        <v>7</v>
      </c>
      <c r="AD91" s="47" t="s">
        <v>7</v>
      </c>
      <c r="AE91" s="47" t="s">
        <v>7</v>
      </c>
    </row>
    <row r="92" spans="1:31" x14ac:dyDescent="0.3">
      <c r="A92" s="37">
        <f t="shared" ca="1" si="0"/>
        <v>499</v>
      </c>
      <c r="B92" s="37">
        <f t="shared" ca="1" si="1"/>
        <v>499</v>
      </c>
      <c r="C92" s="47">
        <v>76078</v>
      </c>
      <c r="D92" s="47" t="s">
        <v>376</v>
      </c>
      <c r="E92" s="47" t="s">
        <v>879</v>
      </c>
      <c r="F92" s="47" t="s">
        <v>146</v>
      </c>
      <c r="G92" s="47" t="s">
        <v>569</v>
      </c>
      <c r="H92" s="47" t="s">
        <v>81</v>
      </c>
      <c r="I92" s="47" t="s">
        <v>880</v>
      </c>
      <c r="J92" s="48">
        <v>42396.734861111108</v>
      </c>
      <c r="K92" s="47" t="s">
        <v>20</v>
      </c>
      <c r="L92" s="47" t="s">
        <v>3</v>
      </c>
      <c r="M92" s="48">
        <v>42396.734861111108</v>
      </c>
      <c r="N92" s="47" t="s">
        <v>40</v>
      </c>
      <c r="O92" s="47"/>
      <c r="P92" s="47"/>
      <c r="Q92" s="47" t="s">
        <v>17</v>
      </c>
      <c r="R92" s="47" t="s">
        <v>30</v>
      </c>
      <c r="S92" s="47" t="s">
        <v>13</v>
      </c>
      <c r="T92" s="47" t="s">
        <v>19</v>
      </c>
      <c r="U92" s="47"/>
      <c r="V92" s="47" t="s">
        <v>7</v>
      </c>
      <c r="W92" s="47" t="s">
        <v>26</v>
      </c>
      <c r="X92" s="47" t="s">
        <v>7</v>
      </c>
      <c r="Y92" s="47" t="s">
        <v>114</v>
      </c>
      <c r="Z92" s="47" t="s">
        <v>7</v>
      </c>
      <c r="AA92" s="47" t="s">
        <v>7</v>
      </c>
      <c r="AB92" s="47" t="s">
        <v>7</v>
      </c>
      <c r="AC92" s="47" t="s">
        <v>7</v>
      </c>
      <c r="AD92" s="47" t="s">
        <v>7</v>
      </c>
      <c r="AE92" s="47" t="s">
        <v>7</v>
      </c>
    </row>
    <row r="93" spans="1:31" x14ac:dyDescent="0.3">
      <c r="A93" s="37">
        <f t="shared" ca="1" si="0"/>
        <v>499</v>
      </c>
      <c r="B93" s="37">
        <f t="shared" ca="1" si="1"/>
        <v>499</v>
      </c>
      <c r="C93" s="47">
        <v>76079</v>
      </c>
      <c r="D93" s="47" t="s">
        <v>396</v>
      </c>
      <c r="E93" s="47" t="s">
        <v>881</v>
      </c>
      <c r="F93" s="47" t="s">
        <v>146</v>
      </c>
      <c r="G93" s="47" t="s">
        <v>569</v>
      </c>
      <c r="H93" s="47" t="s">
        <v>81</v>
      </c>
      <c r="I93" s="47"/>
      <c r="J93" s="48">
        <v>42396.735011574077</v>
      </c>
      <c r="K93" s="47" t="s">
        <v>20</v>
      </c>
      <c r="L93" s="47" t="s">
        <v>3</v>
      </c>
      <c r="M93" s="48">
        <v>42396.735011574077</v>
      </c>
      <c r="N93" s="47" t="s">
        <v>40</v>
      </c>
      <c r="O93" s="47"/>
      <c r="P93" s="47"/>
      <c r="Q93" s="47" t="s">
        <v>17</v>
      </c>
      <c r="R93" s="47" t="s">
        <v>7</v>
      </c>
      <c r="S93" s="47" t="s">
        <v>8</v>
      </c>
      <c r="T93" s="47" t="s">
        <v>38</v>
      </c>
      <c r="U93" s="47"/>
      <c r="V93" s="47" t="s">
        <v>7</v>
      </c>
      <c r="W93" s="47" t="s">
        <v>26</v>
      </c>
      <c r="X93" s="47" t="s">
        <v>7</v>
      </c>
      <c r="Y93" s="47" t="s">
        <v>114</v>
      </c>
      <c r="Z93" s="47" t="s">
        <v>7</v>
      </c>
      <c r="AA93" s="47" t="s">
        <v>7</v>
      </c>
      <c r="AB93" s="47" t="s">
        <v>7</v>
      </c>
      <c r="AC93" s="47" t="s">
        <v>7</v>
      </c>
      <c r="AD93" s="47" t="s">
        <v>7</v>
      </c>
      <c r="AE93" s="47" t="s">
        <v>7</v>
      </c>
    </row>
    <row r="94" spans="1:31" x14ac:dyDescent="0.3">
      <c r="A94" s="37">
        <f t="shared" ca="1" si="0"/>
        <v>499</v>
      </c>
      <c r="B94" s="37">
        <f t="shared" ca="1" si="1"/>
        <v>499</v>
      </c>
      <c r="C94" s="47">
        <v>76080</v>
      </c>
      <c r="D94" s="47" t="s">
        <v>52</v>
      </c>
      <c r="E94" s="47" t="s">
        <v>882</v>
      </c>
      <c r="F94" s="47" t="s">
        <v>146</v>
      </c>
      <c r="G94" s="47" t="s">
        <v>569</v>
      </c>
      <c r="H94" s="47" t="s">
        <v>81</v>
      </c>
      <c r="I94" s="47"/>
      <c r="J94" s="48">
        <v>42396.73510416667</v>
      </c>
      <c r="K94" s="47" t="s">
        <v>20</v>
      </c>
      <c r="L94" s="47" t="s">
        <v>3</v>
      </c>
      <c r="M94" s="48">
        <v>42396.73510416667</v>
      </c>
      <c r="N94" s="47" t="s">
        <v>40</v>
      </c>
      <c r="O94" s="47"/>
      <c r="P94" s="47"/>
      <c r="Q94" s="47" t="s">
        <v>17</v>
      </c>
      <c r="R94" s="47" t="s">
        <v>30</v>
      </c>
      <c r="S94" s="47" t="s">
        <v>13</v>
      </c>
      <c r="T94" s="47" t="s">
        <v>19</v>
      </c>
      <c r="U94" s="34">
        <v>41904</v>
      </c>
      <c r="V94" s="47" t="s">
        <v>7</v>
      </c>
      <c r="W94" s="47" t="s">
        <v>26</v>
      </c>
      <c r="X94" s="47" t="s">
        <v>7</v>
      </c>
      <c r="Y94" s="47" t="s">
        <v>114</v>
      </c>
      <c r="Z94" s="47" t="s">
        <v>7</v>
      </c>
      <c r="AA94" s="47" t="s">
        <v>7</v>
      </c>
      <c r="AB94" s="47" t="s">
        <v>7</v>
      </c>
      <c r="AC94" s="47" t="s">
        <v>7</v>
      </c>
      <c r="AD94" s="47" t="s">
        <v>7</v>
      </c>
      <c r="AE94" s="47" t="s">
        <v>7</v>
      </c>
    </row>
    <row r="95" spans="1:31" x14ac:dyDescent="0.3">
      <c r="A95" s="37">
        <f t="shared" ca="1" si="0"/>
        <v>499</v>
      </c>
      <c r="B95" s="37">
        <f t="shared" ca="1" si="1"/>
        <v>499</v>
      </c>
      <c r="C95" s="47">
        <v>76081</v>
      </c>
      <c r="D95" s="47" t="s">
        <v>337</v>
      </c>
      <c r="E95" s="47" t="s">
        <v>883</v>
      </c>
      <c r="F95" s="47" t="s">
        <v>146</v>
      </c>
      <c r="G95" s="47" t="s">
        <v>569</v>
      </c>
      <c r="H95" s="47" t="s">
        <v>81</v>
      </c>
      <c r="I95" s="47"/>
      <c r="J95" s="48">
        <v>42396.735312500001</v>
      </c>
      <c r="K95" s="47" t="s">
        <v>20</v>
      </c>
      <c r="L95" s="47" t="s">
        <v>3</v>
      </c>
      <c r="M95" s="48">
        <v>42396.735312500001</v>
      </c>
      <c r="N95" s="47" t="s">
        <v>40</v>
      </c>
      <c r="O95" s="47"/>
      <c r="P95" s="47"/>
      <c r="Q95" s="47" t="s">
        <v>17</v>
      </c>
      <c r="R95" s="47" t="s">
        <v>7</v>
      </c>
      <c r="S95" s="47" t="s">
        <v>13</v>
      </c>
      <c r="T95" s="47" t="s">
        <v>19</v>
      </c>
      <c r="U95" s="47"/>
      <c r="V95" s="47" t="s">
        <v>7</v>
      </c>
      <c r="W95" s="47" t="s">
        <v>10</v>
      </c>
      <c r="X95" s="47" t="s">
        <v>7</v>
      </c>
      <c r="Y95" s="47" t="s">
        <v>114</v>
      </c>
      <c r="Z95" s="47" t="s">
        <v>7</v>
      </c>
      <c r="AA95" s="47" t="s">
        <v>7</v>
      </c>
      <c r="AB95" s="47" t="s">
        <v>7</v>
      </c>
      <c r="AC95" s="47" t="s">
        <v>7</v>
      </c>
      <c r="AD95" s="47" t="s">
        <v>7</v>
      </c>
      <c r="AE95" s="47" t="s">
        <v>7</v>
      </c>
    </row>
    <row r="96" spans="1:31" x14ac:dyDescent="0.3">
      <c r="A96" s="37">
        <f t="shared" ca="1" si="0"/>
        <v>499</v>
      </c>
      <c r="B96" s="37">
        <f t="shared" ca="1" si="1"/>
        <v>499</v>
      </c>
      <c r="C96" s="47">
        <v>76082</v>
      </c>
      <c r="D96" s="47" t="s">
        <v>337</v>
      </c>
      <c r="E96" s="47" t="s">
        <v>884</v>
      </c>
      <c r="F96" s="47" t="s">
        <v>146</v>
      </c>
      <c r="G96" s="47" t="s">
        <v>569</v>
      </c>
      <c r="H96" s="47" t="s">
        <v>81</v>
      </c>
      <c r="I96" s="47"/>
      <c r="J96" s="48">
        <v>42396.735451388886</v>
      </c>
      <c r="K96" s="47" t="s">
        <v>20</v>
      </c>
      <c r="L96" s="47" t="s">
        <v>3</v>
      </c>
      <c r="M96" s="48">
        <v>42396.735451388886</v>
      </c>
      <c r="N96" s="47" t="s">
        <v>40</v>
      </c>
      <c r="O96" s="47"/>
      <c r="P96" s="47"/>
      <c r="Q96" s="47" t="s">
        <v>17</v>
      </c>
      <c r="R96" s="47" t="s">
        <v>7</v>
      </c>
      <c r="S96" s="47" t="s">
        <v>13</v>
      </c>
      <c r="T96" s="47" t="s">
        <v>19</v>
      </c>
      <c r="U96" s="47"/>
      <c r="V96" s="47" t="s">
        <v>7</v>
      </c>
      <c r="W96" s="47" t="s">
        <v>10</v>
      </c>
      <c r="X96" s="47" t="s">
        <v>7</v>
      </c>
      <c r="Y96" s="47" t="s">
        <v>114</v>
      </c>
      <c r="Z96" s="47" t="s">
        <v>7</v>
      </c>
      <c r="AA96" s="47" t="s">
        <v>7</v>
      </c>
      <c r="AB96" s="47" t="s">
        <v>7</v>
      </c>
      <c r="AC96" s="47" t="s">
        <v>7</v>
      </c>
      <c r="AD96" s="47" t="s">
        <v>7</v>
      </c>
      <c r="AE96" s="47" t="s">
        <v>7</v>
      </c>
    </row>
    <row r="97" spans="1:31" x14ac:dyDescent="0.3">
      <c r="A97" s="37">
        <f t="shared" ca="1" si="0"/>
        <v>499</v>
      </c>
      <c r="B97" s="37">
        <f t="shared" ca="1" si="1"/>
        <v>499</v>
      </c>
      <c r="C97" s="47">
        <v>76083</v>
      </c>
      <c r="D97" s="47" t="s">
        <v>392</v>
      </c>
      <c r="E97" s="47" t="s">
        <v>885</v>
      </c>
      <c r="F97" s="47" t="s">
        <v>11</v>
      </c>
      <c r="G97" s="47" t="s">
        <v>569</v>
      </c>
      <c r="H97" s="47" t="s">
        <v>81</v>
      </c>
      <c r="I97" s="47"/>
      <c r="J97" s="48">
        <v>42396.735601851855</v>
      </c>
      <c r="K97" s="47" t="s">
        <v>20</v>
      </c>
      <c r="L97" s="47" t="s">
        <v>3</v>
      </c>
      <c r="M97" s="48">
        <v>42396.735601851855</v>
      </c>
      <c r="N97" s="47" t="s">
        <v>154</v>
      </c>
      <c r="O97" s="47"/>
      <c r="P97" s="47"/>
      <c r="Q97" s="47" t="s">
        <v>6</v>
      </c>
      <c r="R97" s="47" t="s">
        <v>7</v>
      </c>
      <c r="S97" s="47" t="s">
        <v>8</v>
      </c>
      <c r="T97" s="47" t="s">
        <v>153</v>
      </c>
      <c r="U97" s="47"/>
      <c r="V97" s="47" t="s">
        <v>7</v>
      </c>
      <c r="W97" s="47" t="s">
        <v>26</v>
      </c>
      <c r="X97" s="47" t="s">
        <v>7</v>
      </c>
      <c r="Y97" s="47" t="s">
        <v>114</v>
      </c>
      <c r="Z97" s="47" t="s">
        <v>7</v>
      </c>
      <c r="AA97" s="47" t="s">
        <v>7</v>
      </c>
      <c r="AB97" s="47" t="s">
        <v>7</v>
      </c>
      <c r="AC97" s="47" t="s">
        <v>7</v>
      </c>
      <c r="AD97" s="47" t="s">
        <v>7</v>
      </c>
      <c r="AE97" s="47" t="s">
        <v>7</v>
      </c>
    </row>
    <row r="98" spans="1:31" x14ac:dyDescent="0.3">
      <c r="A98" s="37">
        <f t="shared" ca="1" si="0"/>
        <v>499</v>
      </c>
      <c r="B98" s="37">
        <f t="shared" ca="1" si="1"/>
        <v>499</v>
      </c>
      <c r="C98" s="47">
        <v>76084</v>
      </c>
      <c r="D98" s="47" t="s">
        <v>332</v>
      </c>
      <c r="E98" s="47" t="s">
        <v>886</v>
      </c>
      <c r="F98" s="47" t="s">
        <v>146</v>
      </c>
      <c r="G98" s="47" t="s">
        <v>569</v>
      </c>
      <c r="H98" s="47" t="s">
        <v>81</v>
      </c>
      <c r="I98" s="47"/>
      <c r="J98" s="48">
        <v>42396.735775462963</v>
      </c>
      <c r="K98" s="47" t="s">
        <v>20</v>
      </c>
      <c r="L98" s="47" t="s">
        <v>80</v>
      </c>
      <c r="M98" s="48">
        <v>42396.735775462963</v>
      </c>
      <c r="N98" s="47" t="s">
        <v>29</v>
      </c>
      <c r="O98" s="47"/>
      <c r="P98" s="47"/>
      <c r="Q98" s="47" t="s">
        <v>17</v>
      </c>
      <c r="R98" s="47" t="s">
        <v>30</v>
      </c>
      <c r="S98" s="47" t="s">
        <v>24</v>
      </c>
      <c r="T98" s="47" t="s">
        <v>46</v>
      </c>
      <c r="U98" s="47"/>
      <c r="V98" s="47" t="s">
        <v>7</v>
      </c>
      <c r="W98" s="47" t="s">
        <v>10</v>
      </c>
      <c r="X98" s="47" t="s">
        <v>7</v>
      </c>
      <c r="Y98" s="47" t="s">
        <v>114</v>
      </c>
      <c r="Z98" s="47" t="s">
        <v>7</v>
      </c>
      <c r="AA98" s="47" t="s">
        <v>7</v>
      </c>
      <c r="AB98" s="47" t="s">
        <v>7</v>
      </c>
      <c r="AC98" s="47" t="s">
        <v>7</v>
      </c>
      <c r="AD98" s="47" t="s">
        <v>7</v>
      </c>
      <c r="AE98" s="47" t="s">
        <v>7</v>
      </c>
    </row>
    <row r="99" spans="1:31" x14ac:dyDescent="0.3">
      <c r="A99" s="37">
        <f t="shared" ca="1" si="0"/>
        <v>499</v>
      </c>
      <c r="B99" s="37">
        <f t="shared" ca="1" si="1"/>
        <v>499</v>
      </c>
      <c r="C99" s="47">
        <v>76085</v>
      </c>
      <c r="D99" s="47" t="s">
        <v>336</v>
      </c>
      <c r="E99" s="47" t="s">
        <v>887</v>
      </c>
      <c r="F99" s="47" t="s">
        <v>146</v>
      </c>
      <c r="G99" s="47" t="s">
        <v>569</v>
      </c>
      <c r="H99" s="47" t="s">
        <v>81</v>
      </c>
      <c r="I99" s="47"/>
      <c r="J99" s="48">
        <v>42396.736006944448</v>
      </c>
      <c r="K99" s="47" t="s">
        <v>20</v>
      </c>
      <c r="L99" s="47" t="s">
        <v>3</v>
      </c>
      <c r="M99" s="48">
        <v>42396.736006944448</v>
      </c>
      <c r="N99" s="47" t="s">
        <v>116</v>
      </c>
      <c r="O99" s="47"/>
      <c r="P99" s="47"/>
      <c r="Q99" s="47" t="s">
        <v>17</v>
      </c>
      <c r="R99" s="47" t="s">
        <v>30</v>
      </c>
      <c r="S99" s="47" t="s">
        <v>13</v>
      </c>
      <c r="T99" s="47" t="s">
        <v>19</v>
      </c>
      <c r="U99" s="47"/>
      <c r="V99" s="47" t="s">
        <v>7</v>
      </c>
      <c r="W99" s="47" t="s">
        <v>10</v>
      </c>
      <c r="X99" s="47" t="s">
        <v>7</v>
      </c>
      <c r="Y99" s="47" t="s">
        <v>114</v>
      </c>
      <c r="Z99" s="47" t="s">
        <v>7</v>
      </c>
      <c r="AA99" s="47" t="s">
        <v>7</v>
      </c>
      <c r="AB99" s="47" t="s">
        <v>7</v>
      </c>
      <c r="AC99" s="47" t="s">
        <v>7</v>
      </c>
      <c r="AD99" s="47" t="s">
        <v>7</v>
      </c>
      <c r="AE99" s="47" t="s">
        <v>7</v>
      </c>
    </row>
    <row r="100" spans="1:31" x14ac:dyDescent="0.3">
      <c r="A100" s="37">
        <f t="shared" ca="1" si="0"/>
        <v>499</v>
      </c>
      <c r="B100" s="37">
        <f t="shared" ca="1" si="1"/>
        <v>499</v>
      </c>
      <c r="C100" s="47">
        <v>76087</v>
      </c>
      <c r="D100" s="47" t="s">
        <v>324</v>
      </c>
      <c r="E100" s="47" t="s">
        <v>888</v>
      </c>
      <c r="F100" s="47" t="s">
        <v>146</v>
      </c>
      <c r="G100" s="47" t="s">
        <v>569</v>
      </c>
      <c r="H100" s="47" t="s">
        <v>81</v>
      </c>
      <c r="I100" s="47"/>
      <c r="J100" s="48">
        <v>42396.736342592594</v>
      </c>
      <c r="K100" s="47" t="s">
        <v>20</v>
      </c>
      <c r="L100" s="47" t="s">
        <v>3</v>
      </c>
      <c r="M100" s="48">
        <v>42396.736342592594</v>
      </c>
      <c r="N100" s="47" t="s">
        <v>40</v>
      </c>
      <c r="O100" s="47"/>
      <c r="P100" s="47"/>
      <c r="Q100" s="47" t="s">
        <v>17</v>
      </c>
      <c r="R100" s="47" t="s">
        <v>30</v>
      </c>
      <c r="S100" s="47" t="s">
        <v>24</v>
      </c>
      <c r="T100" s="47" t="s">
        <v>31</v>
      </c>
      <c r="U100" s="47"/>
      <c r="V100" s="47" t="s">
        <v>7</v>
      </c>
      <c r="W100" s="47" t="s">
        <v>10</v>
      </c>
      <c r="X100" s="47" t="s">
        <v>7</v>
      </c>
      <c r="Y100" s="47" t="s">
        <v>114</v>
      </c>
      <c r="Z100" s="47" t="s">
        <v>7</v>
      </c>
      <c r="AA100" s="47" t="s">
        <v>7</v>
      </c>
      <c r="AB100" s="47" t="s">
        <v>7</v>
      </c>
      <c r="AC100" s="47" t="s">
        <v>7</v>
      </c>
      <c r="AD100" s="47" t="s">
        <v>7</v>
      </c>
      <c r="AE100" s="47" t="s">
        <v>7</v>
      </c>
    </row>
    <row r="101" spans="1:31" x14ac:dyDescent="0.3">
      <c r="A101" s="37">
        <f t="shared" ca="1" si="0"/>
        <v>499</v>
      </c>
      <c r="B101" s="37">
        <f t="shared" ca="1" si="1"/>
        <v>499</v>
      </c>
      <c r="C101" s="47">
        <v>76088</v>
      </c>
      <c r="D101" s="47" t="s">
        <v>396</v>
      </c>
      <c r="E101" s="47" t="s">
        <v>889</v>
      </c>
      <c r="F101" s="47" t="s">
        <v>146</v>
      </c>
      <c r="G101" s="47" t="s">
        <v>569</v>
      </c>
      <c r="H101" s="47" t="s">
        <v>81</v>
      </c>
      <c r="I101" s="47"/>
      <c r="J101" s="48">
        <v>42396.736516203702</v>
      </c>
      <c r="K101" s="47" t="s">
        <v>20</v>
      </c>
      <c r="L101" s="47" t="s">
        <v>3</v>
      </c>
      <c r="M101" s="48">
        <v>42396.736516203702</v>
      </c>
      <c r="N101" s="47" t="s">
        <v>40</v>
      </c>
      <c r="O101" s="47"/>
      <c r="P101" s="47"/>
      <c r="Q101" s="47" t="s">
        <v>17</v>
      </c>
      <c r="R101" s="47" t="s">
        <v>7</v>
      </c>
      <c r="S101" s="47" t="s">
        <v>8</v>
      </c>
      <c r="T101" s="47" t="s">
        <v>38</v>
      </c>
      <c r="U101" s="47"/>
      <c r="V101" s="47" t="s">
        <v>7</v>
      </c>
      <c r="W101" s="47" t="s">
        <v>26</v>
      </c>
      <c r="X101" s="47" t="s">
        <v>7</v>
      </c>
      <c r="Y101" s="47" t="s">
        <v>114</v>
      </c>
      <c r="Z101" s="47" t="s">
        <v>7</v>
      </c>
      <c r="AA101" s="47" t="s">
        <v>7</v>
      </c>
      <c r="AB101" s="47" t="s">
        <v>7</v>
      </c>
      <c r="AC101" s="47" t="s">
        <v>7</v>
      </c>
      <c r="AD101" s="47" t="s">
        <v>7</v>
      </c>
      <c r="AE101" s="47" t="s">
        <v>7</v>
      </c>
    </row>
    <row r="102" spans="1:31" x14ac:dyDescent="0.3">
      <c r="A102" s="37">
        <f t="shared" ca="1" si="0"/>
        <v>480</v>
      </c>
      <c r="B102" s="37">
        <f t="shared" ca="1" si="1"/>
        <v>499</v>
      </c>
      <c r="C102" s="47">
        <v>76089</v>
      </c>
      <c r="D102" s="47" t="s">
        <v>338</v>
      </c>
      <c r="E102" s="47" t="s">
        <v>890</v>
      </c>
      <c r="F102" s="47" t="s">
        <v>146</v>
      </c>
      <c r="G102" s="47" t="s">
        <v>569</v>
      </c>
      <c r="H102" s="47" t="s">
        <v>81</v>
      </c>
      <c r="I102" s="47"/>
      <c r="J102" s="48">
        <v>42416.624340277776</v>
      </c>
      <c r="K102" s="47" t="s">
        <v>20</v>
      </c>
      <c r="L102" s="47" t="s">
        <v>3</v>
      </c>
      <c r="M102" s="48">
        <v>42396.736655092594</v>
      </c>
      <c r="N102" s="47" t="s">
        <v>29</v>
      </c>
      <c r="O102" s="47"/>
      <c r="P102" s="47"/>
      <c r="Q102" s="47" t="s">
        <v>17</v>
      </c>
      <c r="R102" s="47" t="s">
        <v>30</v>
      </c>
      <c r="S102" s="47" t="s">
        <v>8</v>
      </c>
      <c r="T102" s="47" t="s">
        <v>153</v>
      </c>
      <c r="U102" s="47"/>
      <c r="V102" s="47" t="s">
        <v>7</v>
      </c>
      <c r="W102" s="47" t="s">
        <v>10</v>
      </c>
      <c r="X102" s="47" t="s">
        <v>7</v>
      </c>
      <c r="Y102" s="47" t="s">
        <v>114</v>
      </c>
      <c r="Z102" s="47" t="s">
        <v>7</v>
      </c>
      <c r="AA102" s="47" t="s">
        <v>7</v>
      </c>
      <c r="AB102" s="47" t="s">
        <v>7</v>
      </c>
      <c r="AC102" s="47" t="s">
        <v>7</v>
      </c>
      <c r="AD102" s="47" t="s">
        <v>7</v>
      </c>
      <c r="AE102" s="47" t="s">
        <v>7</v>
      </c>
    </row>
    <row r="103" spans="1:31" x14ac:dyDescent="0.3">
      <c r="A103" s="37">
        <f t="shared" ca="1" si="0"/>
        <v>499</v>
      </c>
      <c r="B103" s="37">
        <f t="shared" ca="1" si="1"/>
        <v>499</v>
      </c>
      <c r="C103" s="47">
        <v>76090</v>
      </c>
      <c r="D103" s="47" t="s">
        <v>376</v>
      </c>
      <c r="E103" s="47" t="s">
        <v>891</v>
      </c>
      <c r="F103" s="47" t="s">
        <v>146</v>
      </c>
      <c r="G103" s="47" t="s">
        <v>569</v>
      </c>
      <c r="H103" s="47" t="s">
        <v>81</v>
      </c>
      <c r="I103" s="47"/>
      <c r="J103" s="48">
        <v>42396.736793981479</v>
      </c>
      <c r="K103" s="47" t="s">
        <v>20</v>
      </c>
      <c r="L103" s="47" t="s">
        <v>3</v>
      </c>
      <c r="M103" s="48">
        <v>42396.736793981479</v>
      </c>
      <c r="N103" s="47" t="s">
        <v>40</v>
      </c>
      <c r="O103" s="47"/>
      <c r="P103" s="47"/>
      <c r="Q103" s="47" t="s">
        <v>17</v>
      </c>
      <c r="R103" s="47" t="s">
        <v>30</v>
      </c>
      <c r="S103" s="47" t="s">
        <v>13</v>
      </c>
      <c r="T103" s="47" t="s">
        <v>19</v>
      </c>
      <c r="U103" s="47"/>
      <c r="V103" s="47" t="s">
        <v>7</v>
      </c>
      <c r="W103" s="47" t="s">
        <v>26</v>
      </c>
      <c r="X103" s="47" t="s">
        <v>7</v>
      </c>
      <c r="Y103" s="47" t="s">
        <v>114</v>
      </c>
      <c r="Z103" s="47" t="s">
        <v>7</v>
      </c>
      <c r="AA103" s="47" t="s">
        <v>7</v>
      </c>
      <c r="AB103" s="47" t="s">
        <v>7</v>
      </c>
      <c r="AC103" s="47" t="s">
        <v>7</v>
      </c>
      <c r="AD103" s="47" t="s">
        <v>7</v>
      </c>
      <c r="AE103" s="47" t="s">
        <v>7</v>
      </c>
    </row>
    <row r="104" spans="1:31" x14ac:dyDescent="0.3">
      <c r="A104" s="37">
        <f t="shared" ca="1" si="0"/>
        <v>499</v>
      </c>
      <c r="B104" s="37">
        <f t="shared" ca="1" si="1"/>
        <v>499</v>
      </c>
      <c r="C104" s="47">
        <v>76092</v>
      </c>
      <c r="D104" s="47" t="s">
        <v>376</v>
      </c>
      <c r="E104" s="47" t="s">
        <v>892</v>
      </c>
      <c r="F104" s="47" t="s">
        <v>146</v>
      </c>
      <c r="G104" s="47" t="s">
        <v>569</v>
      </c>
      <c r="H104" s="47" t="s">
        <v>81</v>
      </c>
      <c r="I104" s="47"/>
      <c r="J104" s="48">
        <v>42396.73710648148</v>
      </c>
      <c r="K104" s="47" t="s">
        <v>20</v>
      </c>
      <c r="L104" s="47" t="s">
        <v>80</v>
      </c>
      <c r="M104" s="48">
        <v>42396.73710648148</v>
      </c>
      <c r="N104" s="47" t="s">
        <v>29</v>
      </c>
      <c r="O104" s="47"/>
      <c r="P104" s="47"/>
      <c r="Q104" s="47" t="s">
        <v>17</v>
      </c>
      <c r="R104" s="47" t="s">
        <v>30</v>
      </c>
      <c r="S104" s="47" t="s">
        <v>13</v>
      </c>
      <c r="T104" s="47" t="s">
        <v>19</v>
      </c>
      <c r="U104" s="47"/>
      <c r="V104" s="47" t="s">
        <v>7</v>
      </c>
      <c r="W104" s="47" t="s">
        <v>10</v>
      </c>
      <c r="X104" s="47" t="s">
        <v>7</v>
      </c>
      <c r="Y104" s="47" t="s">
        <v>114</v>
      </c>
      <c r="Z104" s="47" t="s">
        <v>7</v>
      </c>
      <c r="AA104" s="47" t="s">
        <v>7</v>
      </c>
      <c r="AB104" s="47" t="s">
        <v>7</v>
      </c>
      <c r="AC104" s="47" t="s">
        <v>7</v>
      </c>
      <c r="AD104" s="47" t="s">
        <v>7</v>
      </c>
      <c r="AE104" s="47" t="s">
        <v>7</v>
      </c>
    </row>
    <row r="105" spans="1:31" x14ac:dyDescent="0.3">
      <c r="A105" s="37">
        <f t="shared" ca="1" si="0"/>
        <v>499</v>
      </c>
      <c r="B105" s="37">
        <f t="shared" ca="1" si="1"/>
        <v>499</v>
      </c>
      <c r="C105" s="47">
        <v>76094</v>
      </c>
      <c r="D105" s="47" t="s">
        <v>332</v>
      </c>
      <c r="E105" s="47" t="s">
        <v>893</v>
      </c>
      <c r="F105" s="47" t="s">
        <v>11</v>
      </c>
      <c r="G105" s="47" t="s">
        <v>569</v>
      </c>
      <c r="H105" s="47" t="s">
        <v>81</v>
      </c>
      <c r="I105" s="47"/>
      <c r="J105" s="48">
        <v>42396.873437499999</v>
      </c>
      <c r="K105" s="47" t="s">
        <v>20</v>
      </c>
      <c r="L105" s="47" t="s">
        <v>80</v>
      </c>
      <c r="M105" s="48">
        <v>42396.873437499999</v>
      </c>
      <c r="N105" s="47" t="s">
        <v>56</v>
      </c>
      <c r="O105" s="47"/>
      <c r="P105" s="47"/>
      <c r="Q105" s="47" t="s">
        <v>6</v>
      </c>
      <c r="R105" s="47" t="s">
        <v>30</v>
      </c>
      <c r="S105" s="47" t="s">
        <v>24</v>
      </c>
      <c r="T105" s="47" t="s">
        <v>46</v>
      </c>
      <c r="U105" s="47"/>
      <c r="V105" s="47" t="s">
        <v>7</v>
      </c>
      <c r="W105" s="47" t="s">
        <v>10</v>
      </c>
      <c r="X105" s="47" t="s">
        <v>44</v>
      </c>
      <c r="Y105" s="47" t="s">
        <v>114</v>
      </c>
      <c r="Z105" s="47" t="s">
        <v>7</v>
      </c>
      <c r="AA105" s="47" t="s">
        <v>7</v>
      </c>
      <c r="AB105" s="47" t="s">
        <v>7</v>
      </c>
      <c r="AC105" s="47" t="s">
        <v>309</v>
      </c>
      <c r="AD105" s="47" t="s">
        <v>7</v>
      </c>
      <c r="AE105" s="47" t="s">
        <v>7</v>
      </c>
    </row>
    <row r="106" spans="1:31" x14ac:dyDescent="0.3">
      <c r="A106" s="37">
        <f t="shared" ca="1" si="0"/>
        <v>499</v>
      </c>
      <c r="B106" s="37">
        <f t="shared" ca="1" si="1"/>
        <v>499</v>
      </c>
      <c r="C106" s="47">
        <v>76095</v>
      </c>
      <c r="D106" s="47" t="s">
        <v>332</v>
      </c>
      <c r="E106" s="47" t="s">
        <v>894</v>
      </c>
      <c r="F106" s="47" t="s">
        <v>11</v>
      </c>
      <c r="G106" s="47" t="s">
        <v>569</v>
      </c>
      <c r="H106" s="47" t="s">
        <v>81</v>
      </c>
      <c r="I106" s="47"/>
      <c r="J106" s="48">
        <v>42396.873807870368</v>
      </c>
      <c r="K106" s="47" t="s">
        <v>20</v>
      </c>
      <c r="L106" s="47" t="s">
        <v>80</v>
      </c>
      <c r="M106" s="48">
        <v>42396.873807870368</v>
      </c>
      <c r="N106" s="47" t="s">
        <v>56</v>
      </c>
      <c r="O106" s="47"/>
      <c r="P106" s="47"/>
      <c r="Q106" s="47" t="s">
        <v>6</v>
      </c>
      <c r="R106" s="47" t="s">
        <v>30</v>
      </c>
      <c r="S106" s="47" t="s">
        <v>24</v>
      </c>
      <c r="T106" s="47" t="s">
        <v>46</v>
      </c>
      <c r="U106" s="47"/>
      <c r="V106" s="47" t="s">
        <v>7</v>
      </c>
      <c r="W106" s="47" t="s">
        <v>10</v>
      </c>
      <c r="X106" s="47" t="s">
        <v>7</v>
      </c>
      <c r="Y106" s="47" t="s">
        <v>114</v>
      </c>
      <c r="Z106" s="47" t="s">
        <v>7</v>
      </c>
      <c r="AA106" s="47" t="s">
        <v>7</v>
      </c>
      <c r="AB106" s="47" t="s">
        <v>7</v>
      </c>
      <c r="AC106" s="47" t="s">
        <v>7</v>
      </c>
      <c r="AD106" s="47" t="s">
        <v>7</v>
      </c>
      <c r="AE106" s="47" t="s">
        <v>7</v>
      </c>
    </row>
    <row r="107" spans="1:31" x14ac:dyDescent="0.3">
      <c r="A107" s="37">
        <f t="shared" ca="1" si="0"/>
        <v>499</v>
      </c>
      <c r="B107" s="37">
        <f t="shared" ca="1" si="1"/>
        <v>499</v>
      </c>
      <c r="C107" s="47">
        <v>76096</v>
      </c>
      <c r="D107" s="47" t="s">
        <v>337</v>
      </c>
      <c r="E107" s="47" t="s">
        <v>895</v>
      </c>
      <c r="F107" s="47" t="s">
        <v>11</v>
      </c>
      <c r="G107" s="47" t="s">
        <v>569</v>
      </c>
      <c r="H107" s="47" t="s">
        <v>81</v>
      </c>
      <c r="I107" s="47"/>
      <c r="J107" s="48">
        <v>42396.874074074076</v>
      </c>
      <c r="K107" s="47" t="s">
        <v>20</v>
      </c>
      <c r="L107" s="47" t="s">
        <v>80</v>
      </c>
      <c r="M107" s="48">
        <v>42396.874074074076</v>
      </c>
      <c r="N107" s="47" t="s">
        <v>315</v>
      </c>
      <c r="O107" s="47"/>
      <c r="P107" s="47"/>
      <c r="Q107" s="47" t="s">
        <v>6</v>
      </c>
      <c r="R107" s="47" t="s">
        <v>30</v>
      </c>
      <c r="S107" s="47" t="s">
        <v>8</v>
      </c>
      <c r="T107" s="47" t="s">
        <v>153</v>
      </c>
      <c r="U107" s="47"/>
      <c r="V107" s="47" t="s">
        <v>7</v>
      </c>
      <c r="W107" s="47" t="s">
        <v>10</v>
      </c>
      <c r="X107" s="47" t="s">
        <v>7</v>
      </c>
      <c r="Y107" s="47" t="s">
        <v>114</v>
      </c>
      <c r="Z107" s="47" t="s">
        <v>7</v>
      </c>
      <c r="AA107" s="47" t="s">
        <v>7</v>
      </c>
      <c r="AB107" s="47" t="s">
        <v>7</v>
      </c>
      <c r="AC107" s="47" t="s">
        <v>7</v>
      </c>
      <c r="AD107" s="47" t="s">
        <v>7</v>
      </c>
      <c r="AE107" s="47" t="s">
        <v>7</v>
      </c>
    </row>
    <row r="108" spans="1:31" x14ac:dyDescent="0.3">
      <c r="A108" s="37">
        <f t="shared" ca="1" si="0"/>
        <v>495</v>
      </c>
      <c r="B108" s="37">
        <f t="shared" ca="1" si="1"/>
        <v>499</v>
      </c>
      <c r="C108" s="47">
        <v>76097</v>
      </c>
      <c r="D108" s="47" t="s">
        <v>336</v>
      </c>
      <c r="E108" s="47" t="s">
        <v>896</v>
      </c>
      <c r="F108" s="47" t="s">
        <v>11</v>
      </c>
      <c r="G108" s="47" t="s">
        <v>569</v>
      </c>
      <c r="H108" s="47" t="s">
        <v>81</v>
      </c>
      <c r="I108" s="47"/>
      <c r="J108" s="48">
        <v>42401.30133101852</v>
      </c>
      <c r="K108" s="47" t="s">
        <v>20</v>
      </c>
      <c r="L108" s="47" t="s">
        <v>80</v>
      </c>
      <c r="M108" s="48">
        <v>42396.874351851853</v>
      </c>
      <c r="N108" s="47" t="s">
        <v>315</v>
      </c>
      <c r="O108" s="47"/>
      <c r="P108" s="47"/>
      <c r="Q108" s="47" t="s">
        <v>6</v>
      </c>
      <c r="R108" s="47" t="s">
        <v>30</v>
      </c>
      <c r="S108" s="47" t="s">
        <v>13</v>
      </c>
      <c r="T108" s="47" t="s">
        <v>19</v>
      </c>
      <c r="U108" s="47"/>
      <c r="V108" s="47" t="s">
        <v>7</v>
      </c>
      <c r="W108" s="47" t="s">
        <v>10</v>
      </c>
      <c r="X108" s="47" t="s">
        <v>7</v>
      </c>
      <c r="Y108" s="47" t="s">
        <v>114</v>
      </c>
      <c r="Z108" s="47" t="s">
        <v>7</v>
      </c>
      <c r="AA108" s="47" t="s">
        <v>7</v>
      </c>
      <c r="AB108" s="47" t="s">
        <v>7</v>
      </c>
      <c r="AC108" s="47" t="s">
        <v>7</v>
      </c>
      <c r="AD108" s="47" t="s">
        <v>7</v>
      </c>
      <c r="AE108" s="47" t="s">
        <v>7</v>
      </c>
    </row>
    <row r="109" spans="1:31" x14ac:dyDescent="0.3">
      <c r="A109" s="37">
        <f t="shared" ca="1" si="0"/>
        <v>499</v>
      </c>
      <c r="B109" s="37">
        <f t="shared" ca="1" si="1"/>
        <v>499</v>
      </c>
      <c r="C109" s="47">
        <v>76098</v>
      </c>
      <c r="D109" s="47" t="s">
        <v>332</v>
      </c>
      <c r="E109" s="47" t="s">
        <v>897</v>
      </c>
      <c r="F109" s="47" t="s">
        <v>11</v>
      </c>
      <c r="G109" s="47" t="s">
        <v>569</v>
      </c>
      <c r="H109" s="47" t="s">
        <v>81</v>
      </c>
      <c r="I109" s="47"/>
      <c r="J109" s="48">
        <v>42396.874502314815</v>
      </c>
      <c r="K109" s="47" t="s">
        <v>20</v>
      </c>
      <c r="L109" s="47" t="s">
        <v>80</v>
      </c>
      <c r="M109" s="48">
        <v>42396.874502314815</v>
      </c>
      <c r="N109" s="47" t="s">
        <v>22</v>
      </c>
      <c r="O109" s="47"/>
      <c r="P109" s="47"/>
      <c r="Q109" s="47" t="s">
        <v>6</v>
      </c>
      <c r="R109" s="47" t="s">
        <v>30</v>
      </c>
      <c r="S109" s="47" t="s">
        <v>24</v>
      </c>
      <c r="T109" s="47" t="s">
        <v>46</v>
      </c>
      <c r="U109" s="47"/>
      <c r="V109" s="47" t="s">
        <v>7</v>
      </c>
      <c r="W109" s="47" t="s">
        <v>10</v>
      </c>
      <c r="X109" s="47" t="s">
        <v>7</v>
      </c>
      <c r="Y109" s="47" t="s">
        <v>114</v>
      </c>
      <c r="Z109" s="47" t="s">
        <v>7</v>
      </c>
      <c r="AA109" s="47" t="s">
        <v>7</v>
      </c>
      <c r="AB109" s="47" t="s">
        <v>7</v>
      </c>
      <c r="AC109" s="47" t="s">
        <v>7</v>
      </c>
      <c r="AD109" s="47" t="s">
        <v>7</v>
      </c>
      <c r="AE109" s="47" t="s">
        <v>7</v>
      </c>
    </row>
    <row r="110" spans="1:31" x14ac:dyDescent="0.3">
      <c r="A110" s="37">
        <f t="shared" ca="1" si="0"/>
        <v>480</v>
      </c>
      <c r="B110" s="37">
        <f t="shared" ca="1" si="1"/>
        <v>499</v>
      </c>
      <c r="C110" s="47">
        <v>76100</v>
      </c>
      <c r="D110" s="47" t="s">
        <v>332</v>
      </c>
      <c r="E110" s="47" t="s">
        <v>898</v>
      </c>
      <c r="F110" s="47" t="s">
        <v>11</v>
      </c>
      <c r="G110" s="47" t="s">
        <v>569</v>
      </c>
      <c r="H110" s="47" t="s">
        <v>81</v>
      </c>
      <c r="I110" s="47"/>
      <c r="J110" s="48">
        <v>42416.61377314815</v>
      </c>
      <c r="K110" s="47" t="s">
        <v>20</v>
      </c>
      <c r="L110" s="47" t="s">
        <v>80</v>
      </c>
      <c r="M110" s="48">
        <v>42396.875208333331</v>
      </c>
      <c r="N110" s="47" t="s">
        <v>29</v>
      </c>
      <c r="O110" s="47"/>
      <c r="P110" s="47"/>
      <c r="Q110" s="47" t="s">
        <v>6</v>
      </c>
      <c r="R110" s="47" t="s">
        <v>30</v>
      </c>
      <c r="S110" s="47" t="s">
        <v>24</v>
      </c>
      <c r="T110" s="47" t="s">
        <v>46</v>
      </c>
      <c r="U110" s="47"/>
      <c r="V110" s="47" t="s">
        <v>7</v>
      </c>
      <c r="W110" s="47" t="s">
        <v>10</v>
      </c>
      <c r="X110" s="47" t="s">
        <v>7</v>
      </c>
      <c r="Y110" s="47" t="s">
        <v>114</v>
      </c>
      <c r="Z110" s="47" t="s">
        <v>7</v>
      </c>
      <c r="AA110" s="47" t="s">
        <v>7</v>
      </c>
      <c r="AB110" s="47" t="s">
        <v>7</v>
      </c>
      <c r="AC110" s="47" t="s">
        <v>7</v>
      </c>
      <c r="AD110" s="47" t="s">
        <v>7</v>
      </c>
      <c r="AE110" s="47" t="s">
        <v>7</v>
      </c>
    </row>
    <row r="111" spans="1:31" x14ac:dyDescent="0.3">
      <c r="A111" s="37">
        <f t="shared" ca="1" si="0"/>
        <v>499</v>
      </c>
      <c r="B111" s="37">
        <f t="shared" ca="1" si="1"/>
        <v>499</v>
      </c>
      <c r="C111" s="47">
        <v>76102</v>
      </c>
      <c r="D111" s="47" t="s">
        <v>332</v>
      </c>
      <c r="E111" s="47" t="s">
        <v>899</v>
      </c>
      <c r="F111" s="47" t="s">
        <v>11</v>
      </c>
      <c r="G111" s="47" t="s">
        <v>569</v>
      </c>
      <c r="H111" s="47" t="s">
        <v>81</v>
      </c>
      <c r="I111" s="47"/>
      <c r="J111" s="48">
        <v>42396.875543981485</v>
      </c>
      <c r="K111" s="47" t="s">
        <v>20</v>
      </c>
      <c r="L111" s="47" t="s">
        <v>80</v>
      </c>
      <c r="M111" s="48">
        <v>42396.875543981485</v>
      </c>
      <c r="N111" s="47" t="s">
        <v>242</v>
      </c>
      <c r="O111" s="47"/>
      <c r="P111" s="47"/>
      <c r="Q111" s="47" t="s">
        <v>6</v>
      </c>
      <c r="R111" s="47" t="s">
        <v>30</v>
      </c>
      <c r="S111" s="47" t="s">
        <v>24</v>
      </c>
      <c r="T111" s="47" t="s">
        <v>47</v>
      </c>
      <c r="U111" s="47"/>
      <c r="V111" s="47" t="s">
        <v>7</v>
      </c>
      <c r="W111" s="47" t="s">
        <v>10</v>
      </c>
      <c r="X111" s="47" t="s">
        <v>7</v>
      </c>
      <c r="Y111" s="47" t="s">
        <v>114</v>
      </c>
      <c r="Z111" s="47" t="s">
        <v>7</v>
      </c>
      <c r="AA111" s="47" t="s">
        <v>7</v>
      </c>
      <c r="AB111" s="47" t="s">
        <v>7</v>
      </c>
      <c r="AC111" s="47" t="s">
        <v>7</v>
      </c>
      <c r="AD111" s="47" t="s">
        <v>7</v>
      </c>
      <c r="AE111" s="47" t="s">
        <v>7</v>
      </c>
    </row>
    <row r="112" spans="1:31" x14ac:dyDescent="0.3">
      <c r="A112" s="37">
        <f t="shared" ca="1" si="0"/>
        <v>480</v>
      </c>
      <c r="B112" s="37">
        <f t="shared" ca="1" si="1"/>
        <v>499</v>
      </c>
      <c r="C112" s="47">
        <v>76103</v>
      </c>
      <c r="D112" s="47" t="s">
        <v>376</v>
      </c>
      <c r="E112" s="47" t="s">
        <v>900</v>
      </c>
      <c r="F112" s="47" t="s">
        <v>11</v>
      </c>
      <c r="G112" s="47" t="s">
        <v>569</v>
      </c>
      <c r="H112" s="47" t="s">
        <v>81</v>
      </c>
      <c r="I112" s="47"/>
      <c r="J112" s="48">
        <v>42416.608483796299</v>
      </c>
      <c r="K112" s="47" t="s">
        <v>20</v>
      </c>
      <c r="L112" s="47" t="s">
        <v>80</v>
      </c>
      <c r="M112" s="48">
        <v>42396.875740740739</v>
      </c>
      <c r="N112" s="47" t="s">
        <v>29</v>
      </c>
      <c r="O112" s="47"/>
      <c r="P112" s="47"/>
      <c r="Q112" s="47" t="s">
        <v>6</v>
      </c>
      <c r="R112" s="47" t="s">
        <v>30</v>
      </c>
      <c r="S112" s="47" t="s">
        <v>8</v>
      </c>
      <c r="T112" s="47" t="s">
        <v>38</v>
      </c>
      <c r="U112" s="47"/>
      <c r="V112" s="47" t="s">
        <v>7</v>
      </c>
      <c r="W112" s="47" t="s">
        <v>10</v>
      </c>
      <c r="X112" s="47" t="s">
        <v>7</v>
      </c>
      <c r="Y112" s="47" t="s">
        <v>114</v>
      </c>
      <c r="Z112" s="47" t="s">
        <v>7</v>
      </c>
      <c r="AA112" s="47" t="s">
        <v>7</v>
      </c>
      <c r="AB112" s="47" t="s">
        <v>7</v>
      </c>
      <c r="AC112" s="47" t="s">
        <v>7</v>
      </c>
      <c r="AD112" s="47" t="s">
        <v>7</v>
      </c>
      <c r="AE112" s="47" t="s">
        <v>7</v>
      </c>
    </row>
    <row r="113" spans="1:31" x14ac:dyDescent="0.3">
      <c r="A113" s="37">
        <f t="shared" ca="1" si="0"/>
        <v>499</v>
      </c>
      <c r="B113" s="37">
        <f t="shared" ca="1" si="1"/>
        <v>499</v>
      </c>
      <c r="C113" s="47">
        <v>76104</v>
      </c>
      <c r="D113" s="47" t="s">
        <v>376</v>
      </c>
      <c r="E113" s="47" t="s">
        <v>901</v>
      </c>
      <c r="F113" s="47" t="s">
        <v>11</v>
      </c>
      <c r="G113" s="47" t="s">
        <v>569</v>
      </c>
      <c r="H113" s="47" t="s">
        <v>81</v>
      </c>
      <c r="I113" s="47"/>
      <c r="J113" s="48">
        <v>42396.876122685186</v>
      </c>
      <c r="K113" s="47" t="s">
        <v>20</v>
      </c>
      <c r="L113" s="47" t="s">
        <v>80</v>
      </c>
      <c r="M113" s="48">
        <v>42396.876122685186</v>
      </c>
      <c r="N113" s="47" t="s">
        <v>50</v>
      </c>
      <c r="O113" s="47"/>
      <c r="P113" s="47"/>
      <c r="Q113" s="47" t="s">
        <v>6</v>
      </c>
      <c r="R113" s="47" t="s">
        <v>30</v>
      </c>
      <c r="S113" s="47" t="s">
        <v>8</v>
      </c>
      <c r="T113" s="47" t="s">
        <v>38</v>
      </c>
      <c r="U113" s="47"/>
      <c r="V113" s="47" t="s">
        <v>7</v>
      </c>
      <c r="W113" s="47" t="s">
        <v>10</v>
      </c>
      <c r="X113" s="47" t="s">
        <v>7</v>
      </c>
      <c r="Y113" s="47" t="s">
        <v>114</v>
      </c>
      <c r="Z113" s="47" t="s">
        <v>7</v>
      </c>
      <c r="AA113" s="47" t="s">
        <v>7</v>
      </c>
      <c r="AB113" s="47" t="s">
        <v>7</v>
      </c>
      <c r="AC113" s="47" t="s">
        <v>7</v>
      </c>
      <c r="AD113" s="47" t="s">
        <v>7</v>
      </c>
      <c r="AE113" s="47" t="s">
        <v>7</v>
      </c>
    </row>
    <row r="114" spans="1:31" x14ac:dyDescent="0.3">
      <c r="A114" s="37">
        <f t="shared" ca="1" si="0"/>
        <v>463</v>
      </c>
      <c r="B114" s="37">
        <f t="shared" ca="1" si="1"/>
        <v>499</v>
      </c>
      <c r="C114" s="47">
        <v>76106</v>
      </c>
      <c r="D114" s="47" t="s">
        <v>376</v>
      </c>
      <c r="E114" s="47" t="s">
        <v>902</v>
      </c>
      <c r="F114" s="47" t="s">
        <v>11</v>
      </c>
      <c r="G114" s="47" t="s">
        <v>569</v>
      </c>
      <c r="H114" s="47" t="s">
        <v>81</v>
      </c>
      <c r="I114" s="47"/>
      <c r="J114" s="48">
        <v>42432.617789351854</v>
      </c>
      <c r="K114" s="47" t="s">
        <v>20</v>
      </c>
      <c r="L114" s="47" t="s">
        <v>80</v>
      </c>
      <c r="M114" s="48">
        <v>42396.87667824074</v>
      </c>
      <c r="N114" s="47" t="s">
        <v>154</v>
      </c>
      <c r="O114" s="47"/>
      <c r="P114" s="47"/>
      <c r="Q114" s="47" t="s">
        <v>6</v>
      </c>
      <c r="R114" s="47" t="s">
        <v>30</v>
      </c>
      <c r="S114" s="47" t="s">
        <v>13</v>
      </c>
      <c r="T114" s="47" t="s">
        <v>19</v>
      </c>
      <c r="U114" s="47"/>
      <c r="V114" s="47" t="s">
        <v>7</v>
      </c>
      <c r="W114" s="47" t="s">
        <v>10</v>
      </c>
      <c r="X114" s="47" t="s">
        <v>7</v>
      </c>
      <c r="Y114" s="47" t="s">
        <v>114</v>
      </c>
      <c r="Z114" s="47" t="s">
        <v>7</v>
      </c>
      <c r="AA114" s="47" t="s">
        <v>7</v>
      </c>
      <c r="AB114" s="47" t="s">
        <v>7</v>
      </c>
      <c r="AC114" s="47" t="s">
        <v>7</v>
      </c>
      <c r="AD114" s="47" t="s">
        <v>7</v>
      </c>
      <c r="AE114" s="47" t="s">
        <v>7</v>
      </c>
    </row>
    <row r="115" spans="1:31" x14ac:dyDescent="0.3">
      <c r="A115" s="37">
        <f t="shared" ca="1" si="0"/>
        <v>499</v>
      </c>
      <c r="B115" s="37">
        <f t="shared" ca="1" si="1"/>
        <v>499</v>
      </c>
      <c r="C115" s="47">
        <v>76107</v>
      </c>
      <c r="D115" s="47" t="s">
        <v>376</v>
      </c>
      <c r="E115" s="47" t="s">
        <v>903</v>
      </c>
      <c r="F115" s="47" t="s">
        <v>11</v>
      </c>
      <c r="G115" s="47" t="s">
        <v>569</v>
      </c>
      <c r="H115" s="47" t="s">
        <v>81</v>
      </c>
      <c r="I115" s="47"/>
      <c r="J115" s="48">
        <v>42396.876793981479</v>
      </c>
      <c r="K115" s="47" t="s">
        <v>20</v>
      </c>
      <c r="L115" s="47" t="s">
        <v>48</v>
      </c>
      <c r="M115" s="48">
        <v>42396.876793981479</v>
      </c>
      <c r="N115" s="47" t="s">
        <v>116</v>
      </c>
      <c r="O115" s="47"/>
      <c r="P115" s="47"/>
      <c r="Q115" s="47" t="s">
        <v>6</v>
      </c>
      <c r="R115" s="47" t="s">
        <v>30</v>
      </c>
      <c r="S115" s="47" t="s">
        <v>13</v>
      </c>
      <c r="T115" s="47" t="s">
        <v>19</v>
      </c>
      <c r="U115" s="47"/>
      <c r="V115" s="47" t="s">
        <v>7</v>
      </c>
      <c r="W115" s="47" t="s">
        <v>10</v>
      </c>
      <c r="X115" s="47" t="s">
        <v>7</v>
      </c>
      <c r="Y115" s="47" t="s">
        <v>114</v>
      </c>
      <c r="Z115" s="47" t="s">
        <v>7</v>
      </c>
      <c r="AA115" s="47" t="s">
        <v>7</v>
      </c>
      <c r="AB115" s="47" t="s">
        <v>7</v>
      </c>
      <c r="AC115" s="47" t="s">
        <v>7</v>
      </c>
      <c r="AD115" s="47" t="s">
        <v>7</v>
      </c>
      <c r="AE115" s="47" t="s">
        <v>7</v>
      </c>
    </row>
    <row r="116" spans="1:31" x14ac:dyDescent="0.3">
      <c r="A116" s="37">
        <f t="shared" ca="1" si="0"/>
        <v>492</v>
      </c>
      <c r="B116" s="37">
        <f t="shared" ca="1" si="1"/>
        <v>499</v>
      </c>
      <c r="C116" s="47">
        <v>76109</v>
      </c>
      <c r="D116" s="47" t="s">
        <v>337</v>
      </c>
      <c r="E116" s="47" t="s">
        <v>904</v>
      </c>
      <c r="F116" s="47" t="s">
        <v>11</v>
      </c>
      <c r="G116" s="47" t="s">
        <v>569</v>
      </c>
      <c r="H116" s="47" t="s">
        <v>81</v>
      </c>
      <c r="I116" s="47"/>
      <c r="J116" s="48">
        <v>42404.586782407408</v>
      </c>
      <c r="K116" s="47" t="s">
        <v>20</v>
      </c>
      <c r="L116" s="47" t="s">
        <v>80</v>
      </c>
      <c r="M116" s="48">
        <v>42396.877256944441</v>
      </c>
      <c r="N116" s="47" t="s">
        <v>5</v>
      </c>
      <c r="O116" s="47"/>
      <c r="P116" s="47"/>
      <c r="Q116" s="47" t="s">
        <v>6</v>
      </c>
      <c r="R116" s="47" t="s">
        <v>30</v>
      </c>
      <c r="S116" s="47" t="s">
        <v>8</v>
      </c>
      <c r="T116" s="47" t="s">
        <v>38</v>
      </c>
      <c r="U116" s="47"/>
      <c r="V116" s="47" t="s">
        <v>7</v>
      </c>
      <c r="W116" s="47" t="s">
        <v>10</v>
      </c>
      <c r="X116" s="47" t="s">
        <v>44</v>
      </c>
      <c r="Y116" s="47" t="s">
        <v>114</v>
      </c>
      <c r="Z116" s="47" t="s">
        <v>7</v>
      </c>
      <c r="AA116" s="47" t="s">
        <v>7</v>
      </c>
      <c r="AB116" s="47" t="s">
        <v>7</v>
      </c>
      <c r="AC116" s="47" t="s">
        <v>7</v>
      </c>
      <c r="AD116" s="47" t="s">
        <v>7</v>
      </c>
      <c r="AE116" s="47" t="s">
        <v>7</v>
      </c>
    </row>
    <row r="117" spans="1:31" x14ac:dyDescent="0.3">
      <c r="A117" s="37">
        <f t="shared" ca="1" si="0"/>
        <v>466</v>
      </c>
      <c r="B117" s="37">
        <f t="shared" ca="1" si="1"/>
        <v>499</v>
      </c>
      <c r="C117" s="47">
        <v>76110</v>
      </c>
      <c r="D117" s="47" t="s">
        <v>331</v>
      </c>
      <c r="E117" s="47" t="s">
        <v>905</v>
      </c>
      <c r="F117" s="47" t="s">
        <v>11</v>
      </c>
      <c r="G117" s="47" t="s">
        <v>569</v>
      </c>
      <c r="H117" s="47" t="s">
        <v>81</v>
      </c>
      <c r="I117" s="47"/>
      <c r="J117" s="48">
        <v>42429.578206018516</v>
      </c>
      <c r="K117" s="47" t="s">
        <v>20</v>
      </c>
      <c r="L117" s="47" t="s">
        <v>3</v>
      </c>
      <c r="M117" s="48">
        <v>42396.877453703702</v>
      </c>
      <c r="N117" s="47" t="s">
        <v>120</v>
      </c>
      <c r="O117" s="47"/>
      <c r="P117" s="47"/>
      <c r="Q117" s="47" t="s">
        <v>6</v>
      </c>
      <c r="R117" s="47" t="s">
        <v>30</v>
      </c>
      <c r="S117" s="47" t="s">
        <v>13</v>
      </c>
      <c r="T117" s="47" t="s">
        <v>19</v>
      </c>
      <c r="U117" s="47"/>
      <c r="V117" s="47" t="s">
        <v>7</v>
      </c>
      <c r="W117" s="47" t="s">
        <v>10</v>
      </c>
      <c r="X117" s="47" t="s">
        <v>7</v>
      </c>
      <c r="Y117" s="47" t="s">
        <v>114</v>
      </c>
      <c r="Z117" s="47" t="s">
        <v>7</v>
      </c>
      <c r="AA117" s="47" t="s">
        <v>7</v>
      </c>
      <c r="AB117" s="47" t="s">
        <v>7</v>
      </c>
      <c r="AC117" s="47" t="s">
        <v>7</v>
      </c>
      <c r="AD117" s="47" t="s">
        <v>7</v>
      </c>
      <c r="AE117" s="47" t="s">
        <v>7</v>
      </c>
    </row>
    <row r="118" spans="1:31" x14ac:dyDescent="0.3">
      <c r="A118" s="37">
        <f t="shared" ca="1" si="0"/>
        <v>499</v>
      </c>
      <c r="B118" s="37">
        <f t="shared" ca="1" si="1"/>
        <v>499</v>
      </c>
      <c r="C118" s="47">
        <v>76111</v>
      </c>
      <c r="D118" s="47" t="s">
        <v>338</v>
      </c>
      <c r="E118" s="47" t="s">
        <v>906</v>
      </c>
      <c r="F118" s="47" t="s">
        <v>11</v>
      </c>
      <c r="G118" s="47" t="s">
        <v>569</v>
      </c>
      <c r="H118" s="47" t="s">
        <v>81</v>
      </c>
      <c r="I118" s="47"/>
      <c r="J118" s="48">
        <v>42396.877627314818</v>
      </c>
      <c r="K118" s="47" t="s">
        <v>20</v>
      </c>
      <c r="L118" s="47" t="s">
        <v>80</v>
      </c>
      <c r="M118" s="48">
        <v>42396.877627314818</v>
      </c>
      <c r="N118" s="47" t="s">
        <v>50</v>
      </c>
      <c r="O118" s="47"/>
      <c r="P118" s="47"/>
      <c r="Q118" s="47" t="s">
        <v>6</v>
      </c>
      <c r="R118" s="47" t="s">
        <v>30</v>
      </c>
      <c r="S118" s="47" t="s">
        <v>24</v>
      </c>
      <c r="T118" s="47" t="s">
        <v>46</v>
      </c>
      <c r="U118" s="47"/>
      <c r="V118" s="47" t="s">
        <v>7</v>
      </c>
      <c r="W118" s="47" t="s">
        <v>10</v>
      </c>
      <c r="X118" s="47" t="s">
        <v>7</v>
      </c>
      <c r="Y118" s="47" t="s">
        <v>114</v>
      </c>
      <c r="Z118" s="47" t="s">
        <v>7</v>
      </c>
      <c r="AA118" s="47" t="s">
        <v>7</v>
      </c>
      <c r="AB118" s="47" t="s">
        <v>7</v>
      </c>
      <c r="AC118" s="47" t="s">
        <v>7</v>
      </c>
      <c r="AD118" s="47" t="s">
        <v>7</v>
      </c>
      <c r="AE118" s="47" t="s">
        <v>7</v>
      </c>
    </row>
    <row r="119" spans="1:31" x14ac:dyDescent="0.3">
      <c r="A119" s="37">
        <f t="shared" ca="1" si="0"/>
        <v>499</v>
      </c>
      <c r="B119" s="37">
        <f t="shared" ca="1" si="1"/>
        <v>499</v>
      </c>
      <c r="C119" s="47">
        <v>76112</v>
      </c>
      <c r="D119" s="47" t="s">
        <v>338</v>
      </c>
      <c r="E119" s="47" t="s">
        <v>907</v>
      </c>
      <c r="F119" s="47" t="s">
        <v>11</v>
      </c>
      <c r="G119" s="47" t="s">
        <v>569</v>
      </c>
      <c r="H119" s="47" t="s">
        <v>81</v>
      </c>
      <c r="I119" s="47"/>
      <c r="J119" s="48">
        <v>42396.877789351849</v>
      </c>
      <c r="K119" s="47" t="s">
        <v>20</v>
      </c>
      <c r="L119" s="47" t="s">
        <v>83</v>
      </c>
      <c r="M119" s="48">
        <v>42396.877789351849</v>
      </c>
      <c r="N119" s="47" t="s">
        <v>22</v>
      </c>
      <c r="O119" s="47"/>
      <c r="P119" s="47"/>
      <c r="Q119" s="47" t="s">
        <v>6</v>
      </c>
      <c r="R119" s="47" t="s">
        <v>30</v>
      </c>
      <c r="S119" s="47" t="s">
        <v>8</v>
      </c>
      <c r="T119" s="47" t="s">
        <v>27</v>
      </c>
      <c r="U119" s="47"/>
      <c r="V119" s="47" t="s">
        <v>7</v>
      </c>
      <c r="W119" s="47" t="s">
        <v>10</v>
      </c>
      <c r="X119" s="47" t="s">
        <v>7</v>
      </c>
      <c r="Y119" s="47" t="s">
        <v>114</v>
      </c>
      <c r="Z119" s="47" t="s">
        <v>7</v>
      </c>
      <c r="AA119" s="47" t="s">
        <v>7</v>
      </c>
      <c r="AB119" s="47" t="s">
        <v>7</v>
      </c>
      <c r="AC119" s="47" t="s">
        <v>7</v>
      </c>
      <c r="AD119" s="47" t="s">
        <v>7</v>
      </c>
      <c r="AE119" s="47" t="s">
        <v>7</v>
      </c>
    </row>
    <row r="120" spans="1:31" x14ac:dyDescent="0.3">
      <c r="A120" s="37">
        <f t="shared" ca="1" si="0"/>
        <v>492</v>
      </c>
      <c r="B120" s="37">
        <f t="shared" ca="1" si="1"/>
        <v>499</v>
      </c>
      <c r="C120" s="47">
        <v>76113</v>
      </c>
      <c r="D120" s="47" t="s">
        <v>593</v>
      </c>
      <c r="E120" s="47" t="s">
        <v>908</v>
      </c>
      <c r="F120" s="47" t="s">
        <v>11</v>
      </c>
      <c r="G120" s="47" t="s">
        <v>569</v>
      </c>
      <c r="H120" s="47" t="s">
        <v>81</v>
      </c>
      <c r="I120" s="47"/>
      <c r="J120" s="48">
        <v>42404.588275462964</v>
      </c>
      <c r="K120" s="47" t="s">
        <v>20</v>
      </c>
      <c r="L120" s="47" t="s">
        <v>80</v>
      </c>
      <c r="M120" s="48">
        <v>42396.878078703703</v>
      </c>
      <c r="N120" s="47" t="s">
        <v>5</v>
      </c>
      <c r="O120" s="47"/>
      <c r="P120" s="47"/>
      <c r="Q120" s="47" t="s">
        <v>6</v>
      </c>
      <c r="R120" s="47" t="s">
        <v>30</v>
      </c>
      <c r="S120" s="47" t="s">
        <v>8</v>
      </c>
      <c r="T120" s="47" t="s">
        <v>38</v>
      </c>
      <c r="U120" s="47"/>
      <c r="V120" s="47" t="s">
        <v>7</v>
      </c>
      <c r="W120" s="47" t="s">
        <v>10</v>
      </c>
      <c r="X120" s="47" t="s">
        <v>7</v>
      </c>
      <c r="Y120" s="47" t="s">
        <v>114</v>
      </c>
      <c r="Z120" s="47" t="s">
        <v>7</v>
      </c>
      <c r="AA120" s="47" t="s">
        <v>7</v>
      </c>
      <c r="AB120" s="47" t="s">
        <v>7</v>
      </c>
      <c r="AC120" s="47" t="s">
        <v>7</v>
      </c>
      <c r="AD120" s="47" t="s">
        <v>7</v>
      </c>
      <c r="AE120" s="47" t="s">
        <v>7</v>
      </c>
    </row>
    <row r="121" spans="1:31" x14ac:dyDescent="0.3">
      <c r="A121" s="37">
        <f t="shared" ca="1" si="0"/>
        <v>499</v>
      </c>
      <c r="B121" s="37">
        <f t="shared" ca="1" si="1"/>
        <v>499</v>
      </c>
      <c r="C121" s="47">
        <v>76114</v>
      </c>
      <c r="D121" s="47" t="s">
        <v>338</v>
      </c>
      <c r="E121" s="47" t="s">
        <v>909</v>
      </c>
      <c r="F121" s="47" t="s">
        <v>11</v>
      </c>
      <c r="G121" s="47" t="s">
        <v>569</v>
      </c>
      <c r="H121" s="47" t="s">
        <v>81</v>
      </c>
      <c r="I121" s="47"/>
      <c r="J121" s="48">
        <v>42396.878425925926</v>
      </c>
      <c r="K121" s="47" t="s">
        <v>20</v>
      </c>
      <c r="L121" s="47" t="s">
        <v>83</v>
      </c>
      <c r="M121" s="48">
        <v>42396.878425925926</v>
      </c>
      <c r="N121" s="47" t="s">
        <v>50</v>
      </c>
      <c r="O121" s="47"/>
      <c r="P121" s="47"/>
      <c r="Q121" s="47" t="s">
        <v>6</v>
      </c>
      <c r="R121" s="47" t="s">
        <v>30</v>
      </c>
      <c r="S121" s="47" t="s">
        <v>8</v>
      </c>
      <c r="T121" s="47" t="s">
        <v>27</v>
      </c>
      <c r="U121" s="47"/>
      <c r="V121" s="47" t="s">
        <v>7</v>
      </c>
      <c r="W121" s="47" t="s">
        <v>10</v>
      </c>
      <c r="X121" s="47" t="s">
        <v>7</v>
      </c>
      <c r="Y121" s="47" t="s">
        <v>114</v>
      </c>
      <c r="Z121" s="47" t="s">
        <v>7</v>
      </c>
      <c r="AA121" s="47" t="s">
        <v>7</v>
      </c>
      <c r="AB121" s="47" t="s">
        <v>7</v>
      </c>
      <c r="AC121" s="47" t="s">
        <v>7</v>
      </c>
      <c r="AD121" s="47" t="s">
        <v>7</v>
      </c>
      <c r="AE121" s="47" t="s">
        <v>7</v>
      </c>
    </row>
    <row r="122" spans="1:31" x14ac:dyDescent="0.3">
      <c r="A122" s="37">
        <f t="shared" ca="1" si="0"/>
        <v>499</v>
      </c>
      <c r="B122" s="37">
        <f t="shared" ca="1" si="1"/>
        <v>499</v>
      </c>
      <c r="C122" s="47">
        <v>76115</v>
      </c>
      <c r="D122" s="47" t="s">
        <v>339</v>
      </c>
      <c r="E122" s="47" t="s">
        <v>910</v>
      </c>
      <c r="F122" s="47" t="s">
        <v>11</v>
      </c>
      <c r="G122" s="47" t="s">
        <v>569</v>
      </c>
      <c r="H122" s="47" t="s">
        <v>81</v>
      </c>
      <c r="I122" s="47"/>
      <c r="J122" s="48">
        <v>42396.87871527778</v>
      </c>
      <c r="K122" s="47" t="s">
        <v>20</v>
      </c>
      <c r="L122" s="47" t="s">
        <v>83</v>
      </c>
      <c r="M122" s="48">
        <v>42396.87871527778</v>
      </c>
      <c r="N122" s="47" t="s">
        <v>50</v>
      </c>
      <c r="O122" s="47"/>
      <c r="P122" s="47"/>
      <c r="Q122" s="47" t="s">
        <v>6</v>
      </c>
      <c r="R122" s="47" t="s">
        <v>30</v>
      </c>
      <c r="S122" s="47" t="s">
        <v>8</v>
      </c>
      <c r="T122" s="47" t="s">
        <v>38</v>
      </c>
      <c r="U122" s="47"/>
      <c r="V122" s="47" t="s">
        <v>7</v>
      </c>
      <c r="W122" s="47" t="s">
        <v>10</v>
      </c>
      <c r="X122" s="47" t="s">
        <v>7</v>
      </c>
      <c r="Y122" s="47" t="s">
        <v>114</v>
      </c>
      <c r="Z122" s="47" t="s">
        <v>7</v>
      </c>
      <c r="AA122" s="47" t="s">
        <v>7</v>
      </c>
      <c r="AB122" s="47" t="s">
        <v>7</v>
      </c>
      <c r="AC122" s="47" t="s">
        <v>7</v>
      </c>
      <c r="AD122" s="47" t="s">
        <v>7</v>
      </c>
      <c r="AE122" s="47" t="s">
        <v>7</v>
      </c>
    </row>
    <row r="123" spans="1:31" x14ac:dyDescent="0.3">
      <c r="A123" s="37">
        <f t="shared" ca="1" si="0"/>
        <v>480</v>
      </c>
      <c r="B123" s="37">
        <f t="shared" ca="1" si="1"/>
        <v>499</v>
      </c>
      <c r="C123" s="47">
        <v>76116</v>
      </c>
      <c r="D123" s="47" t="s">
        <v>342</v>
      </c>
      <c r="E123" s="47" t="s">
        <v>911</v>
      </c>
      <c r="F123" s="47" t="s">
        <v>11</v>
      </c>
      <c r="G123" s="47" t="s">
        <v>569</v>
      </c>
      <c r="H123" s="47" t="s">
        <v>81</v>
      </c>
      <c r="I123" s="47"/>
      <c r="J123" s="48">
        <v>42416.610046296293</v>
      </c>
      <c r="K123" s="47" t="s">
        <v>20</v>
      </c>
      <c r="L123" s="47" t="s">
        <v>80</v>
      </c>
      <c r="M123" s="48">
        <v>42396.878900462965</v>
      </c>
      <c r="N123" s="47" t="s">
        <v>29</v>
      </c>
      <c r="O123" s="47"/>
      <c r="P123" s="47"/>
      <c r="Q123" s="47" t="s">
        <v>6</v>
      </c>
      <c r="R123" s="47" t="s">
        <v>30</v>
      </c>
      <c r="S123" s="47" t="s">
        <v>8</v>
      </c>
      <c r="T123" s="47" t="s">
        <v>27</v>
      </c>
      <c r="U123" s="47"/>
      <c r="V123" s="47" t="s">
        <v>7</v>
      </c>
      <c r="W123" s="47" t="s">
        <v>10</v>
      </c>
      <c r="X123" s="47" t="s">
        <v>7</v>
      </c>
      <c r="Y123" s="47" t="s">
        <v>114</v>
      </c>
      <c r="Z123" s="47" t="s">
        <v>7</v>
      </c>
      <c r="AA123" s="47" t="s">
        <v>7</v>
      </c>
      <c r="AB123" s="47" t="s">
        <v>7</v>
      </c>
      <c r="AC123" s="47" t="s">
        <v>7</v>
      </c>
      <c r="AD123" s="47" t="s">
        <v>7</v>
      </c>
      <c r="AE123" s="47" t="s">
        <v>7</v>
      </c>
    </row>
    <row r="124" spans="1:31" x14ac:dyDescent="0.3">
      <c r="A124" s="37">
        <f t="shared" ca="1" si="0"/>
        <v>499</v>
      </c>
      <c r="B124" s="37">
        <f t="shared" ca="1" si="1"/>
        <v>499</v>
      </c>
      <c r="C124" s="47">
        <v>76117</v>
      </c>
      <c r="D124" s="47" t="s">
        <v>339</v>
      </c>
      <c r="E124" s="47" t="s">
        <v>912</v>
      </c>
      <c r="F124" s="47" t="s">
        <v>11</v>
      </c>
      <c r="G124" s="47" t="s">
        <v>569</v>
      </c>
      <c r="H124" s="47" t="s">
        <v>81</v>
      </c>
      <c r="I124" s="47"/>
      <c r="J124" s="48">
        <v>42396.879189814812</v>
      </c>
      <c r="K124" s="47" t="s">
        <v>20</v>
      </c>
      <c r="L124" s="47" t="s">
        <v>3</v>
      </c>
      <c r="M124" s="48">
        <v>42396.879189814812</v>
      </c>
      <c r="N124" s="47" t="s">
        <v>50</v>
      </c>
      <c r="O124" s="47"/>
      <c r="P124" s="47"/>
      <c r="Q124" s="47" t="s">
        <v>6</v>
      </c>
      <c r="R124" s="47" t="s">
        <v>30</v>
      </c>
      <c r="S124" s="47" t="s">
        <v>8</v>
      </c>
      <c r="T124" s="47" t="s">
        <v>122</v>
      </c>
      <c r="U124" s="47"/>
      <c r="V124" s="47" t="s">
        <v>7</v>
      </c>
      <c r="W124" s="47" t="s">
        <v>10</v>
      </c>
      <c r="X124" s="47" t="s">
        <v>7</v>
      </c>
      <c r="Y124" s="47" t="s">
        <v>114</v>
      </c>
      <c r="Z124" s="47" t="s">
        <v>7</v>
      </c>
      <c r="AA124" s="47" t="s">
        <v>7</v>
      </c>
      <c r="AB124" s="47" t="s">
        <v>7</v>
      </c>
      <c r="AC124" s="47" t="s">
        <v>7</v>
      </c>
      <c r="AD124" s="47" t="s">
        <v>7</v>
      </c>
      <c r="AE124" s="47" t="s">
        <v>7</v>
      </c>
    </row>
    <row r="125" spans="1:31" x14ac:dyDescent="0.3">
      <c r="A125" s="37">
        <f t="shared" ca="1" si="0"/>
        <v>499</v>
      </c>
      <c r="B125" s="37">
        <f t="shared" ca="1" si="1"/>
        <v>499</v>
      </c>
      <c r="C125" s="47">
        <v>76118</v>
      </c>
      <c r="D125" s="47" t="s">
        <v>339</v>
      </c>
      <c r="E125" s="47" t="s">
        <v>913</v>
      </c>
      <c r="F125" s="47" t="s">
        <v>11</v>
      </c>
      <c r="G125" s="47" t="s">
        <v>569</v>
      </c>
      <c r="H125" s="47" t="s">
        <v>81</v>
      </c>
      <c r="I125" s="47"/>
      <c r="J125" s="48">
        <v>42396.879525462966</v>
      </c>
      <c r="K125" s="47" t="s">
        <v>20</v>
      </c>
      <c r="L125" s="47" t="s">
        <v>3</v>
      </c>
      <c r="M125" s="48">
        <v>42396.879525462966</v>
      </c>
      <c r="N125" s="47" t="s">
        <v>50</v>
      </c>
      <c r="O125" s="47"/>
      <c r="P125" s="47"/>
      <c r="Q125" s="47" t="s">
        <v>6</v>
      </c>
      <c r="R125" s="47" t="s">
        <v>30</v>
      </c>
      <c r="S125" s="47" t="s">
        <v>8</v>
      </c>
      <c r="T125" s="47" t="s">
        <v>27</v>
      </c>
      <c r="U125" s="47"/>
      <c r="V125" s="47" t="s">
        <v>7</v>
      </c>
      <c r="W125" s="47" t="s">
        <v>10</v>
      </c>
      <c r="X125" s="47" t="s">
        <v>7</v>
      </c>
      <c r="Y125" s="47" t="s">
        <v>114</v>
      </c>
      <c r="Z125" s="47" t="s">
        <v>7</v>
      </c>
      <c r="AA125" s="47" t="s">
        <v>7</v>
      </c>
      <c r="AB125" s="47" t="s">
        <v>7</v>
      </c>
      <c r="AC125" s="47" t="s">
        <v>7</v>
      </c>
      <c r="AD125" s="47" t="s">
        <v>7</v>
      </c>
      <c r="AE125" s="47" t="s">
        <v>7</v>
      </c>
    </row>
    <row r="126" spans="1:31" x14ac:dyDescent="0.3">
      <c r="A126" s="37">
        <f t="shared" ca="1" si="0"/>
        <v>499</v>
      </c>
      <c r="B126" s="37">
        <f t="shared" ca="1" si="1"/>
        <v>499</v>
      </c>
      <c r="C126" s="47">
        <v>76119</v>
      </c>
      <c r="D126" s="47" t="s">
        <v>332</v>
      </c>
      <c r="E126" s="47" t="s">
        <v>914</v>
      </c>
      <c r="F126" s="47" t="s">
        <v>11</v>
      </c>
      <c r="G126" s="47" t="s">
        <v>569</v>
      </c>
      <c r="H126" s="47" t="s">
        <v>81</v>
      </c>
      <c r="I126" s="47" t="s">
        <v>915</v>
      </c>
      <c r="J126" s="48">
        <v>42396.879733796297</v>
      </c>
      <c r="K126" s="47" t="s">
        <v>20</v>
      </c>
      <c r="L126" s="47" t="s">
        <v>80</v>
      </c>
      <c r="M126" s="48">
        <v>42396.879733796297</v>
      </c>
      <c r="N126" s="47" t="s">
        <v>5</v>
      </c>
      <c r="O126" s="47"/>
      <c r="P126" s="47"/>
      <c r="Q126" s="47" t="s">
        <v>6</v>
      </c>
      <c r="R126" s="47" t="s">
        <v>30</v>
      </c>
      <c r="S126" s="47" t="s">
        <v>24</v>
      </c>
      <c r="T126" s="47" t="s">
        <v>51</v>
      </c>
      <c r="U126" s="47"/>
      <c r="V126" s="47" t="s">
        <v>7</v>
      </c>
      <c r="W126" s="47" t="s">
        <v>10</v>
      </c>
      <c r="X126" s="47" t="s">
        <v>7</v>
      </c>
      <c r="Y126" s="47" t="s">
        <v>114</v>
      </c>
      <c r="Z126" s="47" t="s">
        <v>7</v>
      </c>
      <c r="AA126" s="47" t="s">
        <v>7</v>
      </c>
      <c r="AB126" s="47" t="s">
        <v>7</v>
      </c>
      <c r="AC126" s="47" t="s">
        <v>7</v>
      </c>
      <c r="AD126" s="47" t="s">
        <v>7</v>
      </c>
      <c r="AE126" s="47" t="s">
        <v>7</v>
      </c>
    </row>
    <row r="127" spans="1:31" x14ac:dyDescent="0.3">
      <c r="A127" s="37">
        <f t="shared" ca="1" si="0"/>
        <v>471</v>
      </c>
      <c r="B127" s="37">
        <f t="shared" ca="1" si="1"/>
        <v>499</v>
      </c>
      <c r="C127" s="47">
        <v>76120</v>
      </c>
      <c r="D127" s="47" t="s">
        <v>376</v>
      </c>
      <c r="E127" s="47" t="s">
        <v>916</v>
      </c>
      <c r="F127" s="47" t="s">
        <v>11</v>
      </c>
      <c r="G127" s="47" t="s">
        <v>569</v>
      </c>
      <c r="H127" s="47" t="s">
        <v>81</v>
      </c>
      <c r="I127" s="47"/>
      <c r="J127" s="48">
        <v>42425.40730324074</v>
      </c>
      <c r="K127" s="47" t="s">
        <v>20</v>
      </c>
      <c r="L127" s="47" t="s">
        <v>3</v>
      </c>
      <c r="M127" s="48">
        <v>42396.879918981482</v>
      </c>
      <c r="N127" s="47" t="s">
        <v>29</v>
      </c>
      <c r="O127" s="47"/>
      <c r="P127" s="47"/>
      <c r="Q127" s="47" t="s">
        <v>6</v>
      </c>
      <c r="R127" s="47" t="s">
        <v>30</v>
      </c>
      <c r="S127" s="47" t="s">
        <v>13</v>
      </c>
      <c r="T127" s="47" t="s">
        <v>19</v>
      </c>
      <c r="U127" s="47"/>
      <c r="V127" s="47" t="s">
        <v>7</v>
      </c>
      <c r="W127" s="47" t="s">
        <v>10</v>
      </c>
      <c r="X127" s="47" t="s">
        <v>7</v>
      </c>
      <c r="Y127" s="47" t="s">
        <v>114</v>
      </c>
      <c r="Z127" s="47" t="s">
        <v>7</v>
      </c>
      <c r="AA127" s="47" t="s">
        <v>7</v>
      </c>
      <c r="AB127" s="47" t="s">
        <v>7</v>
      </c>
      <c r="AC127" s="47" t="s">
        <v>7</v>
      </c>
      <c r="AD127" s="47" t="s">
        <v>7</v>
      </c>
      <c r="AE127" s="47" t="s">
        <v>7</v>
      </c>
    </row>
    <row r="128" spans="1:31" x14ac:dyDescent="0.3">
      <c r="A128" s="37">
        <f t="shared" ca="1" si="0"/>
        <v>480</v>
      </c>
      <c r="B128" s="37">
        <f t="shared" ca="1" si="1"/>
        <v>499</v>
      </c>
      <c r="C128" s="47">
        <v>76121</v>
      </c>
      <c r="D128" s="47" t="s">
        <v>342</v>
      </c>
      <c r="E128" s="47" t="s">
        <v>917</v>
      </c>
      <c r="F128" s="47" t="s">
        <v>11</v>
      </c>
      <c r="G128" s="47" t="s">
        <v>569</v>
      </c>
      <c r="H128" s="47" t="s">
        <v>81</v>
      </c>
      <c r="I128" s="47"/>
      <c r="J128" s="48">
        <v>42416.604039351849</v>
      </c>
      <c r="K128" s="47" t="s">
        <v>20</v>
      </c>
      <c r="L128" s="47" t="s">
        <v>3</v>
      </c>
      <c r="M128" s="48">
        <v>42396.880104166667</v>
      </c>
      <c r="N128" s="47" t="s">
        <v>29</v>
      </c>
      <c r="O128" s="47"/>
      <c r="P128" s="47"/>
      <c r="Q128" s="47" t="s">
        <v>6</v>
      </c>
      <c r="R128" s="47" t="s">
        <v>30</v>
      </c>
      <c r="S128" s="47" t="s">
        <v>24</v>
      </c>
      <c r="T128" s="47" t="s">
        <v>46</v>
      </c>
      <c r="U128" s="47"/>
      <c r="V128" s="47" t="s">
        <v>7</v>
      </c>
      <c r="W128" s="47" t="s">
        <v>10</v>
      </c>
      <c r="X128" s="47" t="s">
        <v>7</v>
      </c>
      <c r="Y128" s="47" t="s">
        <v>114</v>
      </c>
      <c r="Z128" s="47" t="s">
        <v>7</v>
      </c>
      <c r="AA128" s="47" t="s">
        <v>7</v>
      </c>
      <c r="AB128" s="47" t="s">
        <v>7</v>
      </c>
      <c r="AC128" s="47" t="s">
        <v>7</v>
      </c>
      <c r="AD128" s="47" t="s">
        <v>7</v>
      </c>
      <c r="AE128" s="47" t="s">
        <v>7</v>
      </c>
    </row>
    <row r="129" spans="1:31" x14ac:dyDescent="0.3">
      <c r="A129" s="37">
        <f t="shared" ca="1" si="0"/>
        <v>463</v>
      </c>
      <c r="B129" s="37">
        <f t="shared" ca="1" si="1"/>
        <v>499</v>
      </c>
      <c r="C129" s="47">
        <v>76122</v>
      </c>
      <c r="D129" s="47" t="s">
        <v>336</v>
      </c>
      <c r="E129" s="47" t="s">
        <v>918</v>
      </c>
      <c r="F129" s="47" t="s">
        <v>11</v>
      </c>
      <c r="G129" s="47" t="s">
        <v>569</v>
      </c>
      <c r="H129" s="47" t="s">
        <v>81</v>
      </c>
      <c r="I129" s="47"/>
      <c r="J129" s="48">
        <v>42432.625868055555</v>
      </c>
      <c r="K129" s="47" t="s">
        <v>20</v>
      </c>
      <c r="L129" s="47" t="s">
        <v>3</v>
      </c>
      <c r="M129" s="48">
        <v>42396.880439814813</v>
      </c>
      <c r="N129" s="47" t="s">
        <v>40</v>
      </c>
      <c r="O129" s="47"/>
      <c r="P129" s="47"/>
      <c r="Q129" s="47" t="s">
        <v>6</v>
      </c>
      <c r="R129" s="47" t="s">
        <v>30</v>
      </c>
      <c r="S129" s="47" t="s">
        <v>13</v>
      </c>
      <c r="T129" s="47" t="s">
        <v>19</v>
      </c>
      <c r="U129" s="47"/>
      <c r="V129" s="47" t="s">
        <v>7</v>
      </c>
      <c r="W129" s="47" t="s">
        <v>10</v>
      </c>
      <c r="X129" s="47" t="s">
        <v>7</v>
      </c>
      <c r="Y129" s="47" t="s">
        <v>114</v>
      </c>
      <c r="Z129" s="47" t="s">
        <v>7</v>
      </c>
      <c r="AA129" s="47" t="s">
        <v>7</v>
      </c>
      <c r="AB129" s="47" t="s">
        <v>7</v>
      </c>
      <c r="AC129" s="47" t="s">
        <v>7</v>
      </c>
      <c r="AD129" s="47" t="s">
        <v>7</v>
      </c>
      <c r="AE129" s="47" t="s">
        <v>7</v>
      </c>
    </row>
    <row r="130" spans="1:31" x14ac:dyDescent="0.3">
      <c r="A130" s="37">
        <f t="shared" ca="1" si="0"/>
        <v>471</v>
      </c>
      <c r="B130" s="37">
        <f t="shared" ca="1" si="1"/>
        <v>499</v>
      </c>
      <c r="C130" s="47">
        <v>76123</v>
      </c>
      <c r="D130" s="47" t="s">
        <v>336</v>
      </c>
      <c r="E130" s="47" t="s">
        <v>919</v>
      </c>
      <c r="F130" s="47" t="s">
        <v>11</v>
      </c>
      <c r="G130" s="47" t="s">
        <v>569</v>
      </c>
      <c r="H130" s="47" t="s">
        <v>81</v>
      </c>
      <c r="I130" s="47"/>
      <c r="J130" s="48">
        <v>42425.386979166666</v>
      </c>
      <c r="K130" s="47" t="s">
        <v>20</v>
      </c>
      <c r="L130" s="47" t="s">
        <v>3</v>
      </c>
      <c r="M130" s="48">
        <v>42396.880624999998</v>
      </c>
      <c r="N130" s="47" t="s">
        <v>5</v>
      </c>
      <c r="O130" s="47"/>
      <c r="P130" s="47"/>
      <c r="Q130" s="47" t="s">
        <v>6</v>
      </c>
      <c r="R130" s="47" t="s">
        <v>7</v>
      </c>
      <c r="S130" s="47" t="s">
        <v>13</v>
      </c>
      <c r="T130" s="47" t="s">
        <v>19</v>
      </c>
      <c r="U130" s="34">
        <v>41901</v>
      </c>
      <c r="V130" s="47" t="s">
        <v>7</v>
      </c>
      <c r="W130" s="47" t="s">
        <v>26</v>
      </c>
      <c r="X130" s="47" t="s">
        <v>920</v>
      </c>
      <c r="Y130" s="47" t="s">
        <v>114</v>
      </c>
      <c r="Z130" s="47" t="s">
        <v>7</v>
      </c>
      <c r="AA130" s="47" t="s">
        <v>7</v>
      </c>
      <c r="AB130" s="47" t="s">
        <v>7</v>
      </c>
      <c r="AC130" s="47" t="s">
        <v>7</v>
      </c>
      <c r="AD130" s="47" t="s">
        <v>7</v>
      </c>
      <c r="AE130" s="47" t="s">
        <v>7</v>
      </c>
    </row>
    <row r="131" spans="1:31" x14ac:dyDescent="0.3">
      <c r="A131" s="37">
        <f t="shared" ca="1" si="0"/>
        <v>499</v>
      </c>
      <c r="B131" s="37">
        <f t="shared" ca="1" si="1"/>
        <v>499</v>
      </c>
      <c r="C131" s="47">
        <v>76124</v>
      </c>
      <c r="D131" s="47" t="s">
        <v>339</v>
      </c>
      <c r="E131" s="47" t="s">
        <v>921</v>
      </c>
      <c r="F131" s="47" t="s">
        <v>11</v>
      </c>
      <c r="G131" s="47" t="s">
        <v>569</v>
      </c>
      <c r="H131" s="47" t="s">
        <v>81</v>
      </c>
      <c r="I131" s="47" t="s">
        <v>666</v>
      </c>
      <c r="J131" s="48">
        <v>42396.880902777775</v>
      </c>
      <c r="K131" s="47" t="s">
        <v>20</v>
      </c>
      <c r="L131" s="47" t="s">
        <v>3</v>
      </c>
      <c r="M131" s="48">
        <v>42396.880902777775</v>
      </c>
      <c r="N131" s="47" t="s">
        <v>56</v>
      </c>
      <c r="O131" s="47"/>
      <c r="P131" s="47"/>
      <c r="Q131" s="47" t="s">
        <v>6</v>
      </c>
      <c r="R131" s="47" t="s">
        <v>30</v>
      </c>
      <c r="S131" s="47" t="s">
        <v>13</v>
      </c>
      <c r="T131" s="47" t="s">
        <v>19</v>
      </c>
      <c r="U131" s="47"/>
      <c r="V131" s="47" t="s">
        <v>7</v>
      </c>
      <c r="W131" s="47" t="s">
        <v>10</v>
      </c>
      <c r="X131" s="47" t="s">
        <v>7</v>
      </c>
      <c r="Y131" s="47" t="s">
        <v>114</v>
      </c>
      <c r="Z131" s="47" t="s">
        <v>7</v>
      </c>
      <c r="AA131" s="47" t="s">
        <v>7</v>
      </c>
      <c r="AB131" s="47" t="s">
        <v>7</v>
      </c>
      <c r="AC131" s="47" t="s">
        <v>7</v>
      </c>
      <c r="AD131" s="47" t="s">
        <v>7</v>
      </c>
      <c r="AE131" s="47" t="s">
        <v>7</v>
      </c>
    </row>
    <row r="132" spans="1:31" x14ac:dyDescent="0.3">
      <c r="A132" s="37">
        <f t="shared" ca="1" si="0"/>
        <v>457</v>
      </c>
      <c r="B132" s="37">
        <f t="shared" ca="1" si="1"/>
        <v>499</v>
      </c>
      <c r="C132" s="47">
        <v>76125</v>
      </c>
      <c r="D132" s="47" t="s">
        <v>336</v>
      </c>
      <c r="E132" s="47" t="s">
        <v>922</v>
      </c>
      <c r="F132" s="47" t="s">
        <v>11</v>
      </c>
      <c r="G132" s="47" t="s">
        <v>569</v>
      </c>
      <c r="H132" s="47" t="s">
        <v>81</v>
      </c>
      <c r="I132" s="47"/>
      <c r="J132" s="48">
        <v>42438.588321759256</v>
      </c>
      <c r="K132" s="47" t="s">
        <v>20</v>
      </c>
      <c r="L132" s="47" t="s">
        <v>3</v>
      </c>
      <c r="M132" s="48">
        <v>42396.881180555552</v>
      </c>
      <c r="N132" s="47" t="s">
        <v>40</v>
      </c>
      <c r="O132" s="47"/>
      <c r="P132" s="47"/>
      <c r="Q132" s="47" t="s">
        <v>6</v>
      </c>
      <c r="R132" s="47" t="s">
        <v>30</v>
      </c>
      <c r="S132" s="47" t="s">
        <v>13</v>
      </c>
      <c r="T132" s="47" t="s">
        <v>19</v>
      </c>
      <c r="U132" s="47"/>
      <c r="V132" s="47" t="s">
        <v>7</v>
      </c>
      <c r="W132" s="47" t="s">
        <v>10</v>
      </c>
      <c r="X132" s="47" t="s">
        <v>7</v>
      </c>
      <c r="Y132" s="47" t="s">
        <v>114</v>
      </c>
      <c r="Z132" s="47" t="s">
        <v>7</v>
      </c>
      <c r="AA132" s="47" t="s">
        <v>7</v>
      </c>
      <c r="AB132" s="47" t="s">
        <v>7</v>
      </c>
      <c r="AC132" s="47" t="s">
        <v>7</v>
      </c>
      <c r="AD132" s="47" t="s">
        <v>7</v>
      </c>
      <c r="AE132" s="47" t="s">
        <v>7</v>
      </c>
    </row>
    <row r="133" spans="1:31" x14ac:dyDescent="0.3">
      <c r="A133" s="37">
        <f t="shared" ca="1" si="0"/>
        <v>471</v>
      </c>
      <c r="B133" s="37">
        <f t="shared" ca="1" si="1"/>
        <v>499</v>
      </c>
      <c r="C133" s="47">
        <v>76126</v>
      </c>
      <c r="D133" s="47" t="s">
        <v>331</v>
      </c>
      <c r="E133" s="47" t="s">
        <v>923</v>
      </c>
      <c r="F133" s="47" t="s">
        <v>11</v>
      </c>
      <c r="G133" s="47" t="s">
        <v>569</v>
      </c>
      <c r="H133" s="47" t="s">
        <v>81</v>
      </c>
      <c r="I133" s="47"/>
      <c r="J133" s="48">
        <v>42425.388599537036</v>
      </c>
      <c r="K133" s="47" t="s">
        <v>20</v>
      </c>
      <c r="L133" s="47" t="s">
        <v>3</v>
      </c>
      <c r="M133" s="48">
        <v>42396.881377314814</v>
      </c>
      <c r="N133" s="47" t="s">
        <v>5</v>
      </c>
      <c r="O133" s="47"/>
      <c r="P133" s="47"/>
      <c r="Q133" s="47" t="s">
        <v>6</v>
      </c>
      <c r="R133" s="47" t="s">
        <v>7</v>
      </c>
      <c r="S133" s="47" t="s">
        <v>13</v>
      </c>
      <c r="T133" s="47" t="s">
        <v>19</v>
      </c>
      <c r="U133" s="47"/>
      <c r="V133" s="47" t="s">
        <v>7</v>
      </c>
      <c r="W133" s="47" t="s">
        <v>10</v>
      </c>
      <c r="X133" s="47" t="s">
        <v>7</v>
      </c>
      <c r="Y133" s="47" t="s">
        <v>114</v>
      </c>
      <c r="Z133" s="47" t="s">
        <v>7</v>
      </c>
      <c r="AA133" s="47" t="s">
        <v>7</v>
      </c>
      <c r="AB133" s="47" t="s">
        <v>7</v>
      </c>
      <c r="AC133" s="47" t="s">
        <v>7</v>
      </c>
      <c r="AD133" s="47" t="s">
        <v>7</v>
      </c>
      <c r="AE133" s="47" t="s">
        <v>7</v>
      </c>
    </row>
    <row r="134" spans="1:31" x14ac:dyDescent="0.3">
      <c r="A134" s="37">
        <f t="shared" ca="1" si="0"/>
        <v>499</v>
      </c>
      <c r="B134" s="37">
        <f t="shared" ca="1" si="1"/>
        <v>499</v>
      </c>
      <c r="C134" s="47">
        <v>76127</v>
      </c>
      <c r="D134" s="47" t="s">
        <v>392</v>
      </c>
      <c r="E134" s="47" t="s">
        <v>924</v>
      </c>
      <c r="F134" s="47" t="s">
        <v>11</v>
      </c>
      <c r="G134" s="47" t="s">
        <v>569</v>
      </c>
      <c r="H134" s="47" t="s">
        <v>81</v>
      </c>
      <c r="I134" s="47"/>
      <c r="J134" s="48">
        <v>42396.881527777776</v>
      </c>
      <c r="K134" s="47" t="s">
        <v>20</v>
      </c>
      <c r="L134" s="47" t="s">
        <v>3</v>
      </c>
      <c r="M134" s="48">
        <v>42396.881527777776</v>
      </c>
      <c r="N134" s="47" t="s">
        <v>50</v>
      </c>
      <c r="O134" s="47"/>
      <c r="P134" s="47"/>
      <c r="Q134" s="47" t="s">
        <v>6</v>
      </c>
      <c r="R134" s="47" t="s">
        <v>30</v>
      </c>
      <c r="S134" s="47" t="s">
        <v>8</v>
      </c>
      <c r="T134" s="47" t="s">
        <v>38</v>
      </c>
      <c r="U134" s="47"/>
      <c r="V134" s="47" t="s">
        <v>7</v>
      </c>
      <c r="W134" s="47" t="s">
        <v>10</v>
      </c>
      <c r="X134" s="47" t="s">
        <v>7</v>
      </c>
      <c r="Y134" s="47" t="s">
        <v>114</v>
      </c>
      <c r="Z134" s="47" t="s">
        <v>7</v>
      </c>
      <c r="AA134" s="47" t="s">
        <v>7</v>
      </c>
      <c r="AB134" s="47" t="s">
        <v>7</v>
      </c>
      <c r="AC134" s="47" t="s">
        <v>7</v>
      </c>
      <c r="AD134" s="47" t="s">
        <v>7</v>
      </c>
      <c r="AE134" s="47" t="s">
        <v>7</v>
      </c>
    </row>
    <row r="135" spans="1:31" x14ac:dyDescent="0.3">
      <c r="A135" s="37">
        <f t="shared" ca="1" si="0"/>
        <v>499</v>
      </c>
      <c r="B135" s="37">
        <f t="shared" ca="1" si="1"/>
        <v>499</v>
      </c>
      <c r="C135" s="47">
        <v>76128</v>
      </c>
      <c r="D135" s="47" t="s">
        <v>392</v>
      </c>
      <c r="E135" s="47" t="s">
        <v>925</v>
      </c>
      <c r="F135" s="47" t="s">
        <v>11</v>
      </c>
      <c r="G135" s="47" t="s">
        <v>569</v>
      </c>
      <c r="H135" s="47" t="s">
        <v>81</v>
      </c>
      <c r="I135" s="47"/>
      <c r="J135" s="48">
        <v>42396.881678240738</v>
      </c>
      <c r="K135" s="47" t="s">
        <v>20</v>
      </c>
      <c r="L135" s="47" t="s">
        <v>3</v>
      </c>
      <c r="M135" s="48">
        <v>42396.881678240738</v>
      </c>
      <c r="N135" s="47" t="s">
        <v>50</v>
      </c>
      <c r="O135" s="47"/>
      <c r="P135" s="47"/>
      <c r="Q135" s="47" t="s">
        <v>6</v>
      </c>
      <c r="R135" s="47" t="s">
        <v>30</v>
      </c>
      <c r="S135" s="47" t="s">
        <v>8</v>
      </c>
      <c r="T135" s="47" t="s">
        <v>38</v>
      </c>
      <c r="U135" s="47"/>
      <c r="V135" s="47" t="s">
        <v>7</v>
      </c>
      <c r="W135" s="47" t="s">
        <v>10</v>
      </c>
      <c r="X135" s="47" t="s">
        <v>7</v>
      </c>
      <c r="Y135" s="47" t="s">
        <v>114</v>
      </c>
      <c r="Z135" s="47" t="s">
        <v>7</v>
      </c>
      <c r="AA135" s="47" t="s">
        <v>7</v>
      </c>
      <c r="AB135" s="47" t="s">
        <v>7</v>
      </c>
      <c r="AC135" s="47" t="s">
        <v>7</v>
      </c>
      <c r="AD135" s="47" t="s">
        <v>7</v>
      </c>
      <c r="AE135" s="47" t="s">
        <v>7</v>
      </c>
    </row>
    <row r="136" spans="1:31" x14ac:dyDescent="0.3">
      <c r="A136" s="37">
        <f t="shared" ca="1" si="0"/>
        <v>471</v>
      </c>
      <c r="B136" s="37">
        <f t="shared" ca="1" si="1"/>
        <v>499</v>
      </c>
      <c r="C136" s="47">
        <v>76129</v>
      </c>
      <c r="D136" s="47" t="s">
        <v>336</v>
      </c>
      <c r="E136" s="47" t="s">
        <v>926</v>
      </c>
      <c r="F136" s="47" t="s">
        <v>11</v>
      </c>
      <c r="G136" s="47" t="s">
        <v>569</v>
      </c>
      <c r="H136" s="47" t="s">
        <v>81</v>
      </c>
      <c r="I136" s="47"/>
      <c r="J136" s="48">
        <v>42425.38958333333</v>
      </c>
      <c r="K136" s="47" t="s">
        <v>20</v>
      </c>
      <c r="L136" s="47" t="s">
        <v>3</v>
      </c>
      <c r="M136" s="48">
        <v>42396.881840277776</v>
      </c>
      <c r="N136" s="47" t="s">
        <v>5</v>
      </c>
      <c r="O136" s="47"/>
      <c r="P136" s="47"/>
      <c r="Q136" s="47" t="s">
        <v>6</v>
      </c>
      <c r="R136" s="47" t="s">
        <v>7</v>
      </c>
      <c r="S136" s="47" t="s">
        <v>13</v>
      </c>
      <c r="T136" s="47" t="s">
        <v>19</v>
      </c>
      <c r="U136" s="34">
        <v>41901</v>
      </c>
      <c r="V136" s="47" t="s">
        <v>7</v>
      </c>
      <c r="W136" s="47" t="s">
        <v>10</v>
      </c>
      <c r="X136" s="47" t="s">
        <v>7</v>
      </c>
      <c r="Y136" s="47" t="s">
        <v>114</v>
      </c>
      <c r="Z136" s="47" t="s">
        <v>7</v>
      </c>
      <c r="AA136" s="47" t="s">
        <v>7</v>
      </c>
      <c r="AB136" s="47" t="s">
        <v>7</v>
      </c>
      <c r="AC136" s="47" t="s">
        <v>7</v>
      </c>
      <c r="AD136" s="47" t="s">
        <v>7</v>
      </c>
      <c r="AE136" s="47" t="s">
        <v>7</v>
      </c>
    </row>
    <row r="137" spans="1:31" x14ac:dyDescent="0.3">
      <c r="A137" s="37">
        <f t="shared" ca="1" si="0"/>
        <v>466</v>
      </c>
      <c r="B137" s="37">
        <f t="shared" ca="1" si="1"/>
        <v>499</v>
      </c>
      <c r="C137" s="47">
        <v>76130</v>
      </c>
      <c r="D137" s="47" t="s">
        <v>738</v>
      </c>
      <c r="E137" s="47" t="s">
        <v>927</v>
      </c>
      <c r="F137" s="47" t="s">
        <v>11</v>
      </c>
      <c r="G137" s="47" t="s">
        <v>569</v>
      </c>
      <c r="H137" s="47" t="s">
        <v>81</v>
      </c>
      <c r="I137" s="47"/>
      <c r="J137" s="48">
        <v>42429.452384259261</v>
      </c>
      <c r="K137" s="47" t="s">
        <v>20</v>
      </c>
      <c r="L137" s="47" t="s">
        <v>3</v>
      </c>
      <c r="M137" s="48">
        <v>42396.882094907407</v>
      </c>
      <c r="N137" s="47" t="s">
        <v>5</v>
      </c>
      <c r="O137" s="47"/>
      <c r="P137" s="47"/>
      <c r="Q137" s="47" t="s">
        <v>6</v>
      </c>
      <c r="R137" s="47" t="s">
        <v>7</v>
      </c>
      <c r="S137" s="47" t="s">
        <v>13</v>
      </c>
      <c r="T137" s="47" t="s">
        <v>35</v>
      </c>
      <c r="U137" s="47"/>
      <c r="V137" s="47" t="s">
        <v>7</v>
      </c>
      <c r="W137" s="47" t="s">
        <v>10</v>
      </c>
      <c r="X137" s="47" t="s">
        <v>7</v>
      </c>
      <c r="Y137" s="47" t="s">
        <v>114</v>
      </c>
      <c r="Z137" s="47" t="s">
        <v>7</v>
      </c>
      <c r="AA137" s="47" t="s">
        <v>7</v>
      </c>
      <c r="AB137" s="47" t="s">
        <v>7</v>
      </c>
      <c r="AC137" s="47" t="s">
        <v>7</v>
      </c>
      <c r="AD137" s="47" t="s">
        <v>7</v>
      </c>
      <c r="AE137" s="47" t="s">
        <v>7</v>
      </c>
    </row>
    <row r="138" spans="1:31" x14ac:dyDescent="0.3">
      <c r="A138" s="37">
        <f t="shared" ca="1" si="0"/>
        <v>499</v>
      </c>
      <c r="B138" s="37">
        <f t="shared" ca="1" si="1"/>
        <v>499</v>
      </c>
      <c r="C138" s="47">
        <v>76131</v>
      </c>
      <c r="D138" s="47" t="s">
        <v>338</v>
      </c>
      <c r="E138" s="47" t="s">
        <v>928</v>
      </c>
      <c r="F138" s="47" t="s">
        <v>11</v>
      </c>
      <c r="G138" s="47" t="s">
        <v>569</v>
      </c>
      <c r="H138" s="47" t="s">
        <v>81</v>
      </c>
      <c r="I138" s="47"/>
      <c r="J138" s="48">
        <v>42396.882314814815</v>
      </c>
      <c r="K138" s="47" t="s">
        <v>20</v>
      </c>
      <c r="L138" s="47" t="s">
        <v>3</v>
      </c>
      <c r="M138" s="48">
        <v>42396.882314814815</v>
      </c>
      <c r="N138" s="47" t="s">
        <v>116</v>
      </c>
      <c r="O138" s="47"/>
      <c r="P138" s="47"/>
      <c r="Q138" s="47" t="s">
        <v>6</v>
      </c>
      <c r="R138" s="47" t="s">
        <v>30</v>
      </c>
      <c r="S138" s="47" t="s">
        <v>8</v>
      </c>
      <c r="T138" s="47" t="s">
        <v>38</v>
      </c>
      <c r="U138" s="47"/>
      <c r="V138" s="47" t="s">
        <v>7</v>
      </c>
      <c r="W138" s="47" t="s">
        <v>10</v>
      </c>
      <c r="X138" s="47" t="s">
        <v>7</v>
      </c>
      <c r="Y138" s="47" t="s">
        <v>114</v>
      </c>
      <c r="Z138" s="47" t="s">
        <v>7</v>
      </c>
      <c r="AA138" s="47" t="s">
        <v>7</v>
      </c>
      <c r="AB138" s="47" t="s">
        <v>7</v>
      </c>
      <c r="AC138" s="47" t="s">
        <v>7</v>
      </c>
      <c r="AD138" s="47" t="s">
        <v>7</v>
      </c>
      <c r="AE138" s="47" t="s">
        <v>7</v>
      </c>
    </row>
    <row r="139" spans="1:31" x14ac:dyDescent="0.3">
      <c r="A139" s="37">
        <f t="shared" ca="1" si="0"/>
        <v>463</v>
      </c>
      <c r="B139" s="37">
        <f t="shared" ca="1" si="1"/>
        <v>499</v>
      </c>
      <c r="C139" s="47">
        <v>76132</v>
      </c>
      <c r="D139" s="47" t="s">
        <v>376</v>
      </c>
      <c r="E139" s="47" t="s">
        <v>929</v>
      </c>
      <c r="F139" s="47" t="s">
        <v>11</v>
      </c>
      <c r="G139" s="47" t="s">
        <v>569</v>
      </c>
      <c r="H139" s="47" t="s">
        <v>81</v>
      </c>
      <c r="I139" s="47"/>
      <c r="J139" s="48">
        <v>42432.626469907409</v>
      </c>
      <c r="K139" s="47" t="s">
        <v>20</v>
      </c>
      <c r="L139" s="47" t="s">
        <v>3</v>
      </c>
      <c r="M139" s="48">
        <v>42396.882592592592</v>
      </c>
      <c r="N139" s="47" t="s">
        <v>40</v>
      </c>
      <c r="O139" s="47"/>
      <c r="P139" s="47"/>
      <c r="Q139" s="47" t="s">
        <v>6</v>
      </c>
      <c r="R139" s="47" t="s">
        <v>30</v>
      </c>
      <c r="S139" s="47" t="s">
        <v>13</v>
      </c>
      <c r="T139" s="47" t="s">
        <v>19</v>
      </c>
      <c r="U139" s="47"/>
      <c r="V139" s="47" t="s">
        <v>7</v>
      </c>
      <c r="W139" s="47" t="s">
        <v>10</v>
      </c>
      <c r="X139" s="47" t="s">
        <v>7</v>
      </c>
      <c r="Y139" s="47" t="s">
        <v>114</v>
      </c>
      <c r="Z139" s="47" t="s">
        <v>7</v>
      </c>
      <c r="AA139" s="47" t="s">
        <v>7</v>
      </c>
      <c r="AB139" s="47" t="s">
        <v>7</v>
      </c>
      <c r="AC139" s="47" t="s">
        <v>7</v>
      </c>
      <c r="AD139" s="47" t="s">
        <v>7</v>
      </c>
      <c r="AE139" s="47" t="s">
        <v>7</v>
      </c>
    </row>
    <row r="140" spans="1:31" x14ac:dyDescent="0.3">
      <c r="A140" s="37">
        <f t="shared" ca="1" si="0"/>
        <v>499</v>
      </c>
      <c r="B140" s="37">
        <f t="shared" ca="1" si="1"/>
        <v>499</v>
      </c>
      <c r="C140" s="47">
        <v>76133</v>
      </c>
      <c r="D140" s="47" t="s">
        <v>376</v>
      </c>
      <c r="E140" s="47" t="s">
        <v>930</v>
      </c>
      <c r="F140" s="47" t="s">
        <v>11</v>
      </c>
      <c r="G140" s="47" t="s">
        <v>569</v>
      </c>
      <c r="H140" s="47" t="s">
        <v>81</v>
      </c>
      <c r="I140" s="47"/>
      <c r="J140" s="48">
        <v>42396.8828125</v>
      </c>
      <c r="K140" s="47" t="s">
        <v>20</v>
      </c>
      <c r="L140" s="47" t="s">
        <v>3</v>
      </c>
      <c r="M140" s="48">
        <v>42396.8828125</v>
      </c>
      <c r="N140" s="47" t="s">
        <v>40</v>
      </c>
      <c r="O140" s="47"/>
      <c r="P140" s="47"/>
      <c r="Q140" s="47" t="s">
        <v>6</v>
      </c>
      <c r="R140" s="47" t="s">
        <v>30</v>
      </c>
      <c r="S140" s="47" t="s">
        <v>13</v>
      </c>
      <c r="T140" s="47" t="s">
        <v>19</v>
      </c>
      <c r="U140" s="47"/>
      <c r="V140" s="47" t="s">
        <v>7</v>
      </c>
      <c r="W140" s="47" t="s">
        <v>10</v>
      </c>
      <c r="X140" s="47" t="s">
        <v>7</v>
      </c>
      <c r="Y140" s="47" t="s">
        <v>114</v>
      </c>
      <c r="Z140" s="47" t="s">
        <v>7</v>
      </c>
      <c r="AA140" s="47" t="s">
        <v>7</v>
      </c>
      <c r="AB140" s="47" t="s">
        <v>7</v>
      </c>
      <c r="AC140" s="47" t="s">
        <v>7</v>
      </c>
      <c r="AD140" s="47" t="s">
        <v>7</v>
      </c>
      <c r="AE140" s="47" t="s">
        <v>7</v>
      </c>
    </row>
    <row r="141" spans="1:31" x14ac:dyDescent="0.3">
      <c r="A141" s="37">
        <f t="shared" ca="1" si="0"/>
        <v>499</v>
      </c>
      <c r="B141" s="37">
        <f t="shared" ca="1" si="1"/>
        <v>499</v>
      </c>
      <c r="C141" s="47">
        <v>76134</v>
      </c>
      <c r="D141" s="47" t="s">
        <v>376</v>
      </c>
      <c r="E141" s="47" t="s">
        <v>931</v>
      </c>
      <c r="F141" s="47" t="s">
        <v>11</v>
      </c>
      <c r="G141" s="47" t="s">
        <v>569</v>
      </c>
      <c r="H141" s="47" t="s">
        <v>81</v>
      </c>
      <c r="I141" s="47"/>
      <c r="J141" s="48">
        <v>42396.883043981485</v>
      </c>
      <c r="K141" s="47" t="s">
        <v>20</v>
      </c>
      <c r="L141" s="47" t="s">
        <v>3</v>
      </c>
      <c r="M141" s="48">
        <v>42396.883043981485</v>
      </c>
      <c r="N141" s="47" t="s">
        <v>56</v>
      </c>
      <c r="O141" s="47"/>
      <c r="P141" s="47"/>
      <c r="Q141" s="47" t="s">
        <v>6</v>
      </c>
      <c r="R141" s="47" t="s">
        <v>30</v>
      </c>
      <c r="S141" s="47" t="s">
        <v>8</v>
      </c>
      <c r="T141" s="47" t="s">
        <v>38</v>
      </c>
      <c r="U141" s="47"/>
      <c r="V141" s="47" t="s">
        <v>7</v>
      </c>
      <c r="W141" s="47" t="s">
        <v>10</v>
      </c>
      <c r="X141" s="47" t="s">
        <v>7</v>
      </c>
      <c r="Y141" s="47" t="s">
        <v>114</v>
      </c>
      <c r="Z141" s="47" t="s">
        <v>7</v>
      </c>
      <c r="AA141" s="47" t="s">
        <v>7</v>
      </c>
      <c r="AB141" s="47" t="s">
        <v>7</v>
      </c>
      <c r="AC141" s="47" t="s">
        <v>7</v>
      </c>
      <c r="AD141" s="47" t="s">
        <v>7</v>
      </c>
      <c r="AE141" s="47" t="s">
        <v>7</v>
      </c>
    </row>
    <row r="142" spans="1:31" x14ac:dyDescent="0.3">
      <c r="A142" s="37">
        <f t="shared" ca="1" si="0"/>
        <v>472</v>
      </c>
      <c r="B142" s="37">
        <f t="shared" ca="1" si="1"/>
        <v>499</v>
      </c>
      <c r="C142" s="47">
        <v>76135</v>
      </c>
      <c r="D142" s="47" t="s">
        <v>376</v>
      </c>
      <c r="E142" s="47" t="s">
        <v>932</v>
      </c>
      <c r="F142" s="47" t="s">
        <v>11</v>
      </c>
      <c r="G142" s="47" t="s">
        <v>569</v>
      </c>
      <c r="H142" s="47" t="s">
        <v>81</v>
      </c>
      <c r="I142" s="47"/>
      <c r="J142" s="48">
        <v>42424.703275462962</v>
      </c>
      <c r="K142" s="47" t="s">
        <v>20</v>
      </c>
      <c r="L142" s="47" t="s">
        <v>3</v>
      </c>
      <c r="M142" s="48">
        <v>42396.883275462962</v>
      </c>
      <c r="N142" s="47" t="s">
        <v>115</v>
      </c>
      <c r="O142" s="47"/>
      <c r="P142" s="47"/>
      <c r="Q142" s="47" t="s">
        <v>6</v>
      </c>
      <c r="R142" s="47" t="s">
        <v>30</v>
      </c>
      <c r="S142" s="47" t="s">
        <v>13</v>
      </c>
      <c r="T142" s="47" t="s">
        <v>19</v>
      </c>
      <c r="U142" s="47"/>
      <c r="V142" s="47" t="s">
        <v>7</v>
      </c>
      <c r="W142" s="47" t="s">
        <v>10</v>
      </c>
      <c r="X142" s="47" t="s">
        <v>7</v>
      </c>
      <c r="Y142" s="47" t="s">
        <v>114</v>
      </c>
      <c r="Z142" s="47" t="s">
        <v>7</v>
      </c>
      <c r="AA142" s="47" t="s">
        <v>7</v>
      </c>
      <c r="AB142" s="47" t="s">
        <v>7</v>
      </c>
      <c r="AC142" s="47" t="s">
        <v>7</v>
      </c>
      <c r="AD142" s="47" t="s">
        <v>7</v>
      </c>
      <c r="AE142" s="47" t="s">
        <v>7</v>
      </c>
    </row>
    <row r="143" spans="1:31" x14ac:dyDescent="0.3">
      <c r="A143" s="37">
        <f t="shared" ref="A143:A197" ca="1" si="2">DAYS360(INDIRECT($A$211&amp;ROW()),TODAY())</f>
        <v>472</v>
      </c>
      <c r="B143" s="37">
        <f t="shared" ref="B143:B197" ca="1" si="3">DAYS360(INDIRECT($A$210&amp;ROW()),TODAY())</f>
        <v>499</v>
      </c>
      <c r="C143" s="47">
        <v>76136</v>
      </c>
      <c r="D143" s="47" t="s">
        <v>376</v>
      </c>
      <c r="E143" s="47" t="s">
        <v>933</v>
      </c>
      <c r="F143" s="47" t="s">
        <v>11</v>
      </c>
      <c r="G143" s="47" t="s">
        <v>569</v>
      </c>
      <c r="H143" s="47" t="s">
        <v>81</v>
      </c>
      <c r="I143" s="47"/>
      <c r="J143" s="48">
        <v>42424.702615740738</v>
      </c>
      <c r="K143" s="47" t="s">
        <v>20</v>
      </c>
      <c r="L143" s="47" t="s">
        <v>3</v>
      </c>
      <c r="M143" s="48">
        <v>42396.883460648147</v>
      </c>
      <c r="N143" s="47" t="s">
        <v>115</v>
      </c>
      <c r="O143" s="47"/>
      <c r="P143" s="47"/>
      <c r="Q143" s="47" t="s">
        <v>6</v>
      </c>
      <c r="R143" s="47" t="s">
        <v>30</v>
      </c>
      <c r="S143" s="47" t="s">
        <v>13</v>
      </c>
      <c r="T143" s="47" t="s">
        <v>19</v>
      </c>
      <c r="U143" s="47"/>
      <c r="V143" s="47" t="s">
        <v>7</v>
      </c>
      <c r="W143" s="47" t="s">
        <v>10</v>
      </c>
      <c r="X143" s="47" t="s">
        <v>7</v>
      </c>
      <c r="Y143" s="47" t="s">
        <v>114</v>
      </c>
      <c r="Z143" s="47" t="s">
        <v>7</v>
      </c>
      <c r="AA143" s="47" t="s">
        <v>7</v>
      </c>
      <c r="AB143" s="47" t="s">
        <v>7</v>
      </c>
      <c r="AC143" s="47" t="s">
        <v>7</v>
      </c>
      <c r="AD143" s="47" t="s">
        <v>7</v>
      </c>
      <c r="AE143" s="47" t="s">
        <v>7</v>
      </c>
    </row>
    <row r="144" spans="1:31" x14ac:dyDescent="0.3">
      <c r="A144" s="37">
        <f t="shared" ca="1" si="2"/>
        <v>494</v>
      </c>
      <c r="B144" s="37">
        <f t="shared" ca="1" si="3"/>
        <v>499</v>
      </c>
      <c r="C144" s="47">
        <v>76137</v>
      </c>
      <c r="D144" s="47" t="s">
        <v>376</v>
      </c>
      <c r="E144" s="47" t="s">
        <v>934</v>
      </c>
      <c r="F144" s="47" t="s">
        <v>11</v>
      </c>
      <c r="G144" s="47" t="s">
        <v>569</v>
      </c>
      <c r="H144" s="47" t="s">
        <v>81</v>
      </c>
      <c r="I144" s="47"/>
      <c r="J144" s="48">
        <v>42402.603680555556</v>
      </c>
      <c r="K144" s="47" t="s">
        <v>20</v>
      </c>
      <c r="L144" s="47" t="s">
        <v>3</v>
      </c>
      <c r="M144" s="48">
        <v>42396.883657407408</v>
      </c>
      <c r="N144" s="47" t="s">
        <v>115</v>
      </c>
      <c r="O144" s="47"/>
      <c r="P144" s="47"/>
      <c r="Q144" s="47" t="s">
        <v>6</v>
      </c>
      <c r="R144" s="47" t="s">
        <v>30</v>
      </c>
      <c r="S144" s="47" t="s">
        <v>13</v>
      </c>
      <c r="T144" s="47" t="s">
        <v>19</v>
      </c>
      <c r="U144" s="47"/>
      <c r="V144" s="47" t="s">
        <v>7</v>
      </c>
      <c r="W144" s="47" t="s">
        <v>10</v>
      </c>
      <c r="X144" s="47" t="s">
        <v>7</v>
      </c>
      <c r="Y144" s="47" t="s">
        <v>114</v>
      </c>
      <c r="Z144" s="47" t="s">
        <v>7</v>
      </c>
      <c r="AA144" s="47" t="s">
        <v>7</v>
      </c>
      <c r="AB144" s="47" t="s">
        <v>7</v>
      </c>
      <c r="AC144" s="47" t="s">
        <v>7</v>
      </c>
      <c r="AD144" s="47" t="s">
        <v>7</v>
      </c>
      <c r="AE144" s="47" t="s">
        <v>7</v>
      </c>
    </row>
    <row r="145" spans="1:31" x14ac:dyDescent="0.3">
      <c r="A145" s="37">
        <f t="shared" ca="1" si="2"/>
        <v>463</v>
      </c>
      <c r="B145" s="37">
        <f t="shared" ca="1" si="3"/>
        <v>499</v>
      </c>
      <c r="C145" s="47">
        <v>76138</v>
      </c>
      <c r="D145" s="47" t="s">
        <v>376</v>
      </c>
      <c r="E145" s="47" t="s">
        <v>935</v>
      </c>
      <c r="F145" s="47" t="s">
        <v>11</v>
      </c>
      <c r="G145" s="47" t="s">
        <v>569</v>
      </c>
      <c r="H145" s="47" t="s">
        <v>81</v>
      </c>
      <c r="I145" s="47"/>
      <c r="J145" s="48">
        <v>42432.631550925929</v>
      </c>
      <c r="K145" s="47" t="s">
        <v>20</v>
      </c>
      <c r="L145" s="47" t="s">
        <v>3</v>
      </c>
      <c r="M145" s="48">
        <v>42396.883831018517</v>
      </c>
      <c r="N145" s="47" t="s">
        <v>40</v>
      </c>
      <c r="O145" s="47"/>
      <c r="P145" s="47"/>
      <c r="Q145" s="47" t="s">
        <v>6</v>
      </c>
      <c r="R145" s="47" t="s">
        <v>30</v>
      </c>
      <c r="S145" s="47" t="s">
        <v>13</v>
      </c>
      <c r="T145" s="47" t="s">
        <v>19</v>
      </c>
      <c r="U145" s="47"/>
      <c r="V145" s="47" t="s">
        <v>7</v>
      </c>
      <c r="W145" s="47" t="s">
        <v>10</v>
      </c>
      <c r="X145" s="47" t="s">
        <v>7</v>
      </c>
      <c r="Y145" s="47" t="s">
        <v>114</v>
      </c>
      <c r="Z145" s="47" t="s">
        <v>7</v>
      </c>
      <c r="AA145" s="47" t="s">
        <v>7</v>
      </c>
      <c r="AB145" s="47" t="s">
        <v>7</v>
      </c>
      <c r="AC145" s="47" t="s">
        <v>7</v>
      </c>
      <c r="AD145" s="47" t="s">
        <v>7</v>
      </c>
      <c r="AE145" s="47" t="s">
        <v>7</v>
      </c>
    </row>
    <row r="146" spans="1:31" x14ac:dyDescent="0.3">
      <c r="A146" s="37">
        <f t="shared" ca="1" si="2"/>
        <v>463</v>
      </c>
      <c r="B146" s="37">
        <f t="shared" ca="1" si="3"/>
        <v>499</v>
      </c>
      <c r="C146" s="47">
        <v>76139</v>
      </c>
      <c r="D146" s="47" t="s">
        <v>376</v>
      </c>
      <c r="E146" s="47" t="s">
        <v>936</v>
      </c>
      <c r="F146" s="47" t="s">
        <v>11</v>
      </c>
      <c r="G146" s="47" t="s">
        <v>569</v>
      </c>
      <c r="H146" s="47" t="s">
        <v>81</v>
      </c>
      <c r="I146" s="47"/>
      <c r="J146" s="48">
        <v>42432.631249999999</v>
      </c>
      <c r="K146" s="47" t="s">
        <v>20</v>
      </c>
      <c r="L146" s="47" t="s">
        <v>3</v>
      </c>
      <c r="M146" s="48">
        <v>42396.883993055555</v>
      </c>
      <c r="N146" s="47" t="s">
        <v>40</v>
      </c>
      <c r="O146" s="47"/>
      <c r="P146" s="47"/>
      <c r="Q146" s="47" t="s">
        <v>6</v>
      </c>
      <c r="R146" s="47" t="s">
        <v>30</v>
      </c>
      <c r="S146" s="47" t="s">
        <v>13</v>
      </c>
      <c r="T146" s="47" t="s">
        <v>19</v>
      </c>
      <c r="U146" s="47"/>
      <c r="V146" s="47" t="s">
        <v>7</v>
      </c>
      <c r="W146" s="47" t="s">
        <v>10</v>
      </c>
      <c r="X146" s="47" t="s">
        <v>7</v>
      </c>
      <c r="Y146" s="47" t="s">
        <v>114</v>
      </c>
      <c r="Z146" s="47" t="s">
        <v>7</v>
      </c>
      <c r="AA146" s="47" t="s">
        <v>7</v>
      </c>
      <c r="AB146" s="47" t="s">
        <v>7</v>
      </c>
      <c r="AC146" s="47" t="s">
        <v>7</v>
      </c>
      <c r="AD146" s="47" t="s">
        <v>7</v>
      </c>
      <c r="AE146" s="47" t="s">
        <v>7</v>
      </c>
    </row>
    <row r="147" spans="1:31" x14ac:dyDescent="0.3">
      <c r="A147" s="37">
        <f t="shared" ca="1" si="2"/>
        <v>499</v>
      </c>
      <c r="B147" s="37">
        <f t="shared" ca="1" si="3"/>
        <v>499</v>
      </c>
      <c r="C147" s="47">
        <v>76140</v>
      </c>
      <c r="D147" s="47" t="s">
        <v>376</v>
      </c>
      <c r="E147" s="47" t="s">
        <v>937</v>
      </c>
      <c r="F147" s="47" t="s">
        <v>11</v>
      </c>
      <c r="G147" s="47" t="s">
        <v>569</v>
      </c>
      <c r="H147" s="47" t="s">
        <v>81</v>
      </c>
      <c r="I147" s="47"/>
      <c r="J147" s="48">
        <v>42396.884120370371</v>
      </c>
      <c r="K147" s="47" t="s">
        <v>20</v>
      </c>
      <c r="L147" s="47" t="s">
        <v>3</v>
      </c>
      <c r="M147" s="48">
        <v>42396.884120370371</v>
      </c>
      <c r="N147" s="47" t="s">
        <v>116</v>
      </c>
      <c r="O147" s="47"/>
      <c r="P147" s="47"/>
      <c r="Q147" s="47" t="s">
        <v>6</v>
      </c>
      <c r="R147" s="47" t="s">
        <v>30</v>
      </c>
      <c r="S147" s="47" t="s">
        <v>13</v>
      </c>
      <c r="T147" s="47" t="s">
        <v>19</v>
      </c>
      <c r="U147" s="47"/>
      <c r="V147" s="47" t="s">
        <v>7</v>
      </c>
      <c r="W147" s="47" t="s">
        <v>10</v>
      </c>
      <c r="X147" s="47" t="s">
        <v>7</v>
      </c>
      <c r="Y147" s="47" t="s">
        <v>114</v>
      </c>
      <c r="Z147" s="47" t="s">
        <v>7</v>
      </c>
      <c r="AA147" s="47" t="s">
        <v>7</v>
      </c>
      <c r="AB147" s="47" t="s">
        <v>7</v>
      </c>
      <c r="AC147" s="47" t="s">
        <v>7</v>
      </c>
      <c r="AD147" s="47" t="s">
        <v>7</v>
      </c>
      <c r="AE147" s="47" t="s">
        <v>7</v>
      </c>
    </row>
    <row r="148" spans="1:31" x14ac:dyDescent="0.3">
      <c r="A148" s="37">
        <f t="shared" ca="1" si="2"/>
        <v>480</v>
      </c>
      <c r="B148" s="37">
        <f t="shared" ca="1" si="3"/>
        <v>499</v>
      </c>
      <c r="C148" s="47">
        <v>76141</v>
      </c>
      <c r="D148" s="47" t="s">
        <v>338</v>
      </c>
      <c r="E148" s="47" t="s">
        <v>938</v>
      </c>
      <c r="F148" s="47" t="s">
        <v>11</v>
      </c>
      <c r="G148" s="47" t="s">
        <v>569</v>
      </c>
      <c r="H148" s="47" t="s">
        <v>81</v>
      </c>
      <c r="I148" s="47"/>
      <c r="J148" s="48">
        <v>42416.596724537034</v>
      </c>
      <c r="K148" s="47" t="s">
        <v>20</v>
      </c>
      <c r="L148" s="47" t="s">
        <v>3</v>
      </c>
      <c r="M148" s="48">
        <v>42396.884259259263</v>
      </c>
      <c r="N148" s="47" t="s">
        <v>29</v>
      </c>
      <c r="O148" s="47"/>
      <c r="P148" s="47"/>
      <c r="Q148" s="47" t="s">
        <v>6</v>
      </c>
      <c r="R148" s="47" t="s">
        <v>30</v>
      </c>
      <c r="S148" s="47" t="s">
        <v>8</v>
      </c>
      <c r="T148" s="47" t="s">
        <v>153</v>
      </c>
      <c r="U148" s="47"/>
      <c r="V148" s="47" t="s">
        <v>7</v>
      </c>
      <c r="W148" s="47" t="s">
        <v>10</v>
      </c>
      <c r="X148" s="47" t="s">
        <v>7</v>
      </c>
      <c r="Y148" s="47" t="s">
        <v>114</v>
      </c>
      <c r="Z148" s="47" t="s">
        <v>7</v>
      </c>
      <c r="AA148" s="47" t="s">
        <v>7</v>
      </c>
      <c r="AB148" s="47" t="s">
        <v>7</v>
      </c>
      <c r="AC148" s="47" t="s">
        <v>7</v>
      </c>
      <c r="AD148" s="47" t="s">
        <v>7</v>
      </c>
      <c r="AE148" s="47" t="s">
        <v>7</v>
      </c>
    </row>
    <row r="149" spans="1:31" x14ac:dyDescent="0.3">
      <c r="A149" s="37">
        <f t="shared" ca="1" si="2"/>
        <v>463</v>
      </c>
      <c r="B149" s="37">
        <f t="shared" ca="1" si="3"/>
        <v>499</v>
      </c>
      <c r="C149" s="47">
        <v>76143</v>
      </c>
      <c r="D149" s="47" t="s">
        <v>376</v>
      </c>
      <c r="E149" s="47" t="s">
        <v>940</v>
      </c>
      <c r="F149" s="47" t="s">
        <v>11</v>
      </c>
      <c r="G149" s="47" t="s">
        <v>569</v>
      </c>
      <c r="H149" s="47" t="s">
        <v>81</v>
      </c>
      <c r="I149" s="47"/>
      <c r="J149" s="48">
        <v>42432.630868055552</v>
      </c>
      <c r="K149" s="47" t="s">
        <v>20</v>
      </c>
      <c r="L149" s="47" t="s">
        <v>3</v>
      </c>
      <c r="M149" s="48">
        <v>42396.884513888886</v>
      </c>
      <c r="N149" s="47" t="s">
        <v>40</v>
      </c>
      <c r="O149" s="47"/>
      <c r="P149" s="47"/>
      <c r="Q149" s="47" t="s">
        <v>6</v>
      </c>
      <c r="R149" s="47" t="s">
        <v>30</v>
      </c>
      <c r="S149" s="47" t="s">
        <v>13</v>
      </c>
      <c r="T149" s="47" t="s">
        <v>19</v>
      </c>
      <c r="U149" s="47"/>
      <c r="V149" s="47" t="s">
        <v>7</v>
      </c>
      <c r="W149" s="47" t="s">
        <v>10</v>
      </c>
      <c r="X149" s="47" t="s">
        <v>7</v>
      </c>
      <c r="Y149" s="47" t="s">
        <v>114</v>
      </c>
      <c r="Z149" s="47" t="s">
        <v>7</v>
      </c>
      <c r="AA149" s="47" t="s">
        <v>7</v>
      </c>
      <c r="AB149" s="47" t="s">
        <v>7</v>
      </c>
      <c r="AC149" s="47" t="s">
        <v>7</v>
      </c>
      <c r="AD149" s="47" t="s">
        <v>7</v>
      </c>
      <c r="AE149" s="47" t="s">
        <v>7</v>
      </c>
    </row>
    <row r="150" spans="1:31" x14ac:dyDescent="0.3">
      <c r="A150" s="37">
        <f t="shared" ca="1" si="2"/>
        <v>463</v>
      </c>
      <c r="B150" s="37">
        <f t="shared" ca="1" si="3"/>
        <v>499</v>
      </c>
      <c r="C150" s="47">
        <v>76144</v>
      </c>
      <c r="D150" s="47" t="s">
        <v>376</v>
      </c>
      <c r="E150" s="47" t="s">
        <v>941</v>
      </c>
      <c r="F150" s="47" t="s">
        <v>11</v>
      </c>
      <c r="G150" s="47" t="s">
        <v>569</v>
      </c>
      <c r="H150" s="47" t="s">
        <v>81</v>
      </c>
      <c r="I150" s="47"/>
      <c r="J150" s="48">
        <v>42432.630486111113</v>
      </c>
      <c r="K150" s="47" t="s">
        <v>20</v>
      </c>
      <c r="L150" s="47" t="s">
        <v>3</v>
      </c>
      <c r="M150" s="48">
        <v>42396.884710648148</v>
      </c>
      <c r="N150" s="47" t="s">
        <v>40</v>
      </c>
      <c r="O150" s="47"/>
      <c r="P150" s="47"/>
      <c r="Q150" s="47" t="s">
        <v>6</v>
      </c>
      <c r="R150" s="47" t="s">
        <v>30</v>
      </c>
      <c r="S150" s="47" t="s">
        <v>13</v>
      </c>
      <c r="T150" s="47" t="s">
        <v>19</v>
      </c>
      <c r="U150" s="47"/>
      <c r="V150" s="47" t="s">
        <v>7</v>
      </c>
      <c r="W150" s="47" t="s">
        <v>10</v>
      </c>
      <c r="X150" s="47" t="s">
        <v>7</v>
      </c>
      <c r="Y150" s="47" t="s">
        <v>114</v>
      </c>
      <c r="Z150" s="47" t="s">
        <v>7</v>
      </c>
      <c r="AA150" s="47" t="s">
        <v>7</v>
      </c>
      <c r="AB150" s="47" t="s">
        <v>7</v>
      </c>
      <c r="AC150" s="47" t="s">
        <v>7</v>
      </c>
      <c r="AD150" s="47" t="s">
        <v>7</v>
      </c>
      <c r="AE150" s="47" t="s">
        <v>7</v>
      </c>
    </row>
    <row r="151" spans="1:31" x14ac:dyDescent="0.3">
      <c r="A151" s="37">
        <f t="shared" ca="1" si="2"/>
        <v>463</v>
      </c>
      <c r="B151" s="37">
        <f t="shared" ca="1" si="3"/>
        <v>499</v>
      </c>
      <c r="C151" s="47">
        <v>76145</v>
      </c>
      <c r="D151" s="47" t="s">
        <v>376</v>
      </c>
      <c r="E151" s="47" t="s">
        <v>942</v>
      </c>
      <c r="F151" s="47" t="s">
        <v>11</v>
      </c>
      <c r="G151" s="47" t="s">
        <v>569</v>
      </c>
      <c r="H151" s="47" t="s">
        <v>81</v>
      </c>
      <c r="I151" s="47"/>
      <c r="J151" s="48">
        <v>42432.630185185182</v>
      </c>
      <c r="K151" s="47" t="s">
        <v>20</v>
      </c>
      <c r="L151" s="47" t="s">
        <v>3</v>
      </c>
      <c r="M151" s="48">
        <v>42396.884884259256</v>
      </c>
      <c r="N151" s="47" t="s">
        <v>40</v>
      </c>
      <c r="O151" s="47"/>
      <c r="P151" s="47"/>
      <c r="Q151" s="47" t="s">
        <v>6</v>
      </c>
      <c r="R151" s="47" t="s">
        <v>30</v>
      </c>
      <c r="S151" s="47" t="s">
        <v>13</v>
      </c>
      <c r="T151" s="47" t="s">
        <v>19</v>
      </c>
      <c r="U151" s="47"/>
      <c r="V151" s="47" t="s">
        <v>7</v>
      </c>
      <c r="W151" s="47" t="s">
        <v>10</v>
      </c>
      <c r="X151" s="47" t="s">
        <v>7</v>
      </c>
      <c r="Y151" s="47" t="s">
        <v>114</v>
      </c>
      <c r="Z151" s="47" t="s">
        <v>7</v>
      </c>
      <c r="AA151" s="47" t="s">
        <v>7</v>
      </c>
      <c r="AB151" s="47" t="s">
        <v>7</v>
      </c>
      <c r="AC151" s="47" t="s">
        <v>7</v>
      </c>
      <c r="AD151" s="47" t="s">
        <v>7</v>
      </c>
      <c r="AE151" s="47" t="s">
        <v>7</v>
      </c>
    </row>
    <row r="152" spans="1:31" x14ac:dyDescent="0.3">
      <c r="A152" s="37">
        <f t="shared" ca="1" si="2"/>
        <v>457</v>
      </c>
      <c r="B152" s="37">
        <f t="shared" ca="1" si="3"/>
        <v>499</v>
      </c>
      <c r="C152" s="47">
        <v>76146</v>
      </c>
      <c r="D152" s="47" t="s">
        <v>336</v>
      </c>
      <c r="E152" s="47" t="s">
        <v>943</v>
      </c>
      <c r="F152" s="47" t="s">
        <v>11</v>
      </c>
      <c r="G152" s="47" t="s">
        <v>569</v>
      </c>
      <c r="H152" s="47" t="s">
        <v>81</v>
      </c>
      <c r="I152" s="47"/>
      <c r="J152" s="48">
        <v>42438.590520833335</v>
      </c>
      <c r="K152" s="47" t="s">
        <v>20</v>
      </c>
      <c r="L152" s="47" t="s">
        <v>3</v>
      </c>
      <c r="M152" s="48">
        <v>42396.885023148148</v>
      </c>
      <c r="N152" s="47" t="s">
        <v>40</v>
      </c>
      <c r="O152" s="47"/>
      <c r="P152" s="47"/>
      <c r="Q152" s="47" t="s">
        <v>6</v>
      </c>
      <c r="R152" s="47" t="s">
        <v>30</v>
      </c>
      <c r="S152" s="47" t="s">
        <v>13</v>
      </c>
      <c r="T152" s="47" t="s">
        <v>19</v>
      </c>
      <c r="U152" s="47"/>
      <c r="V152" s="47" t="s">
        <v>7</v>
      </c>
      <c r="W152" s="47" t="s">
        <v>10</v>
      </c>
      <c r="X152" s="47" t="s">
        <v>7</v>
      </c>
      <c r="Y152" s="47" t="s">
        <v>114</v>
      </c>
      <c r="Z152" s="47" t="s">
        <v>7</v>
      </c>
      <c r="AA152" s="47" t="s">
        <v>7</v>
      </c>
      <c r="AB152" s="47" t="s">
        <v>7</v>
      </c>
      <c r="AC152" s="47" t="s">
        <v>7</v>
      </c>
      <c r="AD152" s="47" t="s">
        <v>7</v>
      </c>
      <c r="AE152" s="47" t="s">
        <v>7</v>
      </c>
    </row>
    <row r="153" spans="1:31" x14ac:dyDescent="0.3">
      <c r="A153" s="37">
        <f t="shared" ca="1" si="2"/>
        <v>499</v>
      </c>
      <c r="B153" s="37">
        <f t="shared" ca="1" si="3"/>
        <v>499</v>
      </c>
      <c r="C153" s="47">
        <v>76147</v>
      </c>
      <c r="D153" s="47" t="s">
        <v>336</v>
      </c>
      <c r="E153" s="47" t="s">
        <v>944</v>
      </c>
      <c r="F153" s="47" t="s">
        <v>11</v>
      </c>
      <c r="G153" s="47" t="s">
        <v>569</v>
      </c>
      <c r="H153" s="47" t="s">
        <v>81</v>
      </c>
      <c r="I153" s="47"/>
      <c r="J153" s="48">
        <v>42396.88517361111</v>
      </c>
      <c r="K153" s="47" t="s">
        <v>20</v>
      </c>
      <c r="L153" s="47" t="s">
        <v>3</v>
      </c>
      <c r="M153" s="48">
        <v>42396.88517361111</v>
      </c>
      <c r="N153" s="47" t="s">
        <v>116</v>
      </c>
      <c r="O153" s="47"/>
      <c r="P153" s="47"/>
      <c r="Q153" s="47" t="s">
        <v>6</v>
      </c>
      <c r="R153" s="47" t="s">
        <v>30</v>
      </c>
      <c r="S153" s="47" t="s">
        <v>13</v>
      </c>
      <c r="T153" s="47" t="s">
        <v>19</v>
      </c>
      <c r="U153" s="47"/>
      <c r="V153" s="47" t="s">
        <v>7</v>
      </c>
      <c r="W153" s="47" t="s">
        <v>10</v>
      </c>
      <c r="X153" s="47" t="s">
        <v>7</v>
      </c>
      <c r="Y153" s="47" t="s">
        <v>114</v>
      </c>
      <c r="Z153" s="47" t="s">
        <v>7</v>
      </c>
      <c r="AA153" s="47" t="s">
        <v>7</v>
      </c>
      <c r="AB153" s="47" t="s">
        <v>7</v>
      </c>
      <c r="AC153" s="47" t="s">
        <v>7</v>
      </c>
      <c r="AD153" s="47" t="s">
        <v>7</v>
      </c>
      <c r="AE153" s="47" t="s">
        <v>7</v>
      </c>
    </row>
    <row r="154" spans="1:31" x14ac:dyDescent="0.3">
      <c r="A154" s="37">
        <f t="shared" ca="1" si="2"/>
        <v>466</v>
      </c>
      <c r="B154" s="37">
        <f t="shared" ca="1" si="3"/>
        <v>499</v>
      </c>
      <c r="C154" s="47">
        <v>76148</v>
      </c>
      <c r="D154" s="47" t="s">
        <v>376</v>
      </c>
      <c r="E154" s="47" t="s">
        <v>945</v>
      </c>
      <c r="F154" s="47" t="s">
        <v>11</v>
      </c>
      <c r="G154" s="47" t="s">
        <v>569</v>
      </c>
      <c r="H154" s="47" t="s">
        <v>81</v>
      </c>
      <c r="I154" s="47"/>
      <c r="J154" s="48">
        <v>42429.422835648147</v>
      </c>
      <c r="K154" s="47" t="s">
        <v>20</v>
      </c>
      <c r="L154" s="47" t="s">
        <v>3</v>
      </c>
      <c r="M154" s="48">
        <v>42396.885324074072</v>
      </c>
      <c r="N154" s="47" t="s">
        <v>5</v>
      </c>
      <c r="O154" s="47"/>
      <c r="P154" s="47"/>
      <c r="Q154" s="47" t="s">
        <v>6</v>
      </c>
      <c r="R154" s="47" t="s">
        <v>30</v>
      </c>
      <c r="S154" s="47" t="s">
        <v>13</v>
      </c>
      <c r="T154" s="47" t="s">
        <v>19</v>
      </c>
      <c r="U154" s="47"/>
      <c r="V154" s="47" t="s">
        <v>7</v>
      </c>
      <c r="W154" s="47" t="s">
        <v>10</v>
      </c>
      <c r="X154" s="47" t="s">
        <v>44</v>
      </c>
      <c r="Y154" s="47" t="s">
        <v>114</v>
      </c>
      <c r="Z154" s="47" t="s">
        <v>7</v>
      </c>
      <c r="AA154" s="47" t="s">
        <v>7</v>
      </c>
      <c r="AB154" s="47" t="s">
        <v>7</v>
      </c>
      <c r="AC154" s="47" t="s">
        <v>7</v>
      </c>
      <c r="AD154" s="47" t="s">
        <v>7</v>
      </c>
      <c r="AE154" s="47" t="s">
        <v>7</v>
      </c>
    </row>
    <row r="155" spans="1:31" x14ac:dyDescent="0.3">
      <c r="A155" s="37">
        <f t="shared" ca="1" si="2"/>
        <v>457</v>
      </c>
      <c r="B155" s="37">
        <f t="shared" ca="1" si="3"/>
        <v>499</v>
      </c>
      <c r="C155" s="47">
        <v>76149</v>
      </c>
      <c r="D155" s="47" t="s">
        <v>337</v>
      </c>
      <c r="E155" s="47" t="s">
        <v>946</v>
      </c>
      <c r="F155" s="47" t="s">
        <v>11</v>
      </c>
      <c r="G155" s="47" t="s">
        <v>569</v>
      </c>
      <c r="H155" s="47" t="s">
        <v>81</v>
      </c>
      <c r="I155" s="47"/>
      <c r="J155" s="48">
        <v>42438.59306712963</v>
      </c>
      <c r="K155" s="47" t="s">
        <v>20</v>
      </c>
      <c r="L155" s="47" t="s">
        <v>3</v>
      </c>
      <c r="M155" s="48">
        <v>42396.885474537034</v>
      </c>
      <c r="N155" s="47" t="s">
        <v>40</v>
      </c>
      <c r="O155" s="47"/>
      <c r="P155" s="47"/>
      <c r="Q155" s="47" t="s">
        <v>6</v>
      </c>
      <c r="R155" s="47" t="s">
        <v>30</v>
      </c>
      <c r="S155" s="47" t="s">
        <v>13</v>
      </c>
      <c r="T155" s="47" t="s">
        <v>19</v>
      </c>
      <c r="U155" s="47"/>
      <c r="V155" s="47" t="s">
        <v>7</v>
      </c>
      <c r="W155" s="47" t="s">
        <v>10</v>
      </c>
      <c r="X155" s="47" t="s">
        <v>7</v>
      </c>
      <c r="Y155" s="47" t="s">
        <v>114</v>
      </c>
      <c r="Z155" s="47" t="s">
        <v>7</v>
      </c>
      <c r="AA155" s="47" t="s">
        <v>7</v>
      </c>
      <c r="AB155" s="47" t="s">
        <v>7</v>
      </c>
      <c r="AC155" s="47" t="s">
        <v>7</v>
      </c>
      <c r="AD155" s="47" t="s">
        <v>7</v>
      </c>
      <c r="AE155" s="47" t="s">
        <v>7</v>
      </c>
    </row>
    <row r="156" spans="1:31" x14ac:dyDescent="0.3">
      <c r="A156" s="37">
        <f t="shared" ca="1" si="2"/>
        <v>480</v>
      </c>
      <c r="B156" s="37">
        <f t="shared" ca="1" si="3"/>
        <v>499</v>
      </c>
      <c r="C156" s="47">
        <v>76150</v>
      </c>
      <c r="D156" s="47" t="s">
        <v>593</v>
      </c>
      <c r="E156" s="47" t="s">
        <v>947</v>
      </c>
      <c r="F156" s="47" t="s">
        <v>11</v>
      </c>
      <c r="G156" s="47" t="s">
        <v>569</v>
      </c>
      <c r="H156" s="47" t="s">
        <v>81</v>
      </c>
      <c r="I156" s="47"/>
      <c r="J156" s="48">
        <v>42416.601168981484</v>
      </c>
      <c r="K156" s="47" t="s">
        <v>20</v>
      </c>
      <c r="L156" s="47" t="s">
        <v>3</v>
      </c>
      <c r="M156" s="48">
        <v>42396.885625000003</v>
      </c>
      <c r="N156" s="47" t="s">
        <v>29</v>
      </c>
      <c r="O156" s="47"/>
      <c r="P156" s="47"/>
      <c r="Q156" s="47" t="s">
        <v>6</v>
      </c>
      <c r="R156" s="47" t="s">
        <v>30</v>
      </c>
      <c r="S156" s="47" t="s">
        <v>8</v>
      </c>
      <c r="T156" s="47" t="s">
        <v>38</v>
      </c>
      <c r="U156" s="47"/>
      <c r="V156" s="47" t="s">
        <v>7</v>
      </c>
      <c r="W156" s="47" t="s">
        <v>10</v>
      </c>
      <c r="X156" s="47" t="s">
        <v>7</v>
      </c>
      <c r="Y156" s="47" t="s">
        <v>114</v>
      </c>
      <c r="Z156" s="47" t="s">
        <v>7</v>
      </c>
      <c r="AA156" s="47" t="s">
        <v>7</v>
      </c>
      <c r="AB156" s="47" t="s">
        <v>7</v>
      </c>
      <c r="AC156" s="47" t="s">
        <v>7</v>
      </c>
      <c r="AD156" s="47" t="s">
        <v>7</v>
      </c>
      <c r="AE156" s="47" t="s">
        <v>7</v>
      </c>
    </row>
    <row r="157" spans="1:31" x14ac:dyDescent="0.3">
      <c r="A157" s="37">
        <f t="shared" ca="1" si="2"/>
        <v>494</v>
      </c>
      <c r="B157" s="37">
        <f t="shared" ca="1" si="3"/>
        <v>499</v>
      </c>
      <c r="C157" s="47">
        <v>76151</v>
      </c>
      <c r="D157" s="47" t="s">
        <v>343</v>
      </c>
      <c r="E157" s="47" t="s">
        <v>948</v>
      </c>
      <c r="F157" s="47" t="s">
        <v>11</v>
      </c>
      <c r="G157" s="47" t="s">
        <v>569</v>
      </c>
      <c r="H157" s="47" t="s">
        <v>81</v>
      </c>
      <c r="I157" s="47"/>
      <c r="J157" s="48">
        <v>42402.592106481483</v>
      </c>
      <c r="K157" s="47" t="s">
        <v>20</v>
      </c>
      <c r="L157" s="47" t="s">
        <v>3</v>
      </c>
      <c r="M157" s="48">
        <v>42396.885775462964</v>
      </c>
      <c r="N157" s="47" t="s">
        <v>120</v>
      </c>
      <c r="O157" s="47"/>
      <c r="P157" s="47"/>
      <c r="Q157" s="47" t="s">
        <v>6</v>
      </c>
      <c r="R157" s="47" t="s">
        <v>30</v>
      </c>
      <c r="S157" s="47" t="s">
        <v>24</v>
      </c>
      <c r="T157" s="47" t="s">
        <v>47</v>
      </c>
      <c r="U157" s="47"/>
      <c r="V157" s="47" t="s">
        <v>7</v>
      </c>
      <c r="W157" s="47" t="s">
        <v>10</v>
      </c>
      <c r="X157" s="47" t="s">
        <v>7</v>
      </c>
      <c r="Y157" s="47" t="s">
        <v>114</v>
      </c>
      <c r="Z157" s="47" t="s">
        <v>7</v>
      </c>
      <c r="AA157" s="47" t="s">
        <v>7</v>
      </c>
      <c r="AB157" s="47" t="s">
        <v>7</v>
      </c>
      <c r="AC157" s="47" t="s">
        <v>7</v>
      </c>
      <c r="AD157" s="47" t="s">
        <v>7</v>
      </c>
      <c r="AE157" s="47" t="s">
        <v>7</v>
      </c>
    </row>
    <row r="158" spans="1:31" x14ac:dyDescent="0.3">
      <c r="A158" s="37">
        <f t="shared" ca="1" si="2"/>
        <v>499</v>
      </c>
      <c r="B158" s="37">
        <f t="shared" ca="1" si="3"/>
        <v>499</v>
      </c>
      <c r="C158" s="47">
        <v>76152</v>
      </c>
      <c r="D158" s="47" t="s">
        <v>339</v>
      </c>
      <c r="E158" s="47" t="s">
        <v>949</v>
      </c>
      <c r="F158" s="47" t="s">
        <v>11</v>
      </c>
      <c r="G158" s="47" t="s">
        <v>569</v>
      </c>
      <c r="H158" s="47" t="s">
        <v>81</v>
      </c>
      <c r="I158" s="47"/>
      <c r="J158" s="48">
        <v>42396.885925925926</v>
      </c>
      <c r="K158" s="47" t="s">
        <v>20</v>
      </c>
      <c r="L158" s="47" t="s">
        <v>3</v>
      </c>
      <c r="M158" s="48">
        <v>42396.885925925926</v>
      </c>
      <c r="N158" s="47" t="s">
        <v>84</v>
      </c>
      <c r="O158" s="47"/>
      <c r="P158" s="47"/>
      <c r="Q158" s="47" t="s">
        <v>6</v>
      </c>
      <c r="R158" s="47" t="s">
        <v>30</v>
      </c>
      <c r="S158" s="47" t="s">
        <v>8</v>
      </c>
      <c r="T158" s="47" t="s">
        <v>122</v>
      </c>
      <c r="U158" s="47"/>
      <c r="V158" s="47" t="s">
        <v>7</v>
      </c>
      <c r="W158" s="47" t="s">
        <v>10</v>
      </c>
      <c r="X158" s="47" t="s">
        <v>7</v>
      </c>
      <c r="Y158" s="47" t="s">
        <v>114</v>
      </c>
      <c r="Z158" s="47" t="s">
        <v>7</v>
      </c>
      <c r="AA158" s="47" t="s">
        <v>7</v>
      </c>
      <c r="AB158" s="47" t="s">
        <v>7</v>
      </c>
      <c r="AC158" s="47" t="s">
        <v>7</v>
      </c>
      <c r="AD158" s="47" t="s">
        <v>7</v>
      </c>
      <c r="AE158" s="47" t="s">
        <v>7</v>
      </c>
    </row>
    <row r="159" spans="1:31" x14ac:dyDescent="0.3">
      <c r="A159" s="37">
        <f t="shared" ca="1" si="2"/>
        <v>466</v>
      </c>
      <c r="B159" s="37">
        <f t="shared" ca="1" si="3"/>
        <v>499</v>
      </c>
      <c r="C159" s="47">
        <v>76153</v>
      </c>
      <c r="D159" s="47" t="s">
        <v>376</v>
      </c>
      <c r="E159" s="47" t="s">
        <v>950</v>
      </c>
      <c r="F159" s="47" t="s">
        <v>11</v>
      </c>
      <c r="G159" s="47" t="s">
        <v>569</v>
      </c>
      <c r="H159" s="47" t="s">
        <v>81</v>
      </c>
      <c r="I159" s="47"/>
      <c r="J159" s="48">
        <v>42429.592511574076</v>
      </c>
      <c r="K159" s="47" t="s">
        <v>20</v>
      </c>
      <c r="L159" s="47" t="s">
        <v>3</v>
      </c>
      <c r="M159" s="48">
        <v>42396.886122685188</v>
      </c>
      <c r="N159" s="47" t="s">
        <v>84</v>
      </c>
      <c r="O159" s="47"/>
      <c r="P159" s="47"/>
      <c r="Q159" s="47" t="s">
        <v>6</v>
      </c>
      <c r="R159" s="47" t="s">
        <v>30</v>
      </c>
      <c r="S159" s="47" t="s">
        <v>13</v>
      </c>
      <c r="T159" s="47" t="s">
        <v>19</v>
      </c>
      <c r="U159" s="47"/>
      <c r="V159" s="47" t="s">
        <v>7</v>
      </c>
      <c r="W159" s="47" t="s">
        <v>10</v>
      </c>
      <c r="X159" s="47" t="s">
        <v>7</v>
      </c>
      <c r="Y159" s="47" t="s">
        <v>114</v>
      </c>
      <c r="Z159" s="47" t="s">
        <v>7</v>
      </c>
      <c r="AA159" s="47" t="s">
        <v>7</v>
      </c>
      <c r="AB159" s="47" t="s">
        <v>7</v>
      </c>
      <c r="AC159" s="47" t="s">
        <v>7</v>
      </c>
      <c r="AD159" s="47" t="s">
        <v>7</v>
      </c>
      <c r="AE159" s="47" t="s">
        <v>7</v>
      </c>
    </row>
    <row r="160" spans="1:31" x14ac:dyDescent="0.3">
      <c r="A160" s="37">
        <f t="shared" ca="1" si="2"/>
        <v>499</v>
      </c>
      <c r="B160" s="37">
        <f t="shared" ca="1" si="3"/>
        <v>499</v>
      </c>
      <c r="C160" s="47">
        <v>76154</v>
      </c>
      <c r="D160" s="47" t="s">
        <v>342</v>
      </c>
      <c r="E160" s="47" t="s">
        <v>951</v>
      </c>
      <c r="F160" s="47" t="s">
        <v>11</v>
      </c>
      <c r="G160" s="47" t="s">
        <v>569</v>
      </c>
      <c r="H160" s="47" t="s">
        <v>81</v>
      </c>
      <c r="I160" s="47"/>
      <c r="J160" s="48">
        <v>42396.886296296296</v>
      </c>
      <c r="K160" s="47" t="s">
        <v>20</v>
      </c>
      <c r="L160" s="47" t="s">
        <v>3</v>
      </c>
      <c r="M160" s="48">
        <v>42396.886296296296</v>
      </c>
      <c r="N160" s="47" t="s">
        <v>22</v>
      </c>
      <c r="O160" s="47"/>
      <c r="P160" s="47"/>
      <c r="Q160" s="47" t="s">
        <v>6</v>
      </c>
      <c r="R160" s="47" t="s">
        <v>30</v>
      </c>
      <c r="S160" s="47" t="s">
        <v>24</v>
      </c>
      <c r="T160" s="47" t="s">
        <v>46</v>
      </c>
      <c r="U160" s="47"/>
      <c r="V160" s="47" t="s">
        <v>7</v>
      </c>
      <c r="W160" s="47" t="s">
        <v>10</v>
      </c>
      <c r="X160" s="47" t="s">
        <v>7</v>
      </c>
      <c r="Y160" s="47" t="s">
        <v>114</v>
      </c>
      <c r="Z160" s="47" t="s">
        <v>7</v>
      </c>
      <c r="AA160" s="47" t="s">
        <v>7</v>
      </c>
      <c r="AB160" s="47" t="s">
        <v>7</v>
      </c>
      <c r="AC160" s="47" t="s">
        <v>7</v>
      </c>
      <c r="AD160" s="47" t="s">
        <v>7</v>
      </c>
      <c r="AE160" s="47" t="s">
        <v>7</v>
      </c>
    </row>
    <row r="161" spans="1:31" x14ac:dyDescent="0.3">
      <c r="A161" s="37">
        <f t="shared" ca="1" si="2"/>
        <v>471</v>
      </c>
      <c r="B161" s="37">
        <f t="shared" ca="1" si="3"/>
        <v>499</v>
      </c>
      <c r="C161" s="47">
        <v>76155</v>
      </c>
      <c r="D161" s="47" t="s">
        <v>336</v>
      </c>
      <c r="E161" s="47" t="s">
        <v>952</v>
      </c>
      <c r="F161" s="47" t="s">
        <v>11</v>
      </c>
      <c r="G161" s="47" t="s">
        <v>569</v>
      </c>
      <c r="H161" s="47" t="s">
        <v>81</v>
      </c>
      <c r="I161" s="47"/>
      <c r="J161" s="48">
        <v>42425.40960648148</v>
      </c>
      <c r="K161" s="47" t="s">
        <v>20</v>
      </c>
      <c r="L161" s="47" t="s">
        <v>3</v>
      </c>
      <c r="M161" s="48">
        <v>42396.886435185188</v>
      </c>
      <c r="N161" s="47" t="s">
        <v>29</v>
      </c>
      <c r="O161" s="47"/>
      <c r="P161" s="47"/>
      <c r="Q161" s="47" t="s">
        <v>6</v>
      </c>
      <c r="R161" s="47" t="s">
        <v>30</v>
      </c>
      <c r="S161" s="47" t="s">
        <v>13</v>
      </c>
      <c r="T161" s="47" t="s">
        <v>19</v>
      </c>
      <c r="U161" s="47"/>
      <c r="V161" s="47" t="s">
        <v>7</v>
      </c>
      <c r="W161" s="47" t="s">
        <v>26</v>
      </c>
      <c r="X161" s="47" t="s">
        <v>7</v>
      </c>
      <c r="Y161" s="47" t="s">
        <v>114</v>
      </c>
      <c r="Z161" s="47" t="s">
        <v>7</v>
      </c>
      <c r="AA161" s="47" t="s">
        <v>7</v>
      </c>
      <c r="AB161" s="47" t="s">
        <v>7</v>
      </c>
      <c r="AC161" s="47" t="s">
        <v>7</v>
      </c>
      <c r="AD161" s="47" t="s">
        <v>7</v>
      </c>
      <c r="AE161" s="47" t="s">
        <v>7</v>
      </c>
    </row>
    <row r="162" spans="1:31" x14ac:dyDescent="0.3">
      <c r="A162" s="37">
        <f t="shared" ca="1" si="2"/>
        <v>462</v>
      </c>
      <c r="B162" s="37">
        <f t="shared" ca="1" si="3"/>
        <v>499</v>
      </c>
      <c r="C162" s="47">
        <v>76156</v>
      </c>
      <c r="D162" s="47" t="s">
        <v>376</v>
      </c>
      <c r="E162" s="47" t="s">
        <v>953</v>
      </c>
      <c r="F162" s="47" t="s">
        <v>11</v>
      </c>
      <c r="G162" s="47" t="s">
        <v>569</v>
      </c>
      <c r="H162" s="47" t="s">
        <v>81</v>
      </c>
      <c r="I162" s="47"/>
      <c r="J162" s="48">
        <v>42433.307557870372</v>
      </c>
      <c r="K162" s="47" t="s">
        <v>20</v>
      </c>
      <c r="L162" s="47" t="s">
        <v>3</v>
      </c>
      <c r="M162" s="48">
        <v>42396.886608796296</v>
      </c>
      <c r="N162" s="47" t="s">
        <v>5</v>
      </c>
      <c r="O162" s="47"/>
      <c r="P162" s="47"/>
      <c r="Q162" s="47" t="s">
        <v>6</v>
      </c>
      <c r="R162" s="47" t="s">
        <v>7</v>
      </c>
      <c r="S162" s="47" t="s">
        <v>13</v>
      </c>
      <c r="T162" s="47" t="s">
        <v>19</v>
      </c>
      <c r="U162" s="34">
        <v>41901</v>
      </c>
      <c r="V162" s="47" t="s">
        <v>7</v>
      </c>
      <c r="W162" s="47" t="s">
        <v>26</v>
      </c>
      <c r="X162" s="47" t="s">
        <v>7</v>
      </c>
      <c r="Y162" s="47" t="s">
        <v>114</v>
      </c>
      <c r="Z162" s="47" t="s">
        <v>7</v>
      </c>
      <c r="AA162" s="47" t="s">
        <v>7</v>
      </c>
      <c r="AB162" s="47" t="s">
        <v>7</v>
      </c>
      <c r="AC162" s="47" t="s">
        <v>7</v>
      </c>
      <c r="AD162" s="47" t="s">
        <v>7</v>
      </c>
      <c r="AE162" s="47" t="s">
        <v>7</v>
      </c>
    </row>
    <row r="163" spans="1:31" x14ac:dyDescent="0.3">
      <c r="A163" s="37">
        <f t="shared" ca="1" si="2"/>
        <v>499</v>
      </c>
      <c r="B163" s="37">
        <f t="shared" ca="1" si="3"/>
        <v>499</v>
      </c>
      <c r="C163" s="47">
        <v>76158</v>
      </c>
      <c r="D163" s="47" t="s">
        <v>332</v>
      </c>
      <c r="E163" s="47" t="s">
        <v>954</v>
      </c>
      <c r="F163" s="47" t="s">
        <v>11</v>
      </c>
      <c r="G163" s="47" t="s">
        <v>569</v>
      </c>
      <c r="H163" s="47" t="s">
        <v>81</v>
      </c>
      <c r="I163" s="47" t="s">
        <v>411</v>
      </c>
      <c r="J163" s="48">
        <v>42396.887013888889</v>
      </c>
      <c r="K163" s="47" t="s">
        <v>20</v>
      </c>
      <c r="L163" s="47" t="s">
        <v>3</v>
      </c>
      <c r="M163" s="48">
        <v>42396.887013888889</v>
      </c>
      <c r="N163" s="47" t="s">
        <v>40</v>
      </c>
      <c r="O163" s="47"/>
      <c r="P163" s="47"/>
      <c r="Q163" s="47" t="s">
        <v>6</v>
      </c>
      <c r="R163" s="47" t="s">
        <v>30</v>
      </c>
      <c r="S163" s="47" t="s">
        <v>24</v>
      </c>
      <c r="T163" s="47" t="s">
        <v>47</v>
      </c>
      <c r="U163" s="47"/>
      <c r="V163" s="47" t="s">
        <v>7</v>
      </c>
      <c r="W163" s="47" t="s">
        <v>10</v>
      </c>
      <c r="X163" s="47" t="s">
        <v>7</v>
      </c>
      <c r="Y163" s="47" t="s">
        <v>114</v>
      </c>
      <c r="Z163" s="47" t="s">
        <v>7</v>
      </c>
      <c r="AA163" s="47" t="s">
        <v>7</v>
      </c>
      <c r="AB163" s="47" t="s">
        <v>7</v>
      </c>
      <c r="AC163" s="47" t="s">
        <v>7</v>
      </c>
      <c r="AD163" s="47" t="s">
        <v>7</v>
      </c>
      <c r="AE163" s="47" t="s">
        <v>7</v>
      </c>
    </row>
    <row r="164" spans="1:31" x14ac:dyDescent="0.3">
      <c r="A164" s="37">
        <f t="shared" ca="1" si="2"/>
        <v>457</v>
      </c>
      <c r="B164" s="37">
        <f t="shared" ca="1" si="3"/>
        <v>499</v>
      </c>
      <c r="C164" s="47">
        <v>76159</v>
      </c>
      <c r="D164" s="47" t="s">
        <v>376</v>
      </c>
      <c r="E164" s="47" t="s">
        <v>955</v>
      </c>
      <c r="F164" s="47" t="s">
        <v>11</v>
      </c>
      <c r="G164" s="47" t="s">
        <v>569</v>
      </c>
      <c r="H164" s="47" t="s">
        <v>81</v>
      </c>
      <c r="I164" s="47"/>
      <c r="J164" s="48">
        <v>42438.594490740739</v>
      </c>
      <c r="K164" s="47" t="s">
        <v>20</v>
      </c>
      <c r="L164" s="47" t="s">
        <v>3</v>
      </c>
      <c r="M164" s="48">
        <v>42396.887187499997</v>
      </c>
      <c r="N164" s="47" t="s">
        <v>40</v>
      </c>
      <c r="O164" s="47"/>
      <c r="P164" s="47"/>
      <c r="Q164" s="47" t="s">
        <v>6</v>
      </c>
      <c r="R164" s="47" t="s">
        <v>30</v>
      </c>
      <c r="S164" s="47" t="s">
        <v>13</v>
      </c>
      <c r="T164" s="47" t="s">
        <v>19</v>
      </c>
      <c r="U164" s="47"/>
      <c r="V164" s="47" t="s">
        <v>7</v>
      </c>
      <c r="W164" s="47" t="s">
        <v>10</v>
      </c>
      <c r="X164" s="47" t="s">
        <v>7</v>
      </c>
      <c r="Y164" s="47" t="s">
        <v>114</v>
      </c>
      <c r="Z164" s="47" t="s">
        <v>7</v>
      </c>
      <c r="AA164" s="47" t="s">
        <v>7</v>
      </c>
      <c r="AB164" s="47" t="s">
        <v>7</v>
      </c>
      <c r="AC164" s="47" t="s">
        <v>7</v>
      </c>
      <c r="AD164" s="47" t="s">
        <v>7</v>
      </c>
      <c r="AE164" s="47" t="s">
        <v>7</v>
      </c>
    </row>
    <row r="165" spans="1:31" x14ac:dyDescent="0.3">
      <c r="A165" s="37">
        <f t="shared" ca="1" si="2"/>
        <v>457</v>
      </c>
      <c r="B165" s="37">
        <f t="shared" ca="1" si="3"/>
        <v>499</v>
      </c>
      <c r="C165" s="47">
        <v>76160</v>
      </c>
      <c r="D165" s="47" t="s">
        <v>332</v>
      </c>
      <c r="E165" s="47" t="s">
        <v>956</v>
      </c>
      <c r="F165" s="47" t="s">
        <v>11</v>
      </c>
      <c r="G165" s="47" t="s">
        <v>569</v>
      </c>
      <c r="H165" s="47" t="s">
        <v>81</v>
      </c>
      <c r="I165" s="47"/>
      <c r="J165" s="48">
        <v>42438.596307870372</v>
      </c>
      <c r="K165" s="47" t="s">
        <v>20</v>
      </c>
      <c r="L165" s="47" t="s">
        <v>3</v>
      </c>
      <c r="M165" s="48">
        <v>42396.887361111112</v>
      </c>
      <c r="N165" s="47" t="s">
        <v>40</v>
      </c>
      <c r="O165" s="47"/>
      <c r="P165" s="47"/>
      <c r="Q165" s="47" t="s">
        <v>6</v>
      </c>
      <c r="R165" s="47" t="s">
        <v>30</v>
      </c>
      <c r="S165" s="47" t="s">
        <v>13</v>
      </c>
      <c r="T165" s="47" t="s">
        <v>19</v>
      </c>
      <c r="U165" s="47"/>
      <c r="V165" s="47" t="s">
        <v>7</v>
      </c>
      <c r="W165" s="47" t="s">
        <v>26</v>
      </c>
      <c r="X165" s="47" t="s">
        <v>7</v>
      </c>
      <c r="Y165" s="47" t="s">
        <v>114</v>
      </c>
      <c r="Z165" s="47" t="s">
        <v>7</v>
      </c>
      <c r="AA165" s="47" t="s">
        <v>7</v>
      </c>
      <c r="AB165" s="47" t="s">
        <v>7</v>
      </c>
      <c r="AC165" s="47" t="s">
        <v>7</v>
      </c>
      <c r="AD165" s="47" t="s">
        <v>7</v>
      </c>
      <c r="AE165" s="47" t="s">
        <v>7</v>
      </c>
    </row>
    <row r="166" spans="1:31" x14ac:dyDescent="0.3">
      <c r="A166" s="37">
        <f t="shared" ca="1" si="2"/>
        <v>463</v>
      </c>
      <c r="B166" s="37">
        <f t="shared" ca="1" si="3"/>
        <v>499</v>
      </c>
      <c r="C166" s="47">
        <v>76161</v>
      </c>
      <c r="D166" s="47" t="s">
        <v>376</v>
      </c>
      <c r="E166" s="47" t="s">
        <v>957</v>
      </c>
      <c r="F166" s="47" t="s">
        <v>11</v>
      </c>
      <c r="G166" s="47" t="s">
        <v>569</v>
      </c>
      <c r="H166" s="47" t="s">
        <v>81</v>
      </c>
      <c r="I166" s="47"/>
      <c r="J166" s="48">
        <v>42432.594039351854</v>
      </c>
      <c r="K166" s="47" t="s">
        <v>20</v>
      </c>
      <c r="L166" s="47" t="s">
        <v>3</v>
      </c>
      <c r="M166" s="48">
        <v>42396.887523148151</v>
      </c>
      <c r="N166" s="47" t="s">
        <v>168</v>
      </c>
      <c r="O166" s="47"/>
      <c r="P166" s="47"/>
      <c r="Q166" s="47" t="s">
        <v>6</v>
      </c>
      <c r="R166" s="47" t="s">
        <v>7</v>
      </c>
      <c r="S166" s="47" t="s">
        <v>13</v>
      </c>
      <c r="T166" s="47" t="s">
        <v>19</v>
      </c>
      <c r="U166" s="47"/>
      <c r="V166" s="47" t="s">
        <v>7</v>
      </c>
      <c r="W166" s="47" t="s">
        <v>10</v>
      </c>
      <c r="X166" s="47" t="s">
        <v>7</v>
      </c>
      <c r="Y166" s="47" t="s">
        <v>114</v>
      </c>
      <c r="Z166" s="47" t="s">
        <v>7</v>
      </c>
      <c r="AA166" s="47" t="s">
        <v>7</v>
      </c>
      <c r="AB166" s="47" t="s">
        <v>7</v>
      </c>
      <c r="AC166" s="47" t="s">
        <v>7</v>
      </c>
      <c r="AD166" s="47" t="s">
        <v>7</v>
      </c>
      <c r="AE166" s="47" t="s">
        <v>7</v>
      </c>
    </row>
    <row r="167" spans="1:31" x14ac:dyDescent="0.3">
      <c r="A167" s="37">
        <f t="shared" ca="1" si="2"/>
        <v>457</v>
      </c>
      <c r="B167" s="37">
        <f t="shared" ca="1" si="3"/>
        <v>499</v>
      </c>
      <c r="C167" s="47">
        <v>76162</v>
      </c>
      <c r="D167" s="47" t="s">
        <v>382</v>
      </c>
      <c r="E167" s="47" t="s">
        <v>958</v>
      </c>
      <c r="F167" s="47" t="s">
        <v>11</v>
      </c>
      <c r="G167" s="47" t="s">
        <v>569</v>
      </c>
      <c r="H167" s="47" t="s">
        <v>81</v>
      </c>
      <c r="I167" s="47"/>
      <c r="J167" s="48">
        <v>42438.598356481481</v>
      </c>
      <c r="K167" s="47" t="s">
        <v>20</v>
      </c>
      <c r="L167" s="47" t="s">
        <v>3</v>
      </c>
      <c r="M167" s="48">
        <v>42396.887812499997</v>
      </c>
      <c r="N167" s="47" t="s">
        <v>40</v>
      </c>
      <c r="O167" s="47"/>
      <c r="P167" s="47"/>
      <c r="Q167" s="47" t="s">
        <v>6</v>
      </c>
      <c r="R167" s="47" t="s">
        <v>7</v>
      </c>
      <c r="S167" s="47" t="s">
        <v>13</v>
      </c>
      <c r="T167" s="47" t="s">
        <v>19</v>
      </c>
      <c r="U167" s="47"/>
      <c r="V167" s="47" t="s">
        <v>7</v>
      </c>
      <c r="W167" s="47" t="s">
        <v>10</v>
      </c>
      <c r="X167" s="47" t="s">
        <v>7</v>
      </c>
      <c r="Y167" s="47" t="s">
        <v>114</v>
      </c>
      <c r="Z167" s="47" t="s">
        <v>7</v>
      </c>
      <c r="AA167" s="47" t="s">
        <v>7</v>
      </c>
      <c r="AB167" s="47" t="s">
        <v>7</v>
      </c>
      <c r="AC167" s="47" t="s">
        <v>7</v>
      </c>
      <c r="AD167" s="47" t="s">
        <v>7</v>
      </c>
      <c r="AE167" s="47" t="s">
        <v>7</v>
      </c>
    </row>
    <row r="168" spans="1:31" x14ac:dyDescent="0.3">
      <c r="A168" s="37">
        <f t="shared" ca="1" si="2"/>
        <v>492</v>
      </c>
      <c r="B168" s="37">
        <f t="shared" ca="1" si="3"/>
        <v>499</v>
      </c>
      <c r="C168" s="47">
        <v>76164</v>
      </c>
      <c r="D168" s="47" t="s">
        <v>338</v>
      </c>
      <c r="E168" s="47" t="s">
        <v>959</v>
      </c>
      <c r="F168" s="47" t="s">
        <v>11</v>
      </c>
      <c r="G168" s="47" t="s">
        <v>569</v>
      </c>
      <c r="H168" s="47" t="s">
        <v>81</v>
      </c>
      <c r="I168" s="47"/>
      <c r="J168" s="48">
        <v>42404.591134259259</v>
      </c>
      <c r="K168" s="47" t="s">
        <v>20</v>
      </c>
      <c r="L168" s="47" t="s">
        <v>80</v>
      </c>
      <c r="M168" s="48">
        <v>42396.888414351852</v>
      </c>
      <c r="N168" s="47" t="s">
        <v>5</v>
      </c>
      <c r="O168" s="47"/>
      <c r="P168" s="47"/>
      <c r="Q168" s="47" t="s">
        <v>6</v>
      </c>
      <c r="R168" s="47" t="s">
        <v>30</v>
      </c>
      <c r="S168" s="47" t="s">
        <v>8</v>
      </c>
      <c r="T168" s="47" t="s">
        <v>38</v>
      </c>
      <c r="U168" s="47"/>
      <c r="V168" s="47" t="s">
        <v>7</v>
      </c>
      <c r="W168" s="47" t="s">
        <v>10</v>
      </c>
      <c r="X168" s="47" t="s">
        <v>44</v>
      </c>
      <c r="Y168" s="47" t="s">
        <v>114</v>
      </c>
      <c r="Z168" s="47" t="s">
        <v>7</v>
      </c>
      <c r="AA168" s="47" t="s">
        <v>7</v>
      </c>
      <c r="AB168" s="47" t="s">
        <v>7</v>
      </c>
      <c r="AC168" s="47" t="s">
        <v>7</v>
      </c>
      <c r="AD168" s="47" t="s">
        <v>7</v>
      </c>
      <c r="AE168" s="47" t="s">
        <v>7</v>
      </c>
    </row>
    <row r="169" spans="1:31" x14ac:dyDescent="0.3">
      <c r="A169" s="37">
        <f t="shared" ca="1" si="2"/>
        <v>497</v>
      </c>
      <c r="B169" s="37">
        <f t="shared" ca="1" si="3"/>
        <v>498</v>
      </c>
      <c r="C169" s="47">
        <v>76256</v>
      </c>
      <c r="D169" s="47" t="s">
        <v>336</v>
      </c>
      <c r="E169" s="47" t="s">
        <v>960</v>
      </c>
      <c r="F169" s="47" t="s">
        <v>11</v>
      </c>
      <c r="G169" s="47" t="s">
        <v>569</v>
      </c>
      <c r="H169" s="47" t="s">
        <v>81</v>
      </c>
      <c r="I169" s="47"/>
      <c r="J169" s="48">
        <v>42398.595277777778</v>
      </c>
      <c r="K169" s="47" t="s">
        <v>20</v>
      </c>
      <c r="L169" s="47" t="s">
        <v>80</v>
      </c>
      <c r="M169" s="48">
        <v>42397.52375</v>
      </c>
      <c r="N169" s="47" t="s">
        <v>992</v>
      </c>
      <c r="O169" s="47"/>
      <c r="P169" s="47"/>
      <c r="Q169" s="47" t="s">
        <v>6</v>
      </c>
      <c r="R169" s="47" t="s">
        <v>30</v>
      </c>
      <c r="S169" s="47" t="s">
        <v>13</v>
      </c>
      <c r="T169" s="47" t="s">
        <v>35</v>
      </c>
      <c r="U169" s="47"/>
      <c r="V169" s="47" t="s">
        <v>7</v>
      </c>
      <c r="W169" s="47" t="s">
        <v>10</v>
      </c>
      <c r="X169" s="47" t="s">
        <v>7</v>
      </c>
      <c r="Y169" s="47" t="s">
        <v>114</v>
      </c>
      <c r="Z169" s="47" t="s">
        <v>7</v>
      </c>
      <c r="AA169" s="47" t="s">
        <v>7</v>
      </c>
      <c r="AB169" s="47" t="s">
        <v>7</v>
      </c>
      <c r="AC169" s="47" t="s">
        <v>7</v>
      </c>
      <c r="AD169" s="47" t="s">
        <v>7</v>
      </c>
      <c r="AE169" s="47" t="s">
        <v>7</v>
      </c>
    </row>
    <row r="170" spans="1:31" x14ac:dyDescent="0.3">
      <c r="A170" s="37">
        <f t="shared" ca="1" si="2"/>
        <v>451</v>
      </c>
      <c r="B170" s="37">
        <f t="shared" ca="1" si="3"/>
        <v>491</v>
      </c>
      <c r="C170" s="47">
        <v>76603</v>
      </c>
      <c r="D170" s="47" t="s">
        <v>332</v>
      </c>
      <c r="E170" s="47" t="s">
        <v>1028</v>
      </c>
      <c r="F170" s="47" t="s">
        <v>146</v>
      </c>
      <c r="G170" s="47" t="s">
        <v>569</v>
      </c>
      <c r="H170" s="47" t="s">
        <v>81</v>
      </c>
      <c r="I170" s="47"/>
      <c r="J170" s="48">
        <v>42444.308483796296</v>
      </c>
      <c r="K170" s="47" t="s">
        <v>20</v>
      </c>
      <c r="L170" s="47" t="s">
        <v>569</v>
      </c>
      <c r="M170" s="48">
        <v>42405.02480324074</v>
      </c>
      <c r="N170" s="47" t="s">
        <v>628</v>
      </c>
      <c r="O170" s="47"/>
      <c r="P170" s="47" t="s">
        <v>717</v>
      </c>
      <c r="Q170" s="47" t="s">
        <v>12</v>
      </c>
      <c r="R170" s="47" t="s">
        <v>30</v>
      </c>
      <c r="S170" s="47" t="s">
        <v>13</v>
      </c>
      <c r="T170" s="47" t="s">
        <v>19</v>
      </c>
      <c r="U170" s="47"/>
      <c r="V170" s="47" t="s">
        <v>7</v>
      </c>
      <c r="W170" s="47" t="s">
        <v>10</v>
      </c>
      <c r="X170" s="47" t="s">
        <v>7</v>
      </c>
      <c r="Y170" s="47" t="s">
        <v>114</v>
      </c>
      <c r="Z170" s="47" t="s">
        <v>7</v>
      </c>
      <c r="AA170" s="47" t="s">
        <v>7</v>
      </c>
      <c r="AB170" s="47" t="s">
        <v>7</v>
      </c>
      <c r="AC170" s="47" t="s">
        <v>7</v>
      </c>
      <c r="AD170" s="47" t="s">
        <v>7</v>
      </c>
      <c r="AE170" s="47" t="s">
        <v>7</v>
      </c>
    </row>
    <row r="171" spans="1:31" x14ac:dyDescent="0.3">
      <c r="A171" s="37">
        <f t="shared" ca="1" si="2"/>
        <v>491</v>
      </c>
      <c r="B171" s="37">
        <f t="shared" ca="1" si="3"/>
        <v>491</v>
      </c>
      <c r="C171" s="47">
        <v>76606</v>
      </c>
      <c r="D171" s="47" t="s">
        <v>332</v>
      </c>
      <c r="E171" s="47" t="s">
        <v>961</v>
      </c>
      <c r="F171" s="47" t="s">
        <v>11</v>
      </c>
      <c r="G171" s="47" t="s">
        <v>569</v>
      </c>
      <c r="H171" s="47" t="s">
        <v>81</v>
      </c>
      <c r="I171" s="47"/>
      <c r="J171" s="48">
        <v>42405.025196759256</v>
      </c>
      <c r="K171" s="47" t="s">
        <v>20</v>
      </c>
      <c r="L171" s="47" t="s">
        <v>569</v>
      </c>
      <c r="M171" s="48">
        <v>42405.025196759256</v>
      </c>
      <c r="N171" s="47" t="s">
        <v>628</v>
      </c>
      <c r="O171" s="47"/>
      <c r="P171" s="47" t="s">
        <v>616</v>
      </c>
      <c r="Q171" s="47" t="s">
        <v>6</v>
      </c>
      <c r="R171" s="47" t="s">
        <v>30</v>
      </c>
      <c r="S171" s="47" t="s">
        <v>24</v>
      </c>
      <c r="T171" s="47" t="s">
        <v>46</v>
      </c>
      <c r="U171" s="47"/>
      <c r="V171" s="47" t="s">
        <v>7</v>
      </c>
      <c r="W171" s="47" t="s">
        <v>10</v>
      </c>
      <c r="X171" s="47" t="s">
        <v>7</v>
      </c>
      <c r="Y171" s="47" t="s">
        <v>114</v>
      </c>
      <c r="Z171" s="47" t="s">
        <v>7</v>
      </c>
      <c r="AA171" s="47" t="s">
        <v>7</v>
      </c>
      <c r="AB171" s="47" t="s">
        <v>7</v>
      </c>
      <c r="AC171" s="47" t="s">
        <v>7</v>
      </c>
      <c r="AD171" s="47" t="s">
        <v>7</v>
      </c>
      <c r="AE171" s="47" t="s">
        <v>7</v>
      </c>
    </row>
    <row r="172" spans="1:31" x14ac:dyDescent="0.3">
      <c r="A172" s="37">
        <f t="shared" ca="1" si="2"/>
        <v>457</v>
      </c>
      <c r="B172" s="37">
        <f t="shared" ca="1" si="3"/>
        <v>486</v>
      </c>
      <c r="C172" s="47">
        <v>76846</v>
      </c>
      <c r="D172" s="47" t="s">
        <v>695</v>
      </c>
      <c r="E172" s="47" t="s">
        <v>835</v>
      </c>
      <c r="F172" s="47" t="s">
        <v>11</v>
      </c>
      <c r="G172" s="47" t="s">
        <v>569</v>
      </c>
      <c r="H172" s="47" t="s">
        <v>81</v>
      </c>
      <c r="I172" s="47"/>
      <c r="J172" s="48">
        <v>42438.316261574073</v>
      </c>
      <c r="K172" s="47" t="s">
        <v>20</v>
      </c>
      <c r="L172" s="47" t="s">
        <v>80</v>
      </c>
      <c r="M172" s="48">
        <v>42410.023692129631</v>
      </c>
      <c r="N172" s="47" t="s">
        <v>16</v>
      </c>
      <c r="O172" s="47"/>
      <c r="P172" s="47"/>
      <c r="Q172" s="47" t="s">
        <v>6</v>
      </c>
      <c r="R172" s="47" t="s">
        <v>30</v>
      </c>
      <c r="S172" s="47" t="s">
        <v>13</v>
      </c>
      <c r="T172" s="47" t="s">
        <v>19</v>
      </c>
      <c r="U172" s="47"/>
      <c r="V172" s="47" t="s">
        <v>7</v>
      </c>
      <c r="W172" s="47" t="s">
        <v>89</v>
      </c>
      <c r="X172" s="47" t="s">
        <v>7</v>
      </c>
      <c r="Y172" s="47" t="s">
        <v>114</v>
      </c>
      <c r="Z172" s="47" t="s">
        <v>7</v>
      </c>
      <c r="AA172" s="47" t="s">
        <v>7</v>
      </c>
      <c r="AB172" s="47" t="s">
        <v>7</v>
      </c>
      <c r="AC172" s="47" t="s">
        <v>7</v>
      </c>
      <c r="AD172" s="47" t="s">
        <v>7</v>
      </c>
      <c r="AE172" s="47" t="s">
        <v>7</v>
      </c>
    </row>
    <row r="173" spans="1:31" x14ac:dyDescent="0.3">
      <c r="A173" s="37">
        <f t="shared" ca="1" si="2"/>
        <v>486</v>
      </c>
      <c r="B173" s="37">
        <f t="shared" ca="1" si="3"/>
        <v>486</v>
      </c>
      <c r="C173" s="47">
        <v>76847</v>
      </c>
      <c r="D173" s="47" t="s">
        <v>376</v>
      </c>
      <c r="E173" s="47" t="s">
        <v>962</v>
      </c>
      <c r="F173" s="47" t="s">
        <v>146</v>
      </c>
      <c r="G173" s="47" t="s">
        <v>569</v>
      </c>
      <c r="H173" s="47" t="s">
        <v>81</v>
      </c>
      <c r="I173" s="47"/>
      <c r="J173" s="48">
        <v>42410.023888888885</v>
      </c>
      <c r="K173" s="47" t="s">
        <v>20</v>
      </c>
      <c r="L173" s="47" t="s">
        <v>569</v>
      </c>
      <c r="M173" s="48">
        <v>42410.023888888885</v>
      </c>
      <c r="N173" s="47" t="s">
        <v>40</v>
      </c>
      <c r="O173" s="47"/>
      <c r="P173" s="47"/>
      <c r="Q173" s="47" t="s">
        <v>17</v>
      </c>
      <c r="R173" s="47" t="s">
        <v>30</v>
      </c>
      <c r="S173" s="47" t="s">
        <v>13</v>
      </c>
      <c r="T173" s="47" t="s">
        <v>19</v>
      </c>
      <c r="U173" s="47"/>
      <c r="V173" s="47" t="s">
        <v>7</v>
      </c>
      <c r="W173" s="47" t="s">
        <v>10</v>
      </c>
      <c r="X173" s="47" t="s">
        <v>7</v>
      </c>
      <c r="Y173" s="47" t="s">
        <v>114</v>
      </c>
      <c r="Z173" s="47" t="s">
        <v>7</v>
      </c>
      <c r="AA173" s="47" t="s">
        <v>7</v>
      </c>
      <c r="AB173" s="47" t="s">
        <v>7</v>
      </c>
      <c r="AC173" s="47" t="s">
        <v>7</v>
      </c>
      <c r="AD173" s="47" t="s">
        <v>7</v>
      </c>
      <c r="AE173" s="47" t="s">
        <v>7</v>
      </c>
    </row>
    <row r="174" spans="1:31" x14ac:dyDescent="0.3">
      <c r="A174" s="37">
        <f t="shared" ca="1" si="2"/>
        <v>485</v>
      </c>
      <c r="B174" s="37">
        <f t="shared" ca="1" si="3"/>
        <v>485</v>
      </c>
      <c r="C174" s="47">
        <v>76924</v>
      </c>
      <c r="D174" s="47" t="s">
        <v>376</v>
      </c>
      <c r="E174" s="47" t="s">
        <v>963</v>
      </c>
      <c r="F174" s="47" t="s">
        <v>11</v>
      </c>
      <c r="G174" s="47" t="s">
        <v>569</v>
      </c>
      <c r="H174" s="47" t="s">
        <v>81</v>
      </c>
      <c r="I174" s="47"/>
      <c r="J174" s="48">
        <v>42411.02375</v>
      </c>
      <c r="K174" s="47" t="s">
        <v>20</v>
      </c>
      <c r="L174" s="47" t="s">
        <v>83</v>
      </c>
      <c r="M174" s="48">
        <v>42411.02375</v>
      </c>
      <c r="N174" s="47" t="s">
        <v>16</v>
      </c>
      <c r="O174" s="47"/>
      <c r="P174" s="47"/>
      <c r="Q174" s="47" t="s">
        <v>6</v>
      </c>
      <c r="R174" s="47" t="s">
        <v>30</v>
      </c>
      <c r="S174" s="47" t="s">
        <v>13</v>
      </c>
      <c r="T174" s="47" t="s">
        <v>19</v>
      </c>
      <c r="U174" s="47"/>
      <c r="V174" s="47" t="s">
        <v>7</v>
      </c>
      <c r="W174" s="47" t="s">
        <v>10</v>
      </c>
      <c r="X174" s="47" t="s">
        <v>7</v>
      </c>
      <c r="Y174" s="47" t="s">
        <v>114</v>
      </c>
      <c r="Z174" s="47" t="s">
        <v>7</v>
      </c>
      <c r="AA174" s="47" t="s">
        <v>7</v>
      </c>
      <c r="AB174" s="47" t="s">
        <v>7</v>
      </c>
      <c r="AC174" s="47" t="s">
        <v>7</v>
      </c>
      <c r="AD174" s="47" t="s">
        <v>7</v>
      </c>
      <c r="AE174" s="47" t="s">
        <v>7</v>
      </c>
    </row>
    <row r="175" spans="1:31" x14ac:dyDescent="0.3">
      <c r="A175" s="37">
        <f t="shared" ca="1" si="2"/>
        <v>485</v>
      </c>
      <c r="B175" s="37">
        <f t="shared" ca="1" si="3"/>
        <v>485</v>
      </c>
      <c r="C175" s="47">
        <v>76925</v>
      </c>
      <c r="D175" s="47" t="s">
        <v>667</v>
      </c>
      <c r="E175" s="47" t="s">
        <v>964</v>
      </c>
      <c r="F175" s="47" t="s">
        <v>11</v>
      </c>
      <c r="G175" s="47" t="s">
        <v>569</v>
      </c>
      <c r="H175" s="47" t="s">
        <v>81</v>
      </c>
      <c r="I175" s="47"/>
      <c r="J175" s="48">
        <v>42411.024004629631</v>
      </c>
      <c r="K175" s="47" t="s">
        <v>20</v>
      </c>
      <c r="L175" s="47" t="s">
        <v>569</v>
      </c>
      <c r="M175" s="48">
        <v>42411.024004629631</v>
      </c>
      <c r="N175" s="47" t="s">
        <v>116</v>
      </c>
      <c r="O175" s="47"/>
      <c r="P175" s="47" t="s">
        <v>53</v>
      </c>
      <c r="Q175" s="47" t="s">
        <v>6</v>
      </c>
      <c r="R175" s="47" t="s">
        <v>30</v>
      </c>
      <c r="S175" s="47" t="s">
        <v>13</v>
      </c>
      <c r="T175" s="47" t="s">
        <v>19</v>
      </c>
      <c r="U175" s="47"/>
      <c r="V175" s="47" t="s">
        <v>7</v>
      </c>
      <c r="W175" s="47" t="s">
        <v>10</v>
      </c>
      <c r="X175" s="47" t="s">
        <v>7</v>
      </c>
      <c r="Y175" s="47" t="s">
        <v>114</v>
      </c>
      <c r="Z175" s="47" t="s">
        <v>7</v>
      </c>
      <c r="AA175" s="47" t="s">
        <v>7</v>
      </c>
      <c r="AB175" s="47" t="s">
        <v>7</v>
      </c>
      <c r="AC175" s="47" t="s">
        <v>309</v>
      </c>
      <c r="AD175" s="47" t="s">
        <v>7</v>
      </c>
      <c r="AE175" s="47" t="s">
        <v>7</v>
      </c>
    </row>
    <row r="176" spans="1:31" x14ac:dyDescent="0.3">
      <c r="A176" s="37">
        <f t="shared" ca="1" si="2"/>
        <v>457</v>
      </c>
      <c r="B176" s="37">
        <f t="shared" ca="1" si="3"/>
        <v>485</v>
      </c>
      <c r="C176" s="47">
        <v>76926</v>
      </c>
      <c r="D176" s="47" t="s">
        <v>382</v>
      </c>
      <c r="E176" s="47" t="s">
        <v>965</v>
      </c>
      <c r="F176" s="47" t="s">
        <v>11</v>
      </c>
      <c r="G176" s="47" t="s">
        <v>569</v>
      </c>
      <c r="H176" s="47" t="s">
        <v>81</v>
      </c>
      <c r="I176" s="47"/>
      <c r="J176" s="48">
        <v>42438.577962962961</v>
      </c>
      <c r="K176" s="47" t="s">
        <v>20</v>
      </c>
      <c r="L176" s="47" t="s">
        <v>569</v>
      </c>
      <c r="M176" s="48">
        <v>42411.024305555555</v>
      </c>
      <c r="N176" s="47" t="s">
        <v>116</v>
      </c>
      <c r="O176" s="47"/>
      <c r="P176" s="47" t="s">
        <v>53</v>
      </c>
      <c r="Q176" s="47" t="s">
        <v>6</v>
      </c>
      <c r="R176" s="47" t="s">
        <v>30</v>
      </c>
      <c r="S176" s="47" t="s">
        <v>13</v>
      </c>
      <c r="T176" s="47" t="s">
        <v>587</v>
      </c>
      <c r="U176" s="47"/>
      <c r="V176" s="47" t="s">
        <v>7</v>
      </c>
      <c r="W176" s="47" t="s">
        <v>10</v>
      </c>
      <c r="X176" s="47" t="s">
        <v>44</v>
      </c>
      <c r="Y176" s="47" t="s">
        <v>114</v>
      </c>
      <c r="Z176" s="47" t="s">
        <v>7</v>
      </c>
      <c r="AA176" s="47" t="s">
        <v>7</v>
      </c>
      <c r="AB176" s="47" t="s">
        <v>7</v>
      </c>
      <c r="AC176" s="47" t="s">
        <v>309</v>
      </c>
      <c r="AD176" s="47" t="s">
        <v>7</v>
      </c>
      <c r="AE176" s="47" t="s">
        <v>7</v>
      </c>
    </row>
    <row r="177" spans="1:31" x14ac:dyDescent="0.3">
      <c r="A177" s="37">
        <f t="shared" ca="1" si="2"/>
        <v>473</v>
      </c>
      <c r="B177" s="37">
        <f t="shared" ca="1" si="3"/>
        <v>473</v>
      </c>
      <c r="C177" s="47">
        <v>77551</v>
      </c>
      <c r="D177" s="47" t="s">
        <v>337</v>
      </c>
      <c r="E177" s="47" t="s">
        <v>980</v>
      </c>
      <c r="F177" s="47" t="s">
        <v>11</v>
      </c>
      <c r="G177" s="47" t="s">
        <v>569</v>
      </c>
      <c r="H177" s="47" t="s">
        <v>81</v>
      </c>
      <c r="I177" s="47"/>
      <c r="J177" s="48">
        <v>42423.433449074073</v>
      </c>
      <c r="K177" s="47" t="s">
        <v>20</v>
      </c>
      <c r="L177" s="47" t="s">
        <v>569</v>
      </c>
      <c r="M177" s="48">
        <v>42423.433449074073</v>
      </c>
      <c r="N177" s="47" t="s">
        <v>628</v>
      </c>
      <c r="O177" s="47"/>
      <c r="P177" s="47"/>
      <c r="Q177" s="47" t="s">
        <v>6</v>
      </c>
      <c r="R177" s="47" t="s">
        <v>30</v>
      </c>
      <c r="S177" s="47" t="s">
        <v>8</v>
      </c>
      <c r="T177" s="47" t="s">
        <v>38</v>
      </c>
      <c r="U177" s="47"/>
      <c r="V177" s="47" t="s">
        <v>7</v>
      </c>
      <c r="W177" s="47" t="s">
        <v>10</v>
      </c>
      <c r="X177" s="47" t="s">
        <v>7</v>
      </c>
      <c r="Y177" s="47" t="s">
        <v>114</v>
      </c>
      <c r="Z177" s="47" t="s">
        <v>7</v>
      </c>
      <c r="AA177" s="47" t="s">
        <v>7</v>
      </c>
      <c r="AB177" s="47" t="s">
        <v>7</v>
      </c>
      <c r="AC177" s="47" t="s">
        <v>7</v>
      </c>
      <c r="AD177" s="47" t="s">
        <v>7</v>
      </c>
      <c r="AE177" s="47" t="s">
        <v>7</v>
      </c>
    </row>
    <row r="178" spans="1:31" x14ac:dyDescent="0.3">
      <c r="A178" s="37">
        <f t="shared" ca="1" si="2"/>
        <v>466</v>
      </c>
      <c r="B178" s="37">
        <f t="shared" ca="1" si="3"/>
        <v>469</v>
      </c>
      <c r="C178" s="47">
        <v>77826</v>
      </c>
      <c r="D178" s="47" t="s">
        <v>995</v>
      </c>
      <c r="E178" s="47" t="s">
        <v>996</v>
      </c>
      <c r="F178" s="47" t="s">
        <v>11</v>
      </c>
      <c r="G178" s="47" t="s">
        <v>569</v>
      </c>
      <c r="H178" s="47" t="s">
        <v>81</v>
      </c>
      <c r="I178" s="47"/>
      <c r="J178" s="48">
        <v>42429.341782407406</v>
      </c>
      <c r="K178" s="47" t="s">
        <v>20</v>
      </c>
      <c r="L178" s="47" t="s">
        <v>569</v>
      </c>
      <c r="M178" s="48">
        <v>42427.024351851855</v>
      </c>
      <c r="N178" s="47" t="s">
        <v>120</v>
      </c>
      <c r="O178" s="47"/>
      <c r="P178" s="47"/>
      <c r="Q178" s="47" t="s">
        <v>6</v>
      </c>
      <c r="R178" s="47" t="s">
        <v>30</v>
      </c>
      <c r="S178" s="47" t="s">
        <v>8</v>
      </c>
      <c r="T178" s="47" t="s">
        <v>38</v>
      </c>
      <c r="U178" s="47"/>
      <c r="V178" s="47" t="s">
        <v>7</v>
      </c>
      <c r="W178" s="47" t="s">
        <v>10</v>
      </c>
      <c r="X178" s="47" t="s">
        <v>7</v>
      </c>
      <c r="Y178" s="47" t="s">
        <v>114</v>
      </c>
      <c r="Z178" s="47" t="s">
        <v>7</v>
      </c>
      <c r="AA178" s="47" t="s">
        <v>7</v>
      </c>
      <c r="AB178" s="47" t="s">
        <v>7</v>
      </c>
      <c r="AC178" s="47" t="s">
        <v>7</v>
      </c>
      <c r="AD178" s="47" t="s">
        <v>7</v>
      </c>
      <c r="AE178" s="47" t="s">
        <v>7</v>
      </c>
    </row>
    <row r="179" spans="1:31" x14ac:dyDescent="0.3">
      <c r="A179" s="37">
        <f t="shared" ca="1" si="2"/>
        <v>464</v>
      </c>
      <c r="B179" s="37">
        <f t="shared" ca="1" si="3"/>
        <v>464</v>
      </c>
      <c r="C179" s="47">
        <v>78080</v>
      </c>
      <c r="D179" s="47" t="s">
        <v>695</v>
      </c>
      <c r="E179" s="47" t="s">
        <v>998</v>
      </c>
      <c r="F179" s="47" t="s">
        <v>146</v>
      </c>
      <c r="G179" s="47" t="s">
        <v>569</v>
      </c>
      <c r="H179" s="47" t="s">
        <v>81</v>
      </c>
      <c r="I179" s="47"/>
      <c r="J179" s="48">
        <v>42431.525416666664</v>
      </c>
      <c r="K179" s="47" t="s">
        <v>20</v>
      </c>
      <c r="L179" s="47" t="s">
        <v>999</v>
      </c>
      <c r="M179" s="48">
        <v>42431.525416666664</v>
      </c>
      <c r="N179" s="47" t="s">
        <v>1000</v>
      </c>
      <c r="O179" s="47"/>
      <c r="P179" s="47"/>
      <c r="Q179" s="47" t="s">
        <v>17</v>
      </c>
      <c r="R179" s="47" t="s">
        <v>30</v>
      </c>
      <c r="S179" s="47" t="s">
        <v>13</v>
      </c>
      <c r="T179" s="47" t="s">
        <v>19</v>
      </c>
      <c r="U179" s="47"/>
      <c r="V179" s="47" t="s">
        <v>7</v>
      </c>
      <c r="W179" s="47" t="s">
        <v>10</v>
      </c>
      <c r="X179" s="47" t="s">
        <v>7</v>
      </c>
      <c r="Y179" s="47" t="s">
        <v>114</v>
      </c>
      <c r="Z179" s="47" t="s">
        <v>7</v>
      </c>
      <c r="AA179" s="47" t="s">
        <v>7</v>
      </c>
      <c r="AB179" s="47" t="s">
        <v>7</v>
      </c>
      <c r="AC179" s="47" t="s">
        <v>7</v>
      </c>
      <c r="AD179" s="47" t="s">
        <v>7</v>
      </c>
      <c r="AE179" s="47" t="s">
        <v>7</v>
      </c>
    </row>
    <row r="180" spans="1:31" x14ac:dyDescent="0.3">
      <c r="A180" s="37">
        <f t="shared" ca="1" si="2"/>
        <v>462</v>
      </c>
      <c r="B180" s="37">
        <f t="shared" ca="1" si="3"/>
        <v>462</v>
      </c>
      <c r="C180" s="47">
        <v>78201</v>
      </c>
      <c r="D180" s="47" t="s">
        <v>339</v>
      </c>
      <c r="E180" s="47" t="s">
        <v>1029</v>
      </c>
      <c r="F180" s="47" t="s">
        <v>11</v>
      </c>
      <c r="G180" s="47" t="s">
        <v>569</v>
      </c>
      <c r="H180" s="47" t="s">
        <v>81</v>
      </c>
      <c r="I180" s="47"/>
      <c r="J180" s="48">
        <v>42433.02484953704</v>
      </c>
      <c r="K180" s="47" t="s">
        <v>20</v>
      </c>
      <c r="L180" s="47" t="s">
        <v>999</v>
      </c>
      <c r="M180" s="48">
        <v>42433.02484953704</v>
      </c>
      <c r="N180" s="47" t="s">
        <v>1000</v>
      </c>
      <c r="O180" s="47"/>
      <c r="P180" s="47"/>
      <c r="Q180" s="47" t="s">
        <v>6</v>
      </c>
      <c r="R180" s="47" t="s">
        <v>30</v>
      </c>
      <c r="S180" s="47" t="s">
        <v>24</v>
      </c>
      <c r="T180" s="47" t="s">
        <v>46</v>
      </c>
      <c r="U180" s="47"/>
      <c r="V180" s="47" t="s">
        <v>7</v>
      </c>
      <c r="W180" s="47" t="s">
        <v>10</v>
      </c>
      <c r="X180" s="47" t="s">
        <v>7</v>
      </c>
      <c r="Y180" s="47" t="s">
        <v>114</v>
      </c>
      <c r="Z180" s="47" t="s">
        <v>7</v>
      </c>
      <c r="AA180" s="47" t="s">
        <v>7</v>
      </c>
      <c r="AB180" s="47" t="s">
        <v>7</v>
      </c>
      <c r="AC180" s="47" t="s">
        <v>7</v>
      </c>
      <c r="AD180" s="47" t="s">
        <v>7</v>
      </c>
      <c r="AE180" s="47" t="s">
        <v>7</v>
      </c>
    </row>
    <row r="181" spans="1:31" x14ac:dyDescent="0.3">
      <c r="A181" s="37">
        <f t="shared" ca="1" si="2"/>
        <v>458</v>
      </c>
      <c r="B181" s="37">
        <f t="shared" ca="1" si="3"/>
        <v>458</v>
      </c>
      <c r="C181" s="47">
        <v>78367</v>
      </c>
      <c r="D181" s="47" t="s">
        <v>376</v>
      </c>
      <c r="E181" s="47" t="s">
        <v>1030</v>
      </c>
      <c r="F181" s="47" t="s">
        <v>146</v>
      </c>
      <c r="G181" s="47" t="s">
        <v>569</v>
      </c>
      <c r="H181" s="47" t="s">
        <v>81</v>
      </c>
      <c r="I181" s="47"/>
      <c r="J181" s="48">
        <v>42437.02449074074</v>
      </c>
      <c r="K181" s="47" t="s">
        <v>20</v>
      </c>
      <c r="L181" s="47" t="s">
        <v>26</v>
      </c>
      <c r="M181" s="48">
        <v>42437.02449074074</v>
      </c>
      <c r="N181" s="47" t="s">
        <v>50</v>
      </c>
      <c r="O181" s="47"/>
      <c r="P181" s="47"/>
      <c r="Q181" s="47" t="s">
        <v>1031</v>
      </c>
      <c r="R181" s="47" t="s">
        <v>30</v>
      </c>
      <c r="S181" s="47" t="s">
        <v>13</v>
      </c>
      <c r="T181" s="47" t="s">
        <v>19</v>
      </c>
      <c r="U181" s="47"/>
      <c r="V181" s="47" t="s">
        <v>7</v>
      </c>
      <c r="W181" s="47" t="s">
        <v>10</v>
      </c>
      <c r="X181" s="47" t="s">
        <v>7</v>
      </c>
      <c r="Y181" s="47" t="s">
        <v>1031</v>
      </c>
      <c r="Z181" s="47" t="s">
        <v>7</v>
      </c>
      <c r="AA181" s="47" t="s">
        <v>7</v>
      </c>
      <c r="AB181" s="47" t="s">
        <v>7</v>
      </c>
      <c r="AC181" s="47" t="s">
        <v>7</v>
      </c>
      <c r="AD181" s="47" t="s">
        <v>7</v>
      </c>
      <c r="AE181" s="47" t="s">
        <v>7</v>
      </c>
    </row>
    <row r="182" spans="1:31" x14ac:dyDescent="0.3">
      <c r="A182" s="37">
        <f t="shared" ca="1" si="2"/>
        <v>451</v>
      </c>
      <c r="B182" s="37">
        <f t="shared" ca="1" si="3"/>
        <v>456</v>
      </c>
      <c r="C182" s="47">
        <v>78537</v>
      </c>
      <c r="D182" s="47" t="s">
        <v>995</v>
      </c>
      <c r="E182" s="47" t="s">
        <v>1032</v>
      </c>
      <c r="F182" s="47" t="s">
        <v>11</v>
      </c>
      <c r="G182" s="47" t="s">
        <v>569</v>
      </c>
      <c r="H182" s="47" t="s">
        <v>81</v>
      </c>
      <c r="I182" s="47"/>
      <c r="J182" s="48">
        <v>42444.54247685185</v>
      </c>
      <c r="K182" s="47" t="s">
        <v>20</v>
      </c>
      <c r="L182" s="47" t="s">
        <v>48</v>
      </c>
      <c r="M182" s="48">
        <v>42439.024965277778</v>
      </c>
      <c r="N182" s="47" t="s">
        <v>16</v>
      </c>
      <c r="O182" s="47"/>
      <c r="P182" s="47" t="s">
        <v>366</v>
      </c>
      <c r="Q182" s="47" t="s">
        <v>6</v>
      </c>
      <c r="R182" s="47" t="s">
        <v>30</v>
      </c>
      <c r="S182" s="47" t="s">
        <v>8</v>
      </c>
      <c r="T182" s="47" t="s">
        <v>122</v>
      </c>
      <c r="U182" s="47"/>
      <c r="V182" s="47" t="s">
        <v>7</v>
      </c>
      <c r="W182" s="47" t="s">
        <v>10</v>
      </c>
      <c r="X182" s="47" t="s">
        <v>7</v>
      </c>
      <c r="Y182" s="47" t="s">
        <v>114</v>
      </c>
      <c r="Z182" s="47" t="s">
        <v>7</v>
      </c>
      <c r="AA182" s="47" t="s">
        <v>7</v>
      </c>
      <c r="AB182" s="47" t="s">
        <v>7</v>
      </c>
      <c r="AC182" s="47" t="s">
        <v>7</v>
      </c>
      <c r="AD182" s="47" t="s">
        <v>7</v>
      </c>
      <c r="AE182" s="47" t="s">
        <v>7</v>
      </c>
    </row>
    <row r="183" spans="1:31" x14ac:dyDescent="0.3">
      <c r="A183" s="37">
        <f t="shared" ca="1" si="2"/>
        <v>452</v>
      </c>
      <c r="B183" s="37">
        <f t="shared" ca="1" si="3"/>
        <v>454</v>
      </c>
      <c r="C183" s="47">
        <v>78682</v>
      </c>
      <c r="D183" s="47" t="s">
        <v>339</v>
      </c>
      <c r="E183" s="47" t="s">
        <v>1033</v>
      </c>
      <c r="F183" s="47" t="s">
        <v>146</v>
      </c>
      <c r="G183" s="47" t="s">
        <v>569</v>
      </c>
      <c r="H183" s="47" t="s">
        <v>81</v>
      </c>
      <c r="I183" s="47"/>
      <c r="J183" s="48">
        <v>42443.559328703705</v>
      </c>
      <c r="K183" s="47" t="s">
        <v>20</v>
      </c>
      <c r="L183" s="47" t="s">
        <v>1034</v>
      </c>
      <c r="M183" s="48">
        <v>42441.024548611109</v>
      </c>
      <c r="N183" s="47" t="s">
        <v>154</v>
      </c>
      <c r="O183" s="47"/>
      <c r="P183" s="47"/>
      <c r="Q183" s="47" t="s">
        <v>1031</v>
      </c>
      <c r="R183" s="47" t="s">
        <v>30</v>
      </c>
      <c r="S183" s="47" t="s">
        <v>8</v>
      </c>
      <c r="T183" s="47" t="s">
        <v>1035</v>
      </c>
      <c r="U183" s="47"/>
      <c r="V183" s="47" t="s">
        <v>7</v>
      </c>
      <c r="W183" s="47" t="s">
        <v>10</v>
      </c>
      <c r="X183" s="47" t="s">
        <v>7</v>
      </c>
      <c r="Y183" s="47" t="s">
        <v>1031</v>
      </c>
      <c r="Z183" s="47" t="s">
        <v>7</v>
      </c>
      <c r="AA183" s="47" t="s">
        <v>7</v>
      </c>
      <c r="AB183" s="47" t="s">
        <v>7</v>
      </c>
      <c r="AC183" s="47" t="s">
        <v>7</v>
      </c>
      <c r="AD183" s="47" t="s">
        <v>7</v>
      </c>
      <c r="AE183" s="47" t="s">
        <v>7</v>
      </c>
    </row>
    <row r="184" spans="1:31" x14ac:dyDescent="0.3">
      <c r="A184" s="37">
        <f t="shared" ca="1" si="2"/>
        <v>452</v>
      </c>
      <c r="B184" s="37">
        <f t="shared" ca="1" si="3"/>
        <v>452</v>
      </c>
      <c r="C184" s="47">
        <v>78770</v>
      </c>
      <c r="D184" s="47" t="s">
        <v>338</v>
      </c>
      <c r="E184" s="47" t="s">
        <v>1036</v>
      </c>
      <c r="F184" s="47" t="s">
        <v>11</v>
      </c>
      <c r="G184" s="47" t="s">
        <v>569</v>
      </c>
      <c r="H184" s="47" t="s">
        <v>81</v>
      </c>
      <c r="I184" s="47"/>
      <c r="J184" s="48">
        <v>42443.926701388889</v>
      </c>
      <c r="K184" s="47" t="s">
        <v>20</v>
      </c>
      <c r="L184" s="47" t="s">
        <v>48</v>
      </c>
      <c r="M184" s="48">
        <v>42443.926701388889</v>
      </c>
      <c r="N184" s="47" t="s">
        <v>16</v>
      </c>
      <c r="O184" s="47"/>
      <c r="P184" s="47" t="s">
        <v>366</v>
      </c>
      <c r="Q184" s="47" t="s">
        <v>6</v>
      </c>
      <c r="R184" s="47" t="s">
        <v>30</v>
      </c>
      <c r="S184" s="47" t="s">
        <v>8</v>
      </c>
      <c r="T184" s="47" t="s">
        <v>153</v>
      </c>
      <c r="U184" s="47"/>
      <c r="V184" s="47" t="s">
        <v>7</v>
      </c>
      <c r="W184" s="47" t="s">
        <v>10</v>
      </c>
      <c r="X184" s="47" t="s">
        <v>7</v>
      </c>
      <c r="Y184" s="47" t="s">
        <v>114</v>
      </c>
      <c r="Z184" s="47" t="s">
        <v>7</v>
      </c>
      <c r="AA184" s="47" t="s">
        <v>7</v>
      </c>
      <c r="AB184" s="47" t="s">
        <v>7</v>
      </c>
      <c r="AC184" s="47" t="s">
        <v>7</v>
      </c>
      <c r="AD184" s="47" t="s">
        <v>7</v>
      </c>
      <c r="AE184" s="47" t="s">
        <v>7</v>
      </c>
    </row>
    <row r="185" spans="1:31" x14ac:dyDescent="0.3">
      <c r="A185" s="37">
        <f t="shared" ca="1" si="2"/>
        <v>450</v>
      </c>
      <c r="B185" s="37">
        <f t="shared" ca="1" si="3"/>
        <v>451</v>
      </c>
      <c r="C185" s="47">
        <v>78790</v>
      </c>
      <c r="D185" s="47" t="s">
        <v>337</v>
      </c>
      <c r="E185" s="47" t="s">
        <v>1037</v>
      </c>
      <c r="F185" s="47" t="s">
        <v>11</v>
      </c>
      <c r="G185" s="47" t="s">
        <v>569</v>
      </c>
      <c r="H185" s="47" t="s">
        <v>81</v>
      </c>
      <c r="I185" s="47"/>
      <c r="J185" s="48">
        <v>42445.318981481483</v>
      </c>
      <c r="K185" s="47" t="s">
        <v>20</v>
      </c>
      <c r="L185" s="47" t="s">
        <v>569</v>
      </c>
      <c r="M185" s="48">
        <v>42444.024652777778</v>
      </c>
      <c r="N185" s="47" t="s">
        <v>982</v>
      </c>
      <c r="O185" s="47"/>
      <c r="P185" s="47"/>
      <c r="Q185" s="47" t="s">
        <v>6</v>
      </c>
      <c r="R185" s="47" t="s">
        <v>30</v>
      </c>
      <c r="S185" s="47" t="s">
        <v>8</v>
      </c>
      <c r="T185" s="47" t="s">
        <v>38</v>
      </c>
      <c r="U185" s="47"/>
      <c r="V185" s="47" t="s">
        <v>7</v>
      </c>
      <c r="W185" s="47" t="s">
        <v>10</v>
      </c>
      <c r="X185" s="47" t="s">
        <v>7</v>
      </c>
      <c r="Y185" s="47" t="s">
        <v>114</v>
      </c>
      <c r="Z185" s="47" t="s">
        <v>7</v>
      </c>
      <c r="AA185" s="47" t="s">
        <v>7</v>
      </c>
      <c r="AB185" s="47" t="s">
        <v>7</v>
      </c>
      <c r="AC185" s="47" t="s">
        <v>7</v>
      </c>
      <c r="AD185" s="47" t="s">
        <v>7</v>
      </c>
      <c r="AE185" s="47" t="s">
        <v>7</v>
      </c>
    </row>
    <row r="186" spans="1:31" x14ac:dyDescent="0.3">
      <c r="A186" s="37">
        <f t="shared" ca="1" si="2"/>
        <v>451</v>
      </c>
      <c r="B186" s="37">
        <f t="shared" ca="1" si="3"/>
        <v>451</v>
      </c>
      <c r="C186" s="47">
        <v>78861</v>
      </c>
      <c r="D186" s="47" t="s">
        <v>339</v>
      </c>
      <c r="E186" s="47" t="s">
        <v>1038</v>
      </c>
      <c r="F186" s="47" t="s">
        <v>146</v>
      </c>
      <c r="G186" s="47" t="s">
        <v>569</v>
      </c>
      <c r="H186" s="47" t="s">
        <v>81</v>
      </c>
      <c r="I186" s="47"/>
      <c r="J186" s="48">
        <v>42444.525011574071</v>
      </c>
      <c r="K186" s="47" t="s">
        <v>20</v>
      </c>
      <c r="L186" s="47" t="s">
        <v>26</v>
      </c>
      <c r="M186" s="48">
        <v>42444.525011574071</v>
      </c>
      <c r="N186" s="47" t="s">
        <v>50</v>
      </c>
      <c r="O186" s="47"/>
      <c r="P186" s="47"/>
      <c r="Q186" s="47" t="s">
        <v>1031</v>
      </c>
      <c r="R186" s="47" t="s">
        <v>30</v>
      </c>
      <c r="S186" s="47" t="s">
        <v>8</v>
      </c>
      <c r="T186" s="47" t="s">
        <v>122</v>
      </c>
      <c r="U186" s="47"/>
      <c r="V186" s="47" t="s">
        <v>7</v>
      </c>
      <c r="W186" s="47" t="s">
        <v>10</v>
      </c>
      <c r="X186" s="47" t="s">
        <v>7</v>
      </c>
      <c r="Y186" s="47" t="s">
        <v>1031</v>
      </c>
      <c r="Z186" s="47" t="s">
        <v>7</v>
      </c>
      <c r="AA186" s="47" t="s">
        <v>7</v>
      </c>
      <c r="AB186" s="47" t="s">
        <v>7</v>
      </c>
      <c r="AC186" s="47" t="s">
        <v>7</v>
      </c>
      <c r="AD186" s="47" t="s">
        <v>7</v>
      </c>
      <c r="AE186" s="47" t="s">
        <v>7</v>
      </c>
    </row>
    <row r="187" spans="1:31" x14ac:dyDescent="0.3">
      <c r="A187" s="37">
        <f t="shared" ca="1" si="2"/>
        <v>450</v>
      </c>
      <c r="B187" s="37">
        <f t="shared" ca="1" si="3"/>
        <v>450</v>
      </c>
      <c r="C187" s="47">
        <v>78957</v>
      </c>
      <c r="D187" s="47" t="s">
        <v>338</v>
      </c>
      <c r="E187" s="47" t="s">
        <v>1039</v>
      </c>
      <c r="F187" s="47" t="s">
        <v>11</v>
      </c>
      <c r="G187" s="47" t="s">
        <v>569</v>
      </c>
      <c r="H187" s="47" t="s">
        <v>81</v>
      </c>
      <c r="I187" s="47"/>
      <c r="J187" s="48">
        <v>42445.524699074071</v>
      </c>
      <c r="K187" s="47" t="s">
        <v>20</v>
      </c>
      <c r="L187" s="47" t="s">
        <v>48</v>
      </c>
      <c r="M187" s="48">
        <v>42445.524699074071</v>
      </c>
      <c r="N187" s="47" t="s">
        <v>16</v>
      </c>
      <c r="O187" s="47"/>
      <c r="P187" s="47"/>
      <c r="Q187" s="47" t="s">
        <v>6</v>
      </c>
      <c r="R187" s="47" t="s">
        <v>30</v>
      </c>
      <c r="S187" s="47" t="s">
        <v>8</v>
      </c>
      <c r="T187" s="47" t="s">
        <v>122</v>
      </c>
      <c r="U187" s="47"/>
      <c r="V187" s="47" t="s">
        <v>7</v>
      </c>
      <c r="W187" s="47" t="s">
        <v>10</v>
      </c>
      <c r="X187" s="47" t="s">
        <v>7</v>
      </c>
      <c r="Y187" s="47" t="s">
        <v>114</v>
      </c>
      <c r="Z187" s="47" t="s">
        <v>7</v>
      </c>
      <c r="AA187" s="47" t="s">
        <v>7</v>
      </c>
      <c r="AB187" s="47" t="s">
        <v>7</v>
      </c>
      <c r="AC187" s="47" t="s">
        <v>7</v>
      </c>
      <c r="AD187" s="47" t="s">
        <v>7</v>
      </c>
      <c r="AE187" s="47" t="s">
        <v>7</v>
      </c>
    </row>
    <row r="188" spans="1:31" x14ac:dyDescent="0.3">
      <c r="A188" s="37">
        <f t="shared" ca="1" si="2"/>
        <v>449</v>
      </c>
      <c r="B188" s="37">
        <f t="shared" ca="1" si="3"/>
        <v>449</v>
      </c>
      <c r="C188" s="47">
        <v>79034</v>
      </c>
      <c r="D188" s="47" t="s">
        <v>376</v>
      </c>
      <c r="E188" s="47" t="s">
        <v>1040</v>
      </c>
      <c r="F188" s="47" t="s">
        <v>11</v>
      </c>
      <c r="G188" s="47" t="s">
        <v>569</v>
      </c>
      <c r="H188" s="47" t="s">
        <v>81</v>
      </c>
      <c r="I188" s="47"/>
      <c r="J188" s="48">
        <v>42446.526030092595</v>
      </c>
      <c r="K188" s="47" t="s">
        <v>20</v>
      </c>
      <c r="L188" s="47" t="s">
        <v>80</v>
      </c>
      <c r="M188" s="48">
        <v>42446.524780092594</v>
      </c>
      <c r="N188" s="47" t="s">
        <v>16</v>
      </c>
      <c r="O188" s="47"/>
      <c r="P188" s="47"/>
      <c r="Q188" s="47" t="s">
        <v>6</v>
      </c>
      <c r="R188" s="47" t="s">
        <v>30</v>
      </c>
      <c r="S188" s="47" t="s">
        <v>13</v>
      </c>
      <c r="T188" s="47" t="s">
        <v>19</v>
      </c>
      <c r="U188" s="47"/>
      <c r="V188" s="47" t="s">
        <v>7</v>
      </c>
      <c r="W188" s="47" t="s">
        <v>10</v>
      </c>
      <c r="X188" s="47" t="s">
        <v>7</v>
      </c>
      <c r="Y188" s="47" t="s">
        <v>114</v>
      </c>
      <c r="Z188" s="47" t="s">
        <v>7</v>
      </c>
      <c r="AA188" s="47" t="s">
        <v>7</v>
      </c>
      <c r="AB188" s="47" t="s">
        <v>7</v>
      </c>
      <c r="AC188" s="47" t="s">
        <v>7</v>
      </c>
      <c r="AD188" s="47" t="s">
        <v>7</v>
      </c>
      <c r="AE188" s="47" t="s">
        <v>7</v>
      </c>
    </row>
    <row r="189" spans="1:31" x14ac:dyDescent="0.3">
      <c r="A189" s="37">
        <f t="shared" ca="1" si="2"/>
        <v>449</v>
      </c>
      <c r="B189" s="37">
        <f t="shared" ca="1" si="3"/>
        <v>449</v>
      </c>
      <c r="C189" s="47">
        <v>79036</v>
      </c>
      <c r="D189" s="47" t="s">
        <v>695</v>
      </c>
      <c r="E189" s="47" t="s">
        <v>1041</v>
      </c>
      <c r="F189" s="47" t="s">
        <v>146</v>
      </c>
      <c r="G189" s="47" t="s">
        <v>569</v>
      </c>
      <c r="H189" s="47" t="s">
        <v>81</v>
      </c>
      <c r="I189" s="47"/>
      <c r="J189" s="48">
        <v>42446.99287037037</v>
      </c>
      <c r="K189" s="47" t="s">
        <v>20</v>
      </c>
      <c r="L189" s="47" t="s">
        <v>45</v>
      </c>
      <c r="M189" s="48">
        <v>42446.525208333333</v>
      </c>
      <c r="N189" s="47" t="s">
        <v>16</v>
      </c>
      <c r="O189" s="47"/>
      <c r="P189" s="47"/>
      <c r="Q189" s="47" t="s">
        <v>17</v>
      </c>
      <c r="R189" s="47" t="s">
        <v>30</v>
      </c>
      <c r="S189" s="47" t="s">
        <v>13</v>
      </c>
      <c r="T189" s="47" t="s">
        <v>19</v>
      </c>
      <c r="U189" s="47"/>
      <c r="V189" s="47" t="s">
        <v>7</v>
      </c>
      <c r="W189" s="47" t="s">
        <v>10</v>
      </c>
      <c r="X189" s="47" t="s">
        <v>7</v>
      </c>
      <c r="Y189" s="47" t="s">
        <v>114</v>
      </c>
      <c r="Z189" s="47" t="s">
        <v>7</v>
      </c>
      <c r="AA189" s="47" t="s">
        <v>7</v>
      </c>
      <c r="AB189" s="47" t="s">
        <v>7</v>
      </c>
      <c r="AC189" s="47" t="s">
        <v>7</v>
      </c>
      <c r="AD189" s="47" t="s">
        <v>7</v>
      </c>
      <c r="AE189" s="47" t="s">
        <v>7</v>
      </c>
    </row>
    <row r="190" spans="1:31" x14ac:dyDescent="0.3">
      <c r="A190" s="37">
        <f t="shared" ca="1" si="2"/>
        <v>445</v>
      </c>
      <c r="B190" s="37">
        <f t="shared" ca="1" si="3"/>
        <v>445</v>
      </c>
      <c r="C190" s="47">
        <v>79193</v>
      </c>
      <c r="D190" s="47" t="s">
        <v>374</v>
      </c>
      <c r="E190" s="47" t="s">
        <v>1042</v>
      </c>
      <c r="F190" s="47" t="s">
        <v>146</v>
      </c>
      <c r="G190" s="47" t="s">
        <v>569</v>
      </c>
      <c r="H190" s="47" t="s">
        <v>81</v>
      </c>
      <c r="I190" s="47"/>
      <c r="J190" s="48">
        <v>42450.524814814817</v>
      </c>
      <c r="K190" s="47" t="s">
        <v>20</v>
      </c>
      <c r="L190" s="47" t="s">
        <v>569</v>
      </c>
      <c r="M190" s="48">
        <v>42450.524814814817</v>
      </c>
      <c r="N190" s="47" t="s">
        <v>994</v>
      </c>
      <c r="O190" s="47"/>
      <c r="P190" s="47"/>
      <c r="Q190" s="47" t="s">
        <v>17</v>
      </c>
      <c r="R190" s="47" t="s">
        <v>30</v>
      </c>
      <c r="S190" s="47" t="s">
        <v>13</v>
      </c>
      <c r="T190" s="47" t="s">
        <v>292</v>
      </c>
      <c r="U190" s="47"/>
      <c r="V190" s="47" t="s">
        <v>7</v>
      </c>
      <c r="W190" s="47" t="s">
        <v>10</v>
      </c>
      <c r="X190" s="47" t="s">
        <v>7</v>
      </c>
      <c r="Y190" s="47" t="s">
        <v>114</v>
      </c>
      <c r="Z190" s="47" t="s">
        <v>7</v>
      </c>
      <c r="AA190" s="47" t="s">
        <v>7</v>
      </c>
      <c r="AB190" s="47" t="s">
        <v>7</v>
      </c>
      <c r="AC190" s="47" t="s">
        <v>7</v>
      </c>
      <c r="AD190" s="47" t="s">
        <v>7</v>
      </c>
      <c r="AE190" s="47" t="s">
        <v>7</v>
      </c>
    </row>
    <row r="191" spans="1:31" x14ac:dyDescent="0.3">
      <c r="A191" s="37">
        <f t="shared" ca="1" si="2"/>
        <v>444</v>
      </c>
      <c r="B191" s="37">
        <f t="shared" ca="1" si="3"/>
        <v>444</v>
      </c>
      <c r="C191" s="47">
        <v>79291</v>
      </c>
      <c r="D191" s="47" t="s">
        <v>376</v>
      </c>
      <c r="E191" s="47" t="s">
        <v>1043</v>
      </c>
      <c r="F191" s="47" t="s">
        <v>146</v>
      </c>
      <c r="G191" s="47" t="s">
        <v>569</v>
      </c>
      <c r="H191" s="47" t="s">
        <v>81</v>
      </c>
      <c r="I191" s="47"/>
      <c r="J191" s="48">
        <v>42451.452685185184</v>
      </c>
      <c r="K191" s="47" t="s">
        <v>20</v>
      </c>
      <c r="L191" s="47" t="s">
        <v>48</v>
      </c>
      <c r="M191" s="48">
        <v>42451.452685185184</v>
      </c>
      <c r="N191" s="47" t="s">
        <v>242</v>
      </c>
      <c r="O191" s="47"/>
      <c r="P191" s="47"/>
      <c r="Q191" s="47" t="s">
        <v>17</v>
      </c>
      <c r="R191" s="47" t="s">
        <v>30</v>
      </c>
      <c r="S191" s="47" t="s">
        <v>13</v>
      </c>
      <c r="T191" s="47" t="s">
        <v>19</v>
      </c>
      <c r="U191" s="47"/>
      <c r="V191" s="47" t="s">
        <v>7</v>
      </c>
      <c r="W191" s="47" t="s">
        <v>10</v>
      </c>
      <c r="X191" s="47" t="s">
        <v>7</v>
      </c>
      <c r="Y191" s="47" t="s">
        <v>114</v>
      </c>
      <c r="Z191" s="47" t="s">
        <v>7</v>
      </c>
      <c r="AA191" s="47" t="s">
        <v>7</v>
      </c>
      <c r="AB191" s="47" t="s">
        <v>7</v>
      </c>
      <c r="AC191" s="47" t="s">
        <v>7</v>
      </c>
      <c r="AD191" s="47" t="s">
        <v>7</v>
      </c>
      <c r="AE191" s="47" t="s">
        <v>7</v>
      </c>
    </row>
    <row r="192" spans="1:31" x14ac:dyDescent="0.3">
      <c r="A192" s="37">
        <f t="shared" ca="1" si="2"/>
        <v>42286</v>
      </c>
      <c r="B192" s="37">
        <f t="shared" ca="1" si="3"/>
        <v>42286</v>
      </c>
      <c r="C192" s="37"/>
      <c r="D192" s="37"/>
      <c r="E192" s="37"/>
      <c r="F192" s="37"/>
      <c r="G192" s="37"/>
      <c r="H192" s="37"/>
      <c r="I192" s="37"/>
      <c r="J192" s="38"/>
      <c r="K192" s="37"/>
      <c r="L192" s="37"/>
      <c r="M192" s="38"/>
      <c r="N192" s="37"/>
      <c r="O192" s="37"/>
      <c r="P192" s="37"/>
      <c r="Q192" s="37"/>
      <c r="R192" s="37"/>
      <c r="S192" s="37"/>
      <c r="T192" s="37"/>
      <c r="U192" s="37"/>
      <c r="V192" s="37"/>
      <c r="W192" s="37"/>
      <c r="X192" s="37"/>
      <c r="Y192" s="37"/>
      <c r="Z192" s="37"/>
      <c r="AA192" s="37"/>
      <c r="AB192" s="37"/>
      <c r="AC192" s="37"/>
      <c r="AD192" s="37"/>
      <c r="AE192" s="37"/>
    </row>
    <row r="193" spans="1:31" x14ac:dyDescent="0.3">
      <c r="A193" s="37">
        <f t="shared" ca="1" si="2"/>
        <v>42286</v>
      </c>
      <c r="B193" s="37">
        <f t="shared" ca="1" si="3"/>
        <v>42286</v>
      </c>
      <c r="C193" s="37"/>
      <c r="D193" s="37"/>
      <c r="E193" s="37"/>
      <c r="F193" s="37"/>
      <c r="G193" s="37"/>
      <c r="H193" s="37"/>
      <c r="I193" s="37"/>
      <c r="J193" s="38"/>
      <c r="K193" s="37"/>
      <c r="L193" s="37"/>
      <c r="M193" s="38"/>
      <c r="N193" s="37"/>
      <c r="O193" s="37"/>
      <c r="P193" s="37"/>
      <c r="Q193" s="37"/>
      <c r="R193" s="37"/>
      <c r="S193" s="37"/>
      <c r="T193" s="37"/>
      <c r="U193" s="37"/>
      <c r="V193" s="37"/>
      <c r="W193" s="37"/>
      <c r="X193" s="37"/>
      <c r="Y193" s="37"/>
      <c r="Z193" s="37"/>
      <c r="AA193" s="37"/>
      <c r="AB193" s="37"/>
      <c r="AC193" s="37"/>
      <c r="AD193" s="37"/>
      <c r="AE193" s="37"/>
    </row>
    <row r="194" spans="1:31" x14ac:dyDescent="0.3">
      <c r="A194" s="37">
        <f t="shared" ca="1" si="2"/>
        <v>42286</v>
      </c>
      <c r="B194" s="37">
        <f t="shared" ca="1" si="3"/>
        <v>42286</v>
      </c>
      <c r="C194" s="37"/>
      <c r="D194" s="37"/>
      <c r="E194" s="37"/>
      <c r="F194" s="37"/>
      <c r="G194" s="37"/>
      <c r="H194" s="37"/>
      <c r="I194" s="37"/>
      <c r="J194" s="38"/>
      <c r="K194" s="37"/>
      <c r="L194" s="37"/>
      <c r="M194" s="38"/>
      <c r="N194" s="37"/>
      <c r="O194" s="37"/>
      <c r="P194" s="37"/>
      <c r="Q194" s="37"/>
      <c r="R194" s="37"/>
      <c r="S194" s="37"/>
      <c r="T194" s="37"/>
      <c r="U194" s="37"/>
      <c r="V194" s="37"/>
      <c r="W194" s="37"/>
      <c r="X194" s="37"/>
      <c r="Y194" s="37"/>
      <c r="Z194" s="37"/>
      <c r="AA194" s="37"/>
      <c r="AB194" s="37"/>
      <c r="AC194" s="37"/>
      <c r="AD194" s="37"/>
      <c r="AE194" s="37"/>
    </row>
    <row r="195" spans="1:31" x14ac:dyDescent="0.3">
      <c r="A195" s="37">
        <f t="shared" ca="1" si="2"/>
        <v>42286</v>
      </c>
      <c r="B195" s="37">
        <f t="shared" ca="1" si="3"/>
        <v>42286</v>
      </c>
      <c r="C195" s="37"/>
      <c r="D195" s="37"/>
      <c r="E195" s="37"/>
      <c r="F195" s="37"/>
      <c r="G195" s="37"/>
      <c r="H195" s="37"/>
      <c r="I195" s="37"/>
      <c r="J195" s="38"/>
      <c r="K195" s="37"/>
      <c r="L195" s="37"/>
      <c r="M195" s="38"/>
      <c r="N195" s="37"/>
      <c r="O195" s="37"/>
      <c r="P195" s="37"/>
      <c r="Q195" s="37"/>
      <c r="R195" s="37"/>
      <c r="S195" s="37"/>
      <c r="T195" s="37"/>
      <c r="U195" s="37"/>
      <c r="V195" s="37"/>
      <c r="W195" s="37"/>
      <c r="X195" s="37"/>
      <c r="Y195" s="37"/>
      <c r="Z195" s="37"/>
      <c r="AA195" s="37"/>
      <c r="AB195" s="37"/>
      <c r="AC195" s="37"/>
      <c r="AD195" s="37"/>
      <c r="AE195" s="37"/>
    </row>
    <row r="196" spans="1:31" x14ac:dyDescent="0.3">
      <c r="A196" s="37">
        <f t="shared" ca="1" si="2"/>
        <v>42286</v>
      </c>
      <c r="B196" s="37">
        <f t="shared" ca="1" si="3"/>
        <v>42286</v>
      </c>
      <c r="C196" s="37"/>
      <c r="D196" s="37"/>
      <c r="E196" s="37"/>
      <c r="F196" s="37"/>
      <c r="G196" s="37"/>
      <c r="H196" s="37"/>
      <c r="I196" s="37"/>
      <c r="J196" s="38"/>
      <c r="K196" s="37"/>
      <c r="L196" s="37"/>
      <c r="M196" s="38"/>
      <c r="N196" s="37"/>
      <c r="O196" s="37"/>
      <c r="P196" s="37"/>
      <c r="Q196" s="37"/>
      <c r="R196" s="37"/>
      <c r="S196" s="37"/>
      <c r="T196" s="37"/>
      <c r="U196" s="37"/>
      <c r="V196" s="37"/>
      <c r="W196" s="37"/>
      <c r="X196" s="37"/>
      <c r="Y196" s="37"/>
      <c r="Z196" s="37"/>
      <c r="AA196" s="37"/>
      <c r="AB196" s="37"/>
      <c r="AC196" s="37"/>
      <c r="AD196" s="37"/>
      <c r="AE196" s="37"/>
    </row>
    <row r="197" spans="1:31" x14ac:dyDescent="0.3">
      <c r="A197" s="37">
        <f t="shared" ca="1" si="2"/>
        <v>42286</v>
      </c>
      <c r="B197" s="37">
        <f t="shared" ca="1" si="3"/>
        <v>42286</v>
      </c>
      <c r="C197" s="37"/>
      <c r="D197" s="37"/>
      <c r="E197" s="37"/>
      <c r="F197" s="37"/>
      <c r="G197" s="37"/>
      <c r="H197" s="37"/>
      <c r="I197" s="37"/>
      <c r="J197" s="38"/>
      <c r="K197" s="37"/>
      <c r="L197" s="37"/>
      <c r="M197" s="38"/>
      <c r="N197" s="37"/>
      <c r="O197" s="37"/>
      <c r="P197" s="37"/>
      <c r="Q197" s="37"/>
      <c r="R197" s="37"/>
      <c r="S197" s="37"/>
      <c r="T197" s="37"/>
      <c r="U197" s="37"/>
      <c r="V197" s="37"/>
      <c r="W197" s="37"/>
      <c r="X197" s="37"/>
      <c r="Y197" s="37"/>
      <c r="Z197" s="37"/>
      <c r="AA197" s="37"/>
      <c r="AB197" s="37"/>
      <c r="AC197" s="37"/>
      <c r="AD197" s="37"/>
      <c r="AE197" s="37"/>
    </row>
    <row r="200" spans="1:31" x14ac:dyDescent="0.3">
      <c r="A200" s="37">
        <f>COUNTA(C18:C190)+(A201-1)</f>
        <v>190</v>
      </c>
      <c r="B200" s="37" t="s">
        <v>123</v>
      </c>
      <c r="C200" s="37"/>
    </row>
    <row r="201" spans="1:31" x14ac:dyDescent="0.3">
      <c r="A201" s="37">
        <v>18</v>
      </c>
      <c r="B201" s="37" t="s">
        <v>124</v>
      </c>
      <c r="C201" s="37"/>
    </row>
    <row r="202" spans="1:31" x14ac:dyDescent="0.3">
      <c r="A202" s="37" t="s">
        <v>125</v>
      </c>
      <c r="B202" s="37" t="s">
        <v>59</v>
      </c>
      <c r="C202" s="37"/>
    </row>
    <row r="203" spans="1:31" x14ac:dyDescent="0.3">
      <c r="A203" s="37" t="s">
        <v>126</v>
      </c>
      <c r="B203" s="37" t="s">
        <v>72</v>
      </c>
      <c r="C203" s="37"/>
    </row>
    <row r="204" spans="1:31" x14ac:dyDescent="0.3">
      <c r="A204" s="37" t="s">
        <v>127</v>
      </c>
      <c r="B204" s="37" t="s">
        <v>65</v>
      </c>
      <c r="C204" s="37"/>
    </row>
    <row r="205" spans="1:31" x14ac:dyDescent="0.3">
      <c r="A205" s="37" t="s">
        <v>128</v>
      </c>
      <c r="B205" s="37" t="s">
        <v>129</v>
      </c>
      <c r="C205" s="37"/>
    </row>
    <row r="206" spans="1:31" x14ac:dyDescent="0.3">
      <c r="A206" s="37" t="s">
        <v>130</v>
      </c>
      <c r="B206" s="37" t="s">
        <v>131</v>
      </c>
      <c r="C206" s="37"/>
    </row>
    <row r="207" spans="1:31" x14ac:dyDescent="0.3">
      <c r="A207" s="37" t="s">
        <v>132</v>
      </c>
      <c r="B207" s="37" t="s">
        <v>133</v>
      </c>
      <c r="C207" s="37"/>
    </row>
    <row r="208" spans="1:31" x14ac:dyDescent="0.3">
      <c r="A208" s="37" t="s">
        <v>134</v>
      </c>
      <c r="B208" s="37" t="s">
        <v>135</v>
      </c>
      <c r="C208" s="37"/>
    </row>
    <row r="209" spans="1:3" x14ac:dyDescent="0.3">
      <c r="A209" s="37" t="s">
        <v>136</v>
      </c>
      <c r="B209" s="37" t="s">
        <v>137</v>
      </c>
      <c r="C209" s="37"/>
    </row>
    <row r="210" spans="1:3" x14ac:dyDescent="0.3">
      <c r="A210" s="37" t="s">
        <v>140</v>
      </c>
      <c r="B210" s="37" t="s">
        <v>141</v>
      </c>
      <c r="C210" s="37"/>
    </row>
    <row r="211" spans="1:3" x14ac:dyDescent="0.3">
      <c r="A211" s="37" t="s">
        <v>142</v>
      </c>
      <c r="B211" s="37" t="s">
        <v>143</v>
      </c>
      <c r="C211" s="37"/>
    </row>
  </sheetData>
  <autoFilter ref="A17:AE111"/>
  <conditionalFormatting sqref="C90:C91">
    <cfRule type="expression" dxfId="55" priority="1">
      <formula>IF(V90="---",IF(Z90="---",1,0),0)</formula>
    </cfRule>
    <cfRule type="expression" dxfId="54" priority="2">
      <formula>IF(FIND("Denied",V90),1,0)</formula>
    </cfRule>
    <cfRule type="expression" dxfId="53" priority="3">
      <formula>IF(FIND("Request",V90),1,0)</formula>
    </cfRule>
    <cfRule type="expression" dxfId="52" priority="4">
      <formula>IF(FIND("Approve",V90),1,0)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D211"/>
  <sheetViews>
    <sheetView zoomScale="70" zoomScaleNormal="70" workbookViewId="0">
      <selection activeCell="A32" sqref="A32"/>
    </sheetView>
  </sheetViews>
  <sheetFormatPr defaultRowHeight="14.4" x14ac:dyDescent="0.3"/>
  <cols>
    <col min="1" max="1" width="16.88671875" bestFit="1" customWidth="1"/>
    <col min="2" max="2" width="4.109375" customWidth="1"/>
    <col min="3" max="3" width="10" bestFit="1" customWidth="1"/>
    <col min="4" max="4" width="17.77734375" customWidth="1"/>
    <col min="5" max="5" width="140.33203125" bestFit="1" customWidth="1"/>
    <col min="6" max="6" width="13.44140625" bestFit="1" customWidth="1"/>
    <col min="7" max="7" width="18.88671875" bestFit="1" customWidth="1"/>
    <col min="8" max="8" width="26" bestFit="1" customWidth="1"/>
    <col min="9" max="9" width="42" bestFit="1" customWidth="1"/>
    <col min="10" max="10" width="15.6640625" bestFit="1" customWidth="1"/>
    <col min="11" max="11" width="12" bestFit="1" customWidth="1"/>
    <col min="12" max="12" width="22.33203125" bestFit="1" customWidth="1"/>
    <col min="13" max="13" width="14.6640625" bestFit="1" customWidth="1"/>
    <col min="14" max="14" width="18.6640625" bestFit="1" customWidth="1"/>
    <col min="15" max="15" width="14.77734375" bestFit="1" customWidth="1"/>
    <col min="16" max="16" width="11" bestFit="1" customWidth="1"/>
    <col min="17" max="17" width="6.6640625" customWidth="1"/>
    <col min="18" max="18" width="16.44140625" bestFit="1" customWidth="1"/>
    <col min="19" max="19" width="14.77734375" bestFit="1" customWidth="1"/>
    <col min="20" max="20" width="22.5546875" bestFit="1" customWidth="1"/>
    <col min="21" max="21" width="10.109375" bestFit="1" customWidth="1"/>
    <col min="22" max="22" width="21" bestFit="1" customWidth="1"/>
    <col min="23" max="23" width="10.21875" bestFit="1" customWidth="1"/>
  </cols>
  <sheetData>
    <row r="1" spans="1:5" x14ac:dyDescent="0.3">
      <c r="A1" s="6" t="s">
        <v>111</v>
      </c>
      <c r="B1" s="1">
        <f ca="1">COUNTIF(INDIRECT(A209&amp;A201):INDIRECT(A209&amp;A200),INDIRECT("c"&amp;ROW()))</f>
        <v>172</v>
      </c>
      <c r="C1" s="6" t="s">
        <v>48</v>
      </c>
      <c r="D1" s="6" t="s">
        <v>36</v>
      </c>
      <c r="E1" s="6"/>
    </row>
    <row r="2" spans="1:5" x14ac:dyDescent="0.3">
      <c r="A2" s="6"/>
      <c r="B2" s="6"/>
      <c r="C2" s="6"/>
      <c r="D2" s="6"/>
      <c r="E2" s="6"/>
    </row>
    <row r="3" spans="1:5" x14ac:dyDescent="0.3">
      <c r="A3" s="7" t="s">
        <v>59</v>
      </c>
      <c r="B3" s="6"/>
      <c r="C3" s="6"/>
      <c r="D3" s="7" t="s">
        <v>75</v>
      </c>
      <c r="E3" s="6"/>
    </row>
    <row r="4" spans="1:5" x14ac:dyDescent="0.3">
      <c r="A4" s="6" t="s">
        <v>106</v>
      </c>
      <c r="B4" s="6">
        <f ca="1">COUNTIF(INDIRECT(A202&amp;A201):INDIRECT(A202&amp;A200),INDIRECT("a"&amp;ROW()))</f>
        <v>101</v>
      </c>
      <c r="C4" s="6"/>
      <c r="D4" s="6" t="s">
        <v>107</v>
      </c>
      <c r="E4" s="2">
        <f ca="1">COUNTIF(INDIRECT(A205&amp;A201):INDIRECT(A205&amp;A200),"---")</f>
        <v>169</v>
      </c>
    </row>
    <row r="5" spans="1:5" x14ac:dyDescent="0.3">
      <c r="A5" s="6" t="s">
        <v>121</v>
      </c>
      <c r="B5" s="6">
        <f ca="1">COUNTIF(INDIRECT(A202&amp;A201):INDIRECT(A202&amp;A200),INDIRECT("a"&amp;ROW()))</f>
        <v>71</v>
      </c>
      <c r="C5" s="6"/>
      <c r="D5" s="6" t="s">
        <v>49</v>
      </c>
      <c r="E5" s="2">
        <f ca="1">COUNTIF(INDIRECT(A205&amp;A201):INDIRECT(A205&amp;A200),INDIRECT("d"&amp;ROW()))</f>
        <v>1</v>
      </c>
    </row>
    <row r="6" spans="1:5" x14ac:dyDescent="0.3">
      <c r="A6" s="6"/>
      <c r="B6" s="6">
        <f ca="1">COUNTIF(INDIRECT(A202&amp;A201):INDIRECT(A202&amp;A200),INDIRECT("a"&amp;ROW()))</f>
        <v>0</v>
      </c>
      <c r="C6" s="6"/>
      <c r="D6" s="6" t="s">
        <v>9</v>
      </c>
      <c r="E6" s="2">
        <f ca="1">COUNTIF(INDIRECT(A205&amp;A201):INDIRECT(A205&amp;A200),INDIRECT("d"&amp;ROW()))</f>
        <v>1</v>
      </c>
    </row>
    <row r="7" spans="1:5" x14ac:dyDescent="0.3">
      <c r="A7" s="7" t="s">
        <v>109</v>
      </c>
      <c r="B7" s="4">
        <f ca="1">COUNTIF(INDIRECT(A206&amp;A201):INDIRECT(A206&amp;A200),"&lt;2")</f>
        <v>0</v>
      </c>
      <c r="C7" s="6"/>
      <c r="D7" s="6" t="s">
        <v>55</v>
      </c>
      <c r="E7" s="2">
        <f ca="1">COUNTIF(INDIRECT(A205&amp;A201):INDIRECT(A205&amp;A200),INDIRECT("d"&amp;ROW()))</f>
        <v>1</v>
      </c>
    </row>
    <row r="8" spans="1:5" x14ac:dyDescent="0.3">
      <c r="A8" s="6" t="s">
        <v>110</v>
      </c>
      <c r="B8" s="6">
        <f ca="1">COUNTIF(INDIRECT(A207&amp;A201):INDIRECT(A207&amp;A200),"&gt;3")</f>
        <v>172</v>
      </c>
      <c r="C8" s="6"/>
      <c r="D8" s="7" t="s">
        <v>108</v>
      </c>
      <c r="E8" s="3">
        <f ca="1">COUNTIF(INDIRECT(A208&amp;A201):INDIRECT(A208&amp;A200),"Astra*")</f>
        <v>0</v>
      </c>
    </row>
    <row r="9" spans="1:5" x14ac:dyDescent="0.3">
      <c r="A9" s="6"/>
      <c r="B9" s="6"/>
      <c r="C9" s="6"/>
      <c r="D9" s="6"/>
      <c r="E9" s="6">
        <f ca="1">SUM(E4:E8)</f>
        <v>172</v>
      </c>
    </row>
    <row r="10" spans="1:5" x14ac:dyDescent="0.3">
      <c r="A10" s="7" t="s">
        <v>112</v>
      </c>
      <c r="B10" s="6"/>
      <c r="C10" s="6"/>
      <c r="D10" s="6" t="s">
        <v>13</v>
      </c>
      <c r="E10" s="2">
        <f ca="1">COUNTIF(INDIRECT(A203&amp;A201):INDIRECT(A203&amp;A200),INDIRECT("d"&amp;ROW()))</f>
        <v>86</v>
      </c>
    </row>
    <row r="11" spans="1:5" x14ac:dyDescent="0.3">
      <c r="A11" s="6" t="s">
        <v>80</v>
      </c>
      <c r="B11" s="6">
        <f ca="1">COUNTIF(INDIRECT(A204&amp;A201):INDIRECT(A204&amp;A200),INDIRECT("a"&amp;ROW()))</f>
        <v>40</v>
      </c>
      <c r="C11" s="6"/>
      <c r="D11" s="6" t="s">
        <v>8</v>
      </c>
      <c r="E11" s="2">
        <f ca="1">COUNTIF(INDIRECT(A203&amp;A201):INDIRECT(A203&amp;A200),INDIRECT("d"&amp;ROW()))</f>
        <v>49</v>
      </c>
    </row>
    <row r="12" spans="1:5" x14ac:dyDescent="0.3">
      <c r="A12" s="6" t="s">
        <v>83</v>
      </c>
      <c r="B12" s="6">
        <f ca="1">COUNTIF(INDIRECT(A204&amp;A201):INDIRECT(A204&amp;A200),"Astra-1.0.*")</f>
        <v>18</v>
      </c>
      <c r="C12" s="6"/>
      <c r="D12" s="6" t="s">
        <v>24</v>
      </c>
      <c r="E12" s="2">
        <f ca="1">COUNTIF(INDIRECT(A203&amp;A201):INDIRECT(A203&amp;A200),INDIRECT("d"&amp;ROW()))</f>
        <v>37</v>
      </c>
    </row>
    <row r="13" spans="1:5" x14ac:dyDescent="0.3">
      <c r="A13" t="s">
        <v>3</v>
      </c>
      <c r="B13">
        <f ca="1">COUNTIF(INDIRECT(A204&amp;A201):INDIRECT(A204&amp;A200),INDIRECT("a"&amp;ROW()))+COUNTIF(INDIRECT(A204&amp;A201):INDIRECT(A204&amp;A200),"Astra-P*")+COUNTIF(INDIRECT(A204&amp;A201):INDIRECT(A204&amp;A200),"Astra-IR*")</f>
        <v>80</v>
      </c>
      <c r="E13">
        <f ca="1">SUM(E10:E12)</f>
        <v>172</v>
      </c>
    </row>
    <row r="14" spans="1:5" x14ac:dyDescent="0.3">
      <c r="A14" t="s">
        <v>113</v>
      </c>
      <c r="B14">
        <f ca="1">COUNTIF(INDIRECT(A204&amp;A201):INDIRECT(A204&amp;A200),"6*")+COUNTIF(INDIRECT(A204&amp;A201):INDIRECT(A204&amp;A200),"Store*")+COUNTIF(INDIRECT(A204&amp;A201):INDIRECT(A204&amp;A200),"Halo")+COUNTIF(INDIRECT(A204&amp;A201):INDIRECT(A204&amp;A200),"3*")</f>
        <v>4</v>
      </c>
    </row>
    <row r="15" spans="1:5" x14ac:dyDescent="0.3">
      <c r="A15" t="s">
        <v>48</v>
      </c>
      <c r="B15">
        <f ca="1">COUNTIF(INDIRECT(A204&amp;A201):INDIRECT(A204&amp;A200),INDIRECT("a"&amp;ROW()))</f>
        <v>27</v>
      </c>
      <c r="E15">
        <f ca="1">SUM(B11:B15)</f>
        <v>169</v>
      </c>
    </row>
    <row r="17" spans="1:30" x14ac:dyDescent="0.3">
      <c r="A17" t="s">
        <v>0</v>
      </c>
      <c r="B17" t="s">
        <v>1</v>
      </c>
      <c r="C17" s="37" t="s">
        <v>145</v>
      </c>
      <c r="D17" s="37" t="s">
        <v>57</v>
      </c>
      <c r="E17" s="37" t="s">
        <v>58</v>
      </c>
      <c r="F17" s="37" t="s">
        <v>59</v>
      </c>
      <c r="G17" s="37" t="s">
        <v>60</v>
      </c>
      <c r="H17" s="37" t="s">
        <v>61</v>
      </c>
      <c r="I17" s="37" t="s">
        <v>62</v>
      </c>
      <c r="J17" s="37" t="s">
        <v>63</v>
      </c>
      <c r="K17" s="37" t="s">
        <v>64</v>
      </c>
      <c r="L17" s="37" t="s">
        <v>65</v>
      </c>
      <c r="M17" s="37" t="s">
        <v>66</v>
      </c>
      <c r="N17" s="37" t="s">
        <v>67</v>
      </c>
      <c r="O17" s="37" t="s">
        <v>68</v>
      </c>
      <c r="P17" s="37" t="s">
        <v>69</v>
      </c>
      <c r="Q17" s="37" t="s">
        <v>70</v>
      </c>
      <c r="R17" s="37" t="s">
        <v>71</v>
      </c>
      <c r="S17" s="37" t="s">
        <v>72</v>
      </c>
      <c r="T17" s="37" t="s">
        <v>73</v>
      </c>
      <c r="U17" s="37" t="s">
        <v>74</v>
      </c>
      <c r="V17" s="37" t="s">
        <v>75</v>
      </c>
      <c r="W17" s="37" t="s">
        <v>76</v>
      </c>
      <c r="X17" s="37" t="s">
        <v>77</v>
      </c>
      <c r="Y17" s="37" t="s">
        <v>78</v>
      </c>
      <c r="Z17" s="37" t="s">
        <v>157</v>
      </c>
      <c r="AA17" s="37" t="s">
        <v>307</v>
      </c>
      <c r="AB17" s="37" t="s">
        <v>308</v>
      </c>
      <c r="AC17" s="37" t="s">
        <v>605</v>
      </c>
      <c r="AD17" s="37" t="s">
        <v>79</v>
      </c>
    </row>
    <row r="18" spans="1:30" x14ac:dyDescent="0.3">
      <c r="A18">
        <f ca="1">DAYS360(INDIRECT(A211&amp;ROW()),TODAY())</f>
        <v>765</v>
      </c>
      <c r="B18">
        <f ca="1">DAYS360(INDIRECT(A210&amp;ROW()),TODAY())</f>
        <v>928</v>
      </c>
      <c r="C18" s="37">
        <v>53298</v>
      </c>
      <c r="D18" s="37" t="s">
        <v>337</v>
      </c>
      <c r="E18" s="37" t="s">
        <v>383</v>
      </c>
      <c r="F18" s="37" t="s">
        <v>146</v>
      </c>
      <c r="G18" s="37" t="s">
        <v>48</v>
      </c>
      <c r="H18" s="37" t="s">
        <v>344</v>
      </c>
      <c r="I18" s="37"/>
      <c r="J18" s="38">
        <v>42125.439930555556</v>
      </c>
      <c r="K18" s="37" t="s">
        <v>20</v>
      </c>
      <c r="L18" s="37" t="s">
        <v>3</v>
      </c>
      <c r="M18" s="38">
        <v>41961.535937499997</v>
      </c>
      <c r="N18" s="37" t="s">
        <v>40</v>
      </c>
      <c r="O18" s="37"/>
      <c r="P18" s="37"/>
      <c r="Q18" s="37" t="s">
        <v>17</v>
      </c>
      <c r="R18" s="37" t="s">
        <v>7</v>
      </c>
      <c r="S18" s="37" t="s">
        <v>13</v>
      </c>
      <c r="T18" s="37" t="s">
        <v>19</v>
      </c>
      <c r="U18" s="37"/>
      <c r="V18" s="37" t="s">
        <v>7</v>
      </c>
      <c r="W18" s="37" t="s">
        <v>10</v>
      </c>
      <c r="X18" s="37" t="s">
        <v>7</v>
      </c>
      <c r="Y18" s="37" t="s">
        <v>114</v>
      </c>
      <c r="Z18" s="37" t="s">
        <v>7</v>
      </c>
      <c r="AA18" s="37" t="s">
        <v>7</v>
      </c>
      <c r="AB18" s="37" t="s">
        <v>7</v>
      </c>
      <c r="AC18" s="37" t="s">
        <v>7</v>
      </c>
      <c r="AD18" s="37" t="s">
        <v>7</v>
      </c>
    </row>
    <row r="19" spans="1:30" x14ac:dyDescent="0.3">
      <c r="A19">
        <f ca="1">DAYS360(INDIRECT(A211&amp;ROW()),TODAY())</f>
        <v>731</v>
      </c>
      <c r="B19">
        <f ca="1">DAYS360(INDIRECT(A210&amp;ROW()),TODAY())</f>
        <v>928</v>
      </c>
      <c r="C19" s="37">
        <v>53336</v>
      </c>
      <c r="D19" s="37" t="s">
        <v>376</v>
      </c>
      <c r="E19" s="37" t="s">
        <v>384</v>
      </c>
      <c r="F19" s="37" t="s">
        <v>11</v>
      </c>
      <c r="G19" s="37" t="s">
        <v>48</v>
      </c>
      <c r="H19" s="37" t="s">
        <v>344</v>
      </c>
      <c r="I19" s="37"/>
      <c r="J19" s="38">
        <v>42160.524062500001</v>
      </c>
      <c r="K19" s="37" t="s">
        <v>20</v>
      </c>
      <c r="L19" s="37" t="s">
        <v>3</v>
      </c>
      <c r="M19" s="38">
        <v>41961.667453703703</v>
      </c>
      <c r="N19" s="37" t="s">
        <v>40</v>
      </c>
      <c r="O19" s="37"/>
      <c r="P19" s="37"/>
      <c r="Q19" s="37" t="s">
        <v>6</v>
      </c>
      <c r="R19" s="37" t="s">
        <v>7</v>
      </c>
      <c r="S19" s="37" t="s">
        <v>13</v>
      </c>
      <c r="T19" s="37" t="s">
        <v>19</v>
      </c>
      <c r="U19" s="37"/>
      <c r="V19" s="37" t="s">
        <v>7</v>
      </c>
      <c r="W19" s="37" t="s">
        <v>10</v>
      </c>
      <c r="X19" s="37" t="s">
        <v>7</v>
      </c>
      <c r="Y19" s="37" t="s">
        <v>114</v>
      </c>
      <c r="Z19" s="37" t="s">
        <v>7</v>
      </c>
      <c r="AA19" s="37" t="s">
        <v>7</v>
      </c>
      <c r="AB19" s="37" t="s">
        <v>7</v>
      </c>
      <c r="AC19" s="37" t="s">
        <v>7</v>
      </c>
      <c r="AD19" s="37" t="s">
        <v>7</v>
      </c>
    </row>
    <row r="20" spans="1:30" x14ac:dyDescent="0.3">
      <c r="A20">
        <f ca="1">DAYS360(INDIRECT(A211&amp;ROW()),TODAY())</f>
        <v>765</v>
      </c>
      <c r="B20">
        <f ca="1">DAYS360(INDIRECT(A210&amp;ROW()),TODAY())</f>
        <v>928</v>
      </c>
      <c r="C20" s="37">
        <v>53342</v>
      </c>
      <c r="D20" s="37" t="s">
        <v>382</v>
      </c>
      <c r="E20" s="37" t="s">
        <v>385</v>
      </c>
      <c r="F20" s="37" t="s">
        <v>11</v>
      </c>
      <c r="G20" s="37" t="s">
        <v>48</v>
      </c>
      <c r="H20" s="37" t="s">
        <v>344</v>
      </c>
      <c r="I20" s="37"/>
      <c r="J20" s="38">
        <v>42125.442384259259</v>
      </c>
      <c r="K20" s="37" t="s">
        <v>20</v>
      </c>
      <c r="L20" s="37" t="s">
        <v>386</v>
      </c>
      <c r="M20" s="38">
        <v>41961.691874999997</v>
      </c>
      <c r="N20" s="37" t="s">
        <v>40</v>
      </c>
      <c r="O20" s="37"/>
      <c r="P20" s="37"/>
      <c r="Q20" s="37" t="s">
        <v>6</v>
      </c>
      <c r="R20" s="37" t="s">
        <v>7</v>
      </c>
      <c r="S20" s="37" t="s">
        <v>13</v>
      </c>
      <c r="T20" s="37" t="s">
        <v>19</v>
      </c>
      <c r="U20" s="37"/>
      <c r="V20" s="37" t="s">
        <v>7</v>
      </c>
      <c r="W20" s="37" t="s">
        <v>10</v>
      </c>
      <c r="X20" s="37" t="s">
        <v>7</v>
      </c>
      <c r="Y20" s="37" t="s">
        <v>114</v>
      </c>
      <c r="Z20" s="37" t="s">
        <v>7</v>
      </c>
      <c r="AA20" s="37" t="s">
        <v>7</v>
      </c>
      <c r="AB20" s="37" t="s">
        <v>7</v>
      </c>
      <c r="AC20" s="37" t="s">
        <v>7</v>
      </c>
      <c r="AD20" s="37" t="s">
        <v>7</v>
      </c>
    </row>
    <row r="21" spans="1:30" x14ac:dyDescent="0.3">
      <c r="A21">
        <f ca="1">DAYS360(INDIRECT(A211&amp;ROW()),TODAY())</f>
        <v>844</v>
      </c>
      <c r="B21">
        <f ca="1">DAYS360(INDIRECT(A210&amp;ROW()),TODAY())</f>
        <v>927</v>
      </c>
      <c r="C21" s="37">
        <v>53415</v>
      </c>
      <c r="D21" s="37" t="s">
        <v>376</v>
      </c>
      <c r="E21" s="37" t="s">
        <v>387</v>
      </c>
      <c r="F21" s="37" t="s">
        <v>11</v>
      </c>
      <c r="G21" s="37" t="s">
        <v>48</v>
      </c>
      <c r="H21" s="37" t="s">
        <v>344</v>
      </c>
      <c r="I21" s="37"/>
      <c r="J21" s="38">
        <v>42047.945960648147</v>
      </c>
      <c r="K21" s="37" t="s">
        <v>20</v>
      </c>
      <c r="L21" s="37" t="s">
        <v>388</v>
      </c>
      <c r="M21" s="38">
        <v>41962.515706018516</v>
      </c>
      <c r="N21" s="37" t="s">
        <v>148</v>
      </c>
      <c r="O21" s="37"/>
      <c r="P21" s="37"/>
      <c r="Q21" s="37" t="s">
        <v>6</v>
      </c>
      <c r="R21" s="37" t="s">
        <v>7</v>
      </c>
      <c r="S21" s="37" t="s">
        <v>13</v>
      </c>
      <c r="T21" s="37" t="s">
        <v>19</v>
      </c>
      <c r="U21" s="37"/>
      <c r="V21" s="37" t="s">
        <v>7</v>
      </c>
      <c r="W21" s="37" t="s">
        <v>10</v>
      </c>
      <c r="X21" s="37" t="s">
        <v>7</v>
      </c>
      <c r="Y21" s="37" t="s">
        <v>114</v>
      </c>
      <c r="Z21" s="37" t="s">
        <v>7</v>
      </c>
      <c r="AA21" s="37" t="s">
        <v>7</v>
      </c>
      <c r="AB21" s="37" t="s">
        <v>7</v>
      </c>
      <c r="AC21" s="37" t="s">
        <v>7</v>
      </c>
      <c r="AD21" s="37" t="s">
        <v>7</v>
      </c>
    </row>
    <row r="22" spans="1:30" x14ac:dyDescent="0.3">
      <c r="A22">
        <f ca="1">DAYS360(INDIRECT(A211&amp;ROW()),TODAY())</f>
        <v>588</v>
      </c>
      <c r="B22">
        <f ca="1">DAYS360(INDIRECT(A210&amp;ROW()),TODAY())</f>
        <v>926</v>
      </c>
      <c r="C22" s="37">
        <v>53492</v>
      </c>
      <c r="D22" s="37" t="s">
        <v>339</v>
      </c>
      <c r="E22" s="37" t="s">
        <v>389</v>
      </c>
      <c r="F22" s="37" t="s">
        <v>146</v>
      </c>
      <c r="G22" s="37" t="s">
        <v>48</v>
      </c>
      <c r="H22" s="37" t="s">
        <v>344</v>
      </c>
      <c r="I22" s="37"/>
      <c r="J22" s="38">
        <v>42305.509166666663</v>
      </c>
      <c r="K22" s="37" t="s">
        <v>20</v>
      </c>
      <c r="L22" s="37" t="s">
        <v>390</v>
      </c>
      <c r="M22" s="38">
        <v>41963.308993055558</v>
      </c>
      <c r="N22" s="37" t="s">
        <v>40</v>
      </c>
      <c r="O22" s="37"/>
      <c r="P22" s="37"/>
      <c r="Q22" s="37" t="s">
        <v>17</v>
      </c>
      <c r="R22" s="37" t="s">
        <v>7</v>
      </c>
      <c r="S22" s="37" t="s">
        <v>8</v>
      </c>
      <c r="T22" s="37" t="s">
        <v>122</v>
      </c>
      <c r="U22" s="37"/>
      <c r="V22" s="37" t="s">
        <v>7</v>
      </c>
      <c r="W22" s="37" t="s">
        <v>10</v>
      </c>
      <c r="X22" s="37" t="s">
        <v>7</v>
      </c>
      <c r="Y22" s="37" t="s">
        <v>114</v>
      </c>
      <c r="Z22" s="37" t="s">
        <v>7</v>
      </c>
      <c r="AA22" s="37" t="s">
        <v>7</v>
      </c>
      <c r="AB22" s="37" t="s">
        <v>7</v>
      </c>
      <c r="AC22" s="37" t="s">
        <v>7</v>
      </c>
      <c r="AD22" s="37" t="s">
        <v>7</v>
      </c>
    </row>
    <row r="23" spans="1:30" x14ac:dyDescent="0.3">
      <c r="A23">
        <f ca="1">DAYS360(INDIRECT(A211&amp;ROW()),TODAY())</f>
        <v>844</v>
      </c>
      <c r="B23">
        <f ca="1">DAYS360(INDIRECT(A210&amp;ROW()),TODAY())</f>
        <v>926</v>
      </c>
      <c r="C23" s="37">
        <v>53507</v>
      </c>
      <c r="D23" s="37" t="s">
        <v>376</v>
      </c>
      <c r="E23" s="37" t="s">
        <v>391</v>
      </c>
      <c r="F23" s="37" t="s">
        <v>11</v>
      </c>
      <c r="G23" s="37" t="s">
        <v>48</v>
      </c>
      <c r="H23" s="37" t="s">
        <v>344</v>
      </c>
      <c r="I23" s="37"/>
      <c r="J23" s="38">
        <v>42047.945706018516</v>
      </c>
      <c r="K23" s="37" t="s">
        <v>20</v>
      </c>
      <c r="L23" s="37" t="s">
        <v>349</v>
      </c>
      <c r="M23" s="38">
        <v>41963.311215277776</v>
      </c>
      <c r="N23" s="37" t="s">
        <v>168</v>
      </c>
      <c r="O23" s="37"/>
      <c r="P23" s="37"/>
      <c r="Q23" s="37" t="s">
        <v>6</v>
      </c>
      <c r="R23" s="37" t="s">
        <v>7</v>
      </c>
      <c r="S23" s="37" t="s">
        <v>13</v>
      </c>
      <c r="T23" s="37" t="s">
        <v>19</v>
      </c>
      <c r="U23" s="37"/>
      <c r="V23" s="37" t="s">
        <v>7</v>
      </c>
      <c r="W23" s="37" t="s">
        <v>10</v>
      </c>
      <c r="X23" s="37" t="s">
        <v>7</v>
      </c>
      <c r="Y23" s="37" t="s">
        <v>114</v>
      </c>
      <c r="Z23" s="37" t="s">
        <v>7</v>
      </c>
      <c r="AA23" s="37" t="s">
        <v>7</v>
      </c>
      <c r="AB23" s="37" t="s">
        <v>7</v>
      </c>
      <c r="AC23" s="37" t="s">
        <v>7</v>
      </c>
      <c r="AD23" s="37" t="s">
        <v>7</v>
      </c>
    </row>
    <row r="24" spans="1:30" x14ac:dyDescent="0.3">
      <c r="A24">
        <f ca="1">DAYS360(INDIRECT(A211&amp;ROW()),TODAY())</f>
        <v>844</v>
      </c>
      <c r="B24">
        <f ca="1">DAYS360(INDIRECT(A210&amp;ROW()),TODAY())</f>
        <v>926</v>
      </c>
      <c r="C24" s="37">
        <v>53525</v>
      </c>
      <c r="D24" s="37" t="s">
        <v>392</v>
      </c>
      <c r="E24" s="37" t="s">
        <v>393</v>
      </c>
      <c r="F24" s="37" t="s">
        <v>146</v>
      </c>
      <c r="G24" s="37" t="s">
        <v>48</v>
      </c>
      <c r="H24" s="37" t="s">
        <v>344</v>
      </c>
      <c r="I24" s="37"/>
      <c r="J24" s="38">
        <v>42047.958749999998</v>
      </c>
      <c r="K24" s="37" t="s">
        <v>20</v>
      </c>
      <c r="L24" s="37" t="s">
        <v>231</v>
      </c>
      <c r="M24" s="38">
        <v>41963.313935185186</v>
      </c>
      <c r="N24" s="37" t="s">
        <v>5</v>
      </c>
      <c r="O24" s="37"/>
      <c r="P24" s="37"/>
      <c r="Q24" s="37" t="s">
        <v>12</v>
      </c>
      <c r="R24" s="37" t="s">
        <v>7</v>
      </c>
      <c r="S24" s="37" t="s">
        <v>13</v>
      </c>
      <c r="T24" s="37" t="s">
        <v>103</v>
      </c>
      <c r="U24" s="37"/>
      <c r="V24" s="37" t="s">
        <v>7</v>
      </c>
      <c r="W24" s="37" t="s">
        <v>26</v>
      </c>
      <c r="X24" s="37" t="s">
        <v>7</v>
      </c>
      <c r="Y24" s="37" t="s">
        <v>114</v>
      </c>
      <c r="Z24" s="37" t="s">
        <v>7</v>
      </c>
      <c r="AA24" s="37" t="s">
        <v>7</v>
      </c>
      <c r="AB24" s="37" t="s">
        <v>7</v>
      </c>
      <c r="AC24" s="37" t="s">
        <v>7</v>
      </c>
      <c r="AD24" s="37" t="s">
        <v>7</v>
      </c>
    </row>
    <row r="25" spans="1:30" x14ac:dyDescent="0.3">
      <c r="A25">
        <f ca="1">DAYS360(INDIRECT(A211&amp;ROW()),TODAY())</f>
        <v>765</v>
      </c>
      <c r="B25">
        <f ca="1">DAYS360(INDIRECT(A210&amp;ROW()),TODAY())</f>
        <v>926</v>
      </c>
      <c r="C25" s="37">
        <v>53531</v>
      </c>
      <c r="D25" s="37" t="s">
        <v>392</v>
      </c>
      <c r="E25" s="37" t="s">
        <v>394</v>
      </c>
      <c r="F25" s="37" t="s">
        <v>146</v>
      </c>
      <c r="G25" s="37" t="s">
        <v>48</v>
      </c>
      <c r="H25" s="37" t="s">
        <v>344</v>
      </c>
      <c r="I25" s="37"/>
      <c r="J25" s="38">
        <v>42125.445243055554</v>
      </c>
      <c r="K25" s="37" t="s">
        <v>20</v>
      </c>
      <c r="L25" s="37" t="s">
        <v>155</v>
      </c>
      <c r="M25" s="38">
        <v>41963.314837962964</v>
      </c>
      <c r="N25" s="37" t="s">
        <v>40</v>
      </c>
      <c r="O25" s="37"/>
      <c r="P25" s="37"/>
      <c r="Q25" s="37" t="s">
        <v>17</v>
      </c>
      <c r="R25" s="37" t="s">
        <v>7</v>
      </c>
      <c r="S25" s="37" t="s">
        <v>8</v>
      </c>
      <c r="T25" s="37" t="s">
        <v>38</v>
      </c>
      <c r="U25" s="37"/>
      <c r="V25" s="37" t="s">
        <v>7</v>
      </c>
      <c r="W25" s="37" t="s">
        <v>26</v>
      </c>
      <c r="X25" s="37" t="s">
        <v>7</v>
      </c>
      <c r="Y25" s="37" t="s">
        <v>114</v>
      </c>
      <c r="Z25" s="37" t="s">
        <v>7</v>
      </c>
      <c r="AA25" s="37" t="s">
        <v>7</v>
      </c>
      <c r="AB25" s="37" t="s">
        <v>7</v>
      </c>
      <c r="AC25" s="37" t="s">
        <v>7</v>
      </c>
      <c r="AD25" s="37" t="s">
        <v>7</v>
      </c>
    </row>
    <row r="26" spans="1:30" x14ac:dyDescent="0.3">
      <c r="A26">
        <f ca="1">DAYS360(INDIRECT(A211&amp;ROW()),TODAY())</f>
        <v>581</v>
      </c>
      <c r="B26">
        <f ca="1">DAYS360(INDIRECT(A210&amp;ROW()),TODAY())</f>
        <v>926</v>
      </c>
      <c r="C26" s="37">
        <v>53534</v>
      </c>
      <c r="D26" s="37" t="s">
        <v>339</v>
      </c>
      <c r="E26" s="37" t="s">
        <v>395</v>
      </c>
      <c r="F26" s="37" t="s">
        <v>146</v>
      </c>
      <c r="G26" s="37" t="s">
        <v>48</v>
      </c>
      <c r="H26" s="37" t="s">
        <v>344</v>
      </c>
      <c r="I26" s="37"/>
      <c r="J26" s="38">
        <v>42313.35125</v>
      </c>
      <c r="K26" s="37" t="s">
        <v>20</v>
      </c>
      <c r="L26" s="37" t="s">
        <v>3</v>
      </c>
      <c r="M26" s="38">
        <v>41963.315185185187</v>
      </c>
      <c r="N26" s="37" t="s">
        <v>40</v>
      </c>
      <c r="O26" s="37"/>
      <c r="P26" s="37"/>
      <c r="Q26" s="37" t="s">
        <v>17</v>
      </c>
      <c r="R26" s="37" t="s">
        <v>7</v>
      </c>
      <c r="S26" s="37" t="s">
        <v>13</v>
      </c>
      <c r="T26" s="37" t="s">
        <v>35</v>
      </c>
      <c r="U26" s="37"/>
      <c r="V26" s="37" t="s">
        <v>7</v>
      </c>
      <c r="W26" s="37" t="s">
        <v>26</v>
      </c>
      <c r="X26" s="37" t="s">
        <v>7</v>
      </c>
      <c r="Y26" s="37" t="s">
        <v>114</v>
      </c>
      <c r="Z26" s="37" t="s">
        <v>7</v>
      </c>
      <c r="AA26" s="37" t="s">
        <v>7</v>
      </c>
      <c r="AB26" s="37" t="s">
        <v>7</v>
      </c>
      <c r="AC26" s="37" t="s">
        <v>7</v>
      </c>
      <c r="AD26" s="37" t="s">
        <v>7</v>
      </c>
    </row>
    <row r="27" spans="1:30" x14ac:dyDescent="0.3">
      <c r="A27">
        <f ca="1">DAYS360(INDIRECT(A211&amp;ROW()),TODAY())</f>
        <v>765</v>
      </c>
      <c r="B27">
        <f ca="1">DAYS360(INDIRECT(A210&amp;ROW()),TODAY())</f>
        <v>926</v>
      </c>
      <c r="C27" s="37">
        <v>53537</v>
      </c>
      <c r="D27" s="37" t="s">
        <v>396</v>
      </c>
      <c r="E27" s="37" t="s">
        <v>397</v>
      </c>
      <c r="F27" s="37" t="s">
        <v>146</v>
      </c>
      <c r="G27" s="37" t="s">
        <v>48</v>
      </c>
      <c r="H27" s="37" t="s">
        <v>344</v>
      </c>
      <c r="I27" s="37"/>
      <c r="J27" s="38">
        <v>42125.445162037038</v>
      </c>
      <c r="K27" s="37" t="s">
        <v>20</v>
      </c>
      <c r="L27" s="37" t="s">
        <v>155</v>
      </c>
      <c r="M27" s="38">
        <v>41963.315509259257</v>
      </c>
      <c r="N27" s="37" t="s">
        <v>40</v>
      </c>
      <c r="O27" s="37"/>
      <c r="P27" s="37"/>
      <c r="Q27" s="37" t="s">
        <v>17</v>
      </c>
      <c r="R27" s="37" t="s">
        <v>7</v>
      </c>
      <c r="S27" s="37" t="s">
        <v>8</v>
      </c>
      <c r="T27" s="37" t="s">
        <v>38</v>
      </c>
      <c r="U27" s="37"/>
      <c r="V27" s="37" t="s">
        <v>7</v>
      </c>
      <c r="W27" s="37" t="s">
        <v>26</v>
      </c>
      <c r="X27" s="37" t="s">
        <v>7</v>
      </c>
      <c r="Y27" s="37" t="s">
        <v>114</v>
      </c>
      <c r="Z27" s="37" t="s">
        <v>7</v>
      </c>
      <c r="AA27" s="37" t="s">
        <v>7</v>
      </c>
      <c r="AB27" s="37" t="s">
        <v>7</v>
      </c>
      <c r="AC27" s="37" t="s">
        <v>7</v>
      </c>
      <c r="AD27" s="37" t="s">
        <v>7</v>
      </c>
    </row>
    <row r="28" spans="1:30" x14ac:dyDescent="0.3">
      <c r="A28">
        <f ca="1">DAYS360(INDIRECT(A211&amp;ROW()),TODAY())</f>
        <v>765</v>
      </c>
      <c r="B28">
        <f ca="1">DAYS360(INDIRECT(A210&amp;ROW()),TODAY())</f>
        <v>926</v>
      </c>
      <c r="C28" s="37">
        <v>53540</v>
      </c>
      <c r="D28" s="37" t="s">
        <v>396</v>
      </c>
      <c r="E28" s="37" t="s">
        <v>398</v>
      </c>
      <c r="F28" s="37" t="s">
        <v>146</v>
      </c>
      <c r="G28" s="37" t="s">
        <v>48</v>
      </c>
      <c r="H28" s="37" t="s">
        <v>344</v>
      </c>
      <c r="I28" s="37"/>
      <c r="J28" s="38">
        <v>42125.445208333331</v>
      </c>
      <c r="K28" s="37" t="s">
        <v>20</v>
      </c>
      <c r="L28" s="37" t="s">
        <v>155</v>
      </c>
      <c r="M28" s="38">
        <v>41963.315798611111</v>
      </c>
      <c r="N28" s="37" t="s">
        <v>40</v>
      </c>
      <c r="O28" s="37"/>
      <c r="P28" s="37"/>
      <c r="Q28" s="37" t="s">
        <v>17</v>
      </c>
      <c r="R28" s="37" t="s">
        <v>7</v>
      </c>
      <c r="S28" s="37" t="s">
        <v>8</v>
      </c>
      <c r="T28" s="37" t="s">
        <v>38</v>
      </c>
      <c r="U28" s="37"/>
      <c r="V28" s="37" t="s">
        <v>7</v>
      </c>
      <c r="W28" s="37" t="s">
        <v>26</v>
      </c>
      <c r="X28" s="37" t="s">
        <v>7</v>
      </c>
      <c r="Y28" s="37" t="s">
        <v>114</v>
      </c>
      <c r="Z28" s="37" t="s">
        <v>7</v>
      </c>
      <c r="AA28" s="37" t="s">
        <v>7</v>
      </c>
      <c r="AB28" s="37" t="s">
        <v>7</v>
      </c>
      <c r="AC28" s="37" t="s">
        <v>7</v>
      </c>
      <c r="AD28" s="37" t="s">
        <v>7</v>
      </c>
    </row>
    <row r="29" spans="1:30" x14ac:dyDescent="0.3">
      <c r="A29">
        <f ca="1">DAYS360(INDIRECT(A211&amp;ROW()),TODAY())</f>
        <v>765</v>
      </c>
      <c r="B29">
        <f ca="1">DAYS360(INDIRECT(A210&amp;ROW()),TODAY())</f>
        <v>926</v>
      </c>
      <c r="C29" s="37">
        <v>53543</v>
      </c>
      <c r="D29" s="37" t="s">
        <v>396</v>
      </c>
      <c r="E29" s="37" t="s">
        <v>399</v>
      </c>
      <c r="F29" s="37" t="s">
        <v>146</v>
      </c>
      <c r="G29" s="37" t="s">
        <v>48</v>
      </c>
      <c r="H29" s="37" t="s">
        <v>344</v>
      </c>
      <c r="I29" s="37"/>
      <c r="J29" s="38">
        <v>42125.4452662037</v>
      </c>
      <c r="K29" s="37" t="s">
        <v>20</v>
      </c>
      <c r="L29" s="37" t="s">
        <v>155</v>
      </c>
      <c r="M29" s="38">
        <v>41963.316087962965</v>
      </c>
      <c r="N29" s="37" t="s">
        <v>40</v>
      </c>
      <c r="O29" s="37"/>
      <c r="P29" s="37"/>
      <c r="Q29" s="37" t="s">
        <v>17</v>
      </c>
      <c r="R29" s="37" t="s">
        <v>7</v>
      </c>
      <c r="S29" s="37" t="s">
        <v>8</v>
      </c>
      <c r="T29" s="37" t="s">
        <v>38</v>
      </c>
      <c r="U29" s="37"/>
      <c r="V29" s="37" t="s">
        <v>7</v>
      </c>
      <c r="W29" s="37" t="s">
        <v>10</v>
      </c>
      <c r="X29" s="37" t="s">
        <v>7</v>
      </c>
      <c r="Y29" s="37" t="s">
        <v>114</v>
      </c>
      <c r="Z29" s="37" t="s">
        <v>7</v>
      </c>
      <c r="AA29" s="37" t="s">
        <v>7</v>
      </c>
      <c r="AB29" s="37" t="s">
        <v>7</v>
      </c>
      <c r="AC29" s="37" t="s">
        <v>7</v>
      </c>
      <c r="AD29" s="37" t="s">
        <v>7</v>
      </c>
    </row>
    <row r="30" spans="1:30" x14ac:dyDescent="0.3">
      <c r="A30">
        <f ca="1">DAYS360(INDIRECT(A211&amp;ROW()),TODAY())</f>
        <v>765</v>
      </c>
      <c r="B30">
        <f ca="1">DAYS360(INDIRECT(A210&amp;ROW()),TODAY())</f>
        <v>926</v>
      </c>
      <c r="C30" s="37">
        <v>53546</v>
      </c>
      <c r="D30" s="37" t="s">
        <v>396</v>
      </c>
      <c r="E30" s="37" t="s">
        <v>400</v>
      </c>
      <c r="F30" s="37" t="s">
        <v>146</v>
      </c>
      <c r="G30" s="37" t="s">
        <v>48</v>
      </c>
      <c r="H30" s="37" t="s">
        <v>344</v>
      </c>
      <c r="I30" s="37"/>
      <c r="J30" s="38">
        <v>42125.4453125</v>
      </c>
      <c r="K30" s="37" t="s">
        <v>20</v>
      </c>
      <c r="L30" s="37" t="s">
        <v>155</v>
      </c>
      <c r="M30" s="38">
        <v>41963.316354166665</v>
      </c>
      <c r="N30" s="37" t="s">
        <v>40</v>
      </c>
      <c r="O30" s="37"/>
      <c r="P30" s="37"/>
      <c r="Q30" s="37" t="s">
        <v>17</v>
      </c>
      <c r="R30" s="37" t="s">
        <v>7</v>
      </c>
      <c r="S30" s="37" t="s">
        <v>8</v>
      </c>
      <c r="T30" s="37" t="s">
        <v>38</v>
      </c>
      <c r="U30" s="37"/>
      <c r="V30" s="37" t="s">
        <v>7</v>
      </c>
      <c r="W30" s="37" t="s">
        <v>10</v>
      </c>
      <c r="X30" s="37" t="s">
        <v>7</v>
      </c>
      <c r="Y30" s="37" t="s">
        <v>114</v>
      </c>
      <c r="Z30" s="37" t="s">
        <v>7</v>
      </c>
      <c r="AA30" s="37" t="s">
        <v>7</v>
      </c>
      <c r="AB30" s="37" t="s">
        <v>7</v>
      </c>
      <c r="AC30" s="37" t="s">
        <v>7</v>
      </c>
      <c r="AD30" s="37" t="s">
        <v>7</v>
      </c>
    </row>
    <row r="31" spans="1:30" x14ac:dyDescent="0.3">
      <c r="A31">
        <f ca="1">DAYS360(INDIRECT(A211&amp;ROW()),TODAY())</f>
        <v>765</v>
      </c>
      <c r="B31">
        <f ca="1">DAYS360(INDIRECT(A210&amp;ROW()),TODAY())</f>
        <v>926</v>
      </c>
      <c r="C31" s="37">
        <v>53549</v>
      </c>
      <c r="D31" s="37" t="s">
        <v>396</v>
      </c>
      <c r="E31" s="37" t="s">
        <v>401</v>
      </c>
      <c r="F31" s="37" t="s">
        <v>146</v>
      </c>
      <c r="G31" s="37" t="s">
        <v>48</v>
      </c>
      <c r="H31" s="37" t="s">
        <v>344</v>
      </c>
      <c r="I31" s="37"/>
      <c r="J31" s="38">
        <v>42125.445150462961</v>
      </c>
      <c r="K31" s="37" t="s">
        <v>20</v>
      </c>
      <c r="L31" s="37" t="s">
        <v>155</v>
      </c>
      <c r="M31" s="38">
        <v>41963.316643518519</v>
      </c>
      <c r="N31" s="37" t="s">
        <v>40</v>
      </c>
      <c r="O31" s="37"/>
      <c r="P31" s="37"/>
      <c r="Q31" s="37" t="s">
        <v>17</v>
      </c>
      <c r="R31" s="37" t="s">
        <v>7</v>
      </c>
      <c r="S31" s="37" t="s">
        <v>8</v>
      </c>
      <c r="T31" s="37" t="s">
        <v>38</v>
      </c>
      <c r="U31" s="37"/>
      <c r="V31" s="37" t="s">
        <v>7</v>
      </c>
      <c r="W31" s="37" t="s">
        <v>10</v>
      </c>
      <c r="X31" s="37" t="s">
        <v>7</v>
      </c>
      <c r="Y31" s="37" t="s">
        <v>114</v>
      </c>
      <c r="Z31" s="37" t="s">
        <v>7</v>
      </c>
      <c r="AA31" s="37" t="s">
        <v>7</v>
      </c>
      <c r="AB31" s="37" t="s">
        <v>7</v>
      </c>
      <c r="AC31" s="37" t="s">
        <v>7</v>
      </c>
      <c r="AD31" s="37" t="s">
        <v>7</v>
      </c>
    </row>
    <row r="32" spans="1:30" x14ac:dyDescent="0.3">
      <c r="A32">
        <f ca="1">DAYS360(INDIRECT(A211&amp;ROW()),TODAY())</f>
        <v>844</v>
      </c>
      <c r="B32">
        <f ca="1">DAYS360(INDIRECT(A210&amp;ROW()),TODAY())</f>
        <v>926</v>
      </c>
      <c r="C32" s="37">
        <v>53573</v>
      </c>
      <c r="D32" s="37" t="s">
        <v>402</v>
      </c>
      <c r="E32" s="37" t="s">
        <v>403</v>
      </c>
      <c r="F32" s="37" t="s">
        <v>146</v>
      </c>
      <c r="G32" s="37" t="s">
        <v>48</v>
      </c>
      <c r="H32" s="37" t="s">
        <v>344</v>
      </c>
      <c r="I32" s="37"/>
      <c r="J32" s="38">
        <v>42047.980590277781</v>
      </c>
      <c r="K32" s="37" t="s">
        <v>20</v>
      </c>
      <c r="L32" s="37" t="s">
        <v>231</v>
      </c>
      <c r="M32" s="38">
        <v>41963.319826388892</v>
      </c>
      <c r="N32" s="37" t="s">
        <v>22</v>
      </c>
      <c r="O32" s="37"/>
      <c r="P32" s="37"/>
      <c r="Q32" s="37" t="s">
        <v>17</v>
      </c>
      <c r="R32" s="37" t="s">
        <v>30</v>
      </c>
      <c r="S32" s="37" t="s">
        <v>24</v>
      </c>
      <c r="T32" s="37" t="s">
        <v>404</v>
      </c>
      <c r="U32" s="37"/>
      <c r="V32" s="37" t="s">
        <v>7</v>
      </c>
      <c r="W32" s="37" t="s">
        <v>10</v>
      </c>
      <c r="X32" s="37" t="s">
        <v>7</v>
      </c>
      <c r="Y32" s="37" t="s">
        <v>114</v>
      </c>
      <c r="Z32" s="37" t="s">
        <v>7</v>
      </c>
      <c r="AA32" s="37" t="s">
        <v>7</v>
      </c>
      <c r="AB32" s="37" t="s">
        <v>7</v>
      </c>
      <c r="AC32" s="37" t="s">
        <v>7</v>
      </c>
      <c r="AD32" s="37" t="s">
        <v>7</v>
      </c>
    </row>
    <row r="33" spans="1:30" x14ac:dyDescent="0.3">
      <c r="A33">
        <f ca="1">DAYS360(INDIRECT(A211&amp;ROW()),TODAY())</f>
        <v>765</v>
      </c>
      <c r="B33">
        <f ca="1">DAYS360(INDIRECT(A210&amp;ROW()),TODAY())</f>
        <v>926</v>
      </c>
      <c r="C33" s="37">
        <v>53585</v>
      </c>
      <c r="D33" s="37" t="s">
        <v>52</v>
      </c>
      <c r="E33" s="37" t="s">
        <v>405</v>
      </c>
      <c r="F33" s="37" t="s">
        <v>11</v>
      </c>
      <c r="G33" s="37" t="s">
        <v>48</v>
      </c>
      <c r="H33" s="37" t="s">
        <v>344</v>
      </c>
      <c r="I33" s="37"/>
      <c r="J33" s="38">
        <v>42125.446412037039</v>
      </c>
      <c r="K33" s="37" t="s">
        <v>20</v>
      </c>
      <c r="L33" s="37" t="s">
        <v>3</v>
      </c>
      <c r="M33" s="38">
        <v>41963.321562500001</v>
      </c>
      <c r="N33" s="37" t="s">
        <v>40</v>
      </c>
      <c r="O33" s="37"/>
      <c r="P33" s="37"/>
      <c r="Q33" s="37" t="s">
        <v>6</v>
      </c>
      <c r="R33" s="37" t="s">
        <v>30</v>
      </c>
      <c r="S33" s="37" t="s">
        <v>13</v>
      </c>
      <c r="T33" s="37" t="s">
        <v>19</v>
      </c>
      <c r="U33" s="37"/>
      <c r="V33" s="37" t="s">
        <v>7</v>
      </c>
      <c r="W33" s="37" t="s">
        <v>26</v>
      </c>
      <c r="X33" s="37" t="s">
        <v>7</v>
      </c>
      <c r="Y33" s="37" t="s">
        <v>114</v>
      </c>
      <c r="Z33" s="37" t="s">
        <v>7</v>
      </c>
      <c r="AA33" s="37" t="s">
        <v>7</v>
      </c>
      <c r="AB33" s="37" t="s">
        <v>7</v>
      </c>
      <c r="AC33" s="37" t="s">
        <v>7</v>
      </c>
      <c r="AD33" s="37" t="s">
        <v>7</v>
      </c>
    </row>
    <row r="34" spans="1:30" x14ac:dyDescent="0.3">
      <c r="A34">
        <f ca="1">DAYS360(INDIRECT(A211&amp;ROW()),TODAY())</f>
        <v>765</v>
      </c>
      <c r="B34">
        <f ca="1">DAYS360(INDIRECT(A210&amp;ROW()),TODAY())</f>
        <v>926</v>
      </c>
      <c r="C34" s="37">
        <v>53588</v>
      </c>
      <c r="D34" s="37" t="s">
        <v>324</v>
      </c>
      <c r="E34" s="37" t="s">
        <v>406</v>
      </c>
      <c r="F34" s="37" t="s">
        <v>146</v>
      </c>
      <c r="G34" s="37" t="s">
        <v>48</v>
      </c>
      <c r="H34" s="37" t="s">
        <v>344</v>
      </c>
      <c r="I34" s="37"/>
      <c r="J34" s="38">
        <v>42125.446469907409</v>
      </c>
      <c r="K34" s="37" t="s">
        <v>20</v>
      </c>
      <c r="L34" s="37" t="s">
        <v>407</v>
      </c>
      <c r="M34" s="38">
        <v>41963.321979166663</v>
      </c>
      <c r="N34" s="37" t="s">
        <v>40</v>
      </c>
      <c r="O34" s="37"/>
      <c r="P34" s="37"/>
      <c r="Q34" s="37" t="s">
        <v>17</v>
      </c>
      <c r="R34" s="37" t="s">
        <v>30</v>
      </c>
      <c r="S34" s="37" t="s">
        <v>24</v>
      </c>
      <c r="T34" s="37" t="s">
        <v>31</v>
      </c>
      <c r="U34" s="37"/>
      <c r="V34" s="37" t="s">
        <v>7</v>
      </c>
      <c r="W34" s="37" t="s">
        <v>10</v>
      </c>
      <c r="X34" s="37" t="s">
        <v>7</v>
      </c>
      <c r="Y34" s="37" t="s">
        <v>114</v>
      </c>
      <c r="Z34" s="37" t="s">
        <v>7</v>
      </c>
      <c r="AA34" s="37" t="s">
        <v>7</v>
      </c>
      <c r="AB34" s="37" t="s">
        <v>7</v>
      </c>
      <c r="AC34" s="37" t="s">
        <v>7</v>
      </c>
      <c r="AD34" s="37" t="s">
        <v>7</v>
      </c>
    </row>
    <row r="35" spans="1:30" x14ac:dyDescent="0.3">
      <c r="A35">
        <f ca="1">DAYS360(INDIRECT(A211&amp;ROW()),TODAY())</f>
        <v>765</v>
      </c>
      <c r="B35">
        <f ca="1">DAYS360(INDIRECT(A210&amp;ROW()),TODAY())</f>
        <v>926</v>
      </c>
      <c r="C35" s="37">
        <v>53594</v>
      </c>
      <c r="D35" s="37" t="s">
        <v>376</v>
      </c>
      <c r="E35" s="37" t="s">
        <v>408</v>
      </c>
      <c r="F35" s="37" t="s">
        <v>11</v>
      </c>
      <c r="G35" s="37" t="s">
        <v>48</v>
      </c>
      <c r="H35" s="37" t="s">
        <v>344</v>
      </c>
      <c r="I35" s="37"/>
      <c r="J35" s="38">
        <v>42125.44630787037</v>
      </c>
      <c r="K35" s="37" t="s">
        <v>20</v>
      </c>
      <c r="L35" s="37" t="s">
        <v>409</v>
      </c>
      <c r="M35" s="38">
        <v>41963.322870370372</v>
      </c>
      <c r="N35" s="37" t="s">
        <v>40</v>
      </c>
      <c r="O35" s="37"/>
      <c r="P35" s="37"/>
      <c r="Q35" s="37" t="s">
        <v>6</v>
      </c>
      <c r="R35" s="37" t="s">
        <v>30</v>
      </c>
      <c r="S35" s="37" t="s">
        <v>13</v>
      </c>
      <c r="T35" s="37" t="s">
        <v>19</v>
      </c>
      <c r="U35" s="37"/>
      <c r="V35" s="37" t="s">
        <v>7</v>
      </c>
      <c r="W35" s="37" t="s">
        <v>10</v>
      </c>
      <c r="X35" s="37" t="s">
        <v>7</v>
      </c>
      <c r="Y35" s="37" t="s">
        <v>114</v>
      </c>
      <c r="Z35" s="37" t="s">
        <v>7</v>
      </c>
      <c r="AA35" s="37" t="s">
        <v>7</v>
      </c>
      <c r="AB35" s="37" t="s">
        <v>7</v>
      </c>
      <c r="AC35" s="37" t="s">
        <v>7</v>
      </c>
      <c r="AD35" s="37" t="s">
        <v>7</v>
      </c>
    </row>
    <row r="36" spans="1:30" x14ac:dyDescent="0.3">
      <c r="A36">
        <f ca="1">DAYS360(INDIRECT(A211&amp;ROW()),TODAY())</f>
        <v>765</v>
      </c>
      <c r="B36">
        <f ca="1">DAYS360(INDIRECT(A210&amp;ROW()),TODAY())</f>
        <v>926</v>
      </c>
      <c r="C36" s="37">
        <v>53600</v>
      </c>
      <c r="D36" s="37" t="s">
        <v>332</v>
      </c>
      <c r="E36" s="37" t="s">
        <v>410</v>
      </c>
      <c r="F36" s="37" t="s">
        <v>11</v>
      </c>
      <c r="G36" s="37" t="s">
        <v>48</v>
      </c>
      <c r="H36" s="37" t="s">
        <v>344</v>
      </c>
      <c r="I36" s="37" t="s">
        <v>411</v>
      </c>
      <c r="J36" s="38">
        <v>42125.446342592593</v>
      </c>
      <c r="K36" s="37" t="s">
        <v>20</v>
      </c>
      <c r="L36" s="37" t="s">
        <v>412</v>
      </c>
      <c r="M36" s="38">
        <v>41963.323969907404</v>
      </c>
      <c r="N36" s="37" t="s">
        <v>40</v>
      </c>
      <c r="O36" s="37"/>
      <c r="P36" s="37"/>
      <c r="Q36" s="37" t="s">
        <v>6</v>
      </c>
      <c r="R36" s="37" t="s">
        <v>30</v>
      </c>
      <c r="S36" s="37" t="s">
        <v>24</v>
      </c>
      <c r="T36" s="37" t="s">
        <v>47</v>
      </c>
      <c r="U36" s="37"/>
      <c r="V36" s="37" t="s">
        <v>7</v>
      </c>
      <c r="W36" s="37" t="s">
        <v>10</v>
      </c>
      <c r="X36" s="37" t="s">
        <v>7</v>
      </c>
      <c r="Y36" s="37" t="s">
        <v>114</v>
      </c>
      <c r="Z36" s="37" t="s">
        <v>7</v>
      </c>
      <c r="AA36" s="37" t="s">
        <v>7</v>
      </c>
      <c r="AB36" s="37" t="s">
        <v>7</v>
      </c>
      <c r="AC36" s="37" t="s">
        <v>7</v>
      </c>
      <c r="AD36" s="37" t="s">
        <v>7</v>
      </c>
    </row>
    <row r="37" spans="1:30" x14ac:dyDescent="0.3">
      <c r="A37">
        <f ca="1">DAYS360(INDIRECT(A211&amp;ROW()),TODAY())</f>
        <v>897</v>
      </c>
      <c r="B37">
        <f ca="1">DAYS360(INDIRECT(A210&amp;ROW()),TODAY())</f>
        <v>926</v>
      </c>
      <c r="C37" s="37">
        <v>53667</v>
      </c>
      <c r="D37" s="37" t="s">
        <v>332</v>
      </c>
      <c r="E37" s="37" t="s">
        <v>413</v>
      </c>
      <c r="F37" s="37" t="s">
        <v>11</v>
      </c>
      <c r="G37" s="37" t="s">
        <v>48</v>
      </c>
      <c r="H37" s="37" t="s">
        <v>344</v>
      </c>
      <c r="I37" s="37"/>
      <c r="J37" s="38">
        <v>41992.591354166667</v>
      </c>
      <c r="K37" s="37" t="s">
        <v>20</v>
      </c>
      <c r="L37" s="37" t="s">
        <v>3</v>
      </c>
      <c r="M37" s="38">
        <v>41963.373645833337</v>
      </c>
      <c r="N37" s="37" t="s">
        <v>5</v>
      </c>
      <c r="O37" s="37"/>
      <c r="P37" s="37" t="s">
        <v>53</v>
      </c>
      <c r="Q37" s="37" t="s">
        <v>6</v>
      </c>
      <c r="R37" s="37" t="s">
        <v>30</v>
      </c>
      <c r="S37" s="37" t="s">
        <v>24</v>
      </c>
      <c r="T37" s="37" t="s">
        <v>51</v>
      </c>
      <c r="U37" s="37"/>
      <c r="V37" s="37" t="s">
        <v>7</v>
      </c>
      <c r="W37" s="37" t="s">
        <v>10</v>
      </c>
      <c r="X37" s="37" t="s">
        <v>7</v>
      </c>
      <c r="Y37" s="37" t="s">
        <v>114</v>
      </c>
      <c r="Z37" s="37" t="s">
        <v>7</v>
      </c>
      <c r="AA37" s="37" t="s">
        <v>7</v>
      </c>
      <c r="AB37" s="37" t="s">
        <v>7</v>
      </c>
      <c r="AC37" s="37" t="s">
        <v>7</v>
      </c>
      <c r="AD37" s="37" t="s">
        <v>7</v>
      </c>
    </row>
    <row r="38" spans="1:30" x14ac:dyDescent="0.3">
      <c r="A38">
        <f ca="1">DAYS360(INDIRECT(A211&amp;ROW()),TODAY())</f>
        <v>765</v>
      </c>
      <c r="B38">
        <f ca="1">DAYS360(INDIRECT(A210&amp;ROW()),TODAY())</f>
        <v>926</v>
      </c>
      <c r="C38" s="37">
        <v>53677</v>
      </c>
      <c r="D38" s="37" t="s">
        <v>376</v>
      </c>
      <c r="E38" s="37" t="s">
        <v>414</v>
      </c>
      <c r="F38" s="37" t="s">
        <v>146</v>
      </c>
      <c r="G38" s="37" t="s">
        <v>48</v>
      </c>
      <c r="H38" s="37" t="s">
        <v>344</v>
      </c>
      <c r="I38" s="37"/>
      <c r="J38" s="38">
        <v>42125.448738425926</v>
      </c>
      <c r="K38" s="37" t="s">
        <v>20</v>
      </c>
      <c r="L38" s="37" t="s">
        <v>415</v>
      </c>
      <c r="M38" s="38">
        <v>41963.376620370371</v>
      </c>
      <c r="N38" s="37" t="s">
        <v>40</v>
      </c>
      <c r="O38" s="37"/>
      <c r="P38" s="37"/>
      <c r="Q38" s="37" t="s">
        <v>17</v>
      </c>
      <c r="R38" s="37" t="s">
        <v>30</v>
      </c>
      <c r="S38" s="37" t="s">
        <v>13</v>
      </c>
      <c r="T38" s="37" t="s">
        <v>19</v>
      </c>
      <c r="U38" s="37"/>
      <c r="V38" s="37" t="s">
        <v>7</v>
      </c>
      <c r="W38" s="37" t="s">
        <v>10</v>
      </c>
      <c r="X38" s="37" t="s">
        <v>7</v>
      </c>
      <c r="Y38" s="37" t="s">
        <v>114</v>
      </c>
      <c r="Z38" s="37" t="s">
        <v>7</v>
      </c>
      <c r="AA38" s="37" t="s">
        <v>7</v>
      </c>
      <c r="AB38" s="37" t="s">
        <v>7</v>
      </c>
      <c r="AC38" s="37" t="s">
        <v>7</v>
      </c>
      <c r="AD38" s="37" t="s">
        <v>7</v>
      </c>
    </row>
    <row r="39" spans="1:30" x14ac:dyDescent="0.3">
      <c r="A39">
        <f ca="1">DAYS360(INDIRECT(A211&amp;ROW()),TODAY())</f>
        <v>765</v>
      </c>
      <c r="B39">
        <f ca="1">DAYS360(INDIRECT(A210&amp;ROW()),TODAY())</f>
        <v>926</v>
      </c>
      <c r="C39" s="37">
        <v>53684</v>
      </c>
      <c r="D39" s="37" t="s">
        <v>332</v>
      </c>
      <c r="E39" s="37" t="s">
        <v>416</v>
      </c>
      <c r="F39" s="37" t="s">
        <v>146</v>
      </c>
      <c r="G39" s="37" t="s">
        <v>48</v>
      </c>
      <c r="H39" s="37" t="s">
        <v>344</v>
      </c>
      <c r="I39" s="37"/>
      <c r="J39" s="38">
        <v>42125.644004629627</v>
      </c>
      <c r="K39" s="37" t="s">
        <v>20</v>
      </c>
      <c r="L39" s="37" t="s">
        <v>417</v>
      </c>
      <c r="M39" s="38">
        <v>41963.405358796299</v>
      </c>
      <c r="N39" s="37" t="s">
        <v>43</v>
      </c>
      <c r="O39" s="37"/>
      <c r="P39" s="37"/>
      <c r="Q39" s="37" t="s">
        <v>12</v>
      </c>
      <c r="R39" s="37" t="s">
        <v>7</v>
      </c>
      <c r="S39" s="37" t="s">
        <v>24</v>
      </c>
      <c r="T39" s="37" t="s">
        <v>31</v>
      </c>
      <c r="U39" s="37"/>
      <c r="V39" s="37" t="s">
        <v>7</v>
      </c>
      <c r="W39" s="37" t="s">
        <v>10</v>
      </c>
      <c r="X39" s="37" t="s">
        <v>7</v>
      </c>
      <c r="Y39" s="37" t="s">
        <v>114</v>
      </c>
      <c r="Z39" s="37" t="s">
        <v>7</v>
      </c>
      <c r="AA39" s="37" t="s">
        <v>7</v>
      </c>
      <c r="AB39" s="37" t="s">
        <v>7</v>
      </c>
      <c r="AC39" s="37" t="s">
        <v>7</v>
      </c>
      <c r="AD39" s="37" t="s">
        <v>7</v>
      </c>
    </row>
    <row r="40" spans="1:30" x14ac:dyDescent="0.3">
      <c r="A40">
        <f ca="1">DAYS360(INDIRECT(A211&amp;ROW()),TODAY())</f>
        <v>844</v>
      </c>
      <c r="B40">
        <f ca="1">DAYS360(INDIRECT(A210&amp;ROW()),TODAY())</f>
        <v>926</v>
      </c>
      <c r="C40" s="37">
        <v>53728</v>
      </c>
      <c r="D40" s="37" t="s">
        <v>376</v>
      </c>
      <c r="E40" s="37" t="s">
        <v>418</v>
      </c>
      <c r="F40" s="37" t="s">
        <v>11</v>
      </c>
      <c r="G40" s="37" t="s">
        <v>48</v>
      </c>
      <c r="H40" s="37" t="s">
        <v>344</v>
      </c>
      <c r="I40" s="37"/>
      <c r="J40" s="38">
        <v>42047.974247685182</v>
      </c>
      <c r="K40" s="37" t="s">
        <v>20</v>
      </c>
      <c r="L40" s="37" t="s">
        <v>407</v>
      </c>
      <c r="M40" s="38">
        <v>41963.831631944442</v>
      </c>
      <c r="N40" s="37" t="s">
        <v>5</v>
      </c>
      <c r="O40" s="37"/>
      <c r="P40" s="37"/>
      <c r="Q40" s="37" t="s">
        <v>6</v>
      </c>
      <c r="R40" s="37" t="s">
        <v>7</v>
      </c>
      <c r="S40" s="37" t="s">
        <v>13</v>
      </c>
      <c r="T40" s="37" t="s">
        <v>19</v>
      </c>
      <c r="U40" s="34">
        <v>41901</v>
      </c>
      <c r="V40" s="37" t="s">
        <v>7</v>
      </c>
      <c r="W40" s="37" t="s">
        <v>26</v>
      </c>
      <c r="X40" s="37" t="s">
        <v>7</v>
      </c>
      <c r="Y40" s="37" t="s">
        <v>114</v>
      </c>
      <c r="Z40" s="37" t="s">
        <v>7</v>
      </c>
      <c r="AA40" s="37" t="s">
        <v>7</v>
      </c>
      <c r="AB40" s="37" t="s">
        <v>7</v>
      </c>
      <c r="AC40" s="37" t="s">
        <v>7</v>
      </c>
      <c r="AD40" s="37" t="s">
        <v>7</v>
      </c>
    </row>
    <row r="41" spans="1:30" x14ac:dyDescent="0.3">
      <c r="A41">
        <f ca="1">DAYS360(INDIRECT(A211&amp;ROW()),TODAY())</f>
        <v>765</v>
      </c>
      <c r="B41">
        <f ca="1">DAYS360(INDIRECT(A210&amp;ROW()),TODAY())</f>
        <v>914</v>
      </c>
      <c r="C41" s="37">
        <v>54181</v>
      </c>
      <c r="D41" s="37" t="s">
        <v>376</v>
      </c>
      <c r="E41" s="37" t="s">
        <v>419</v>
      </c>
      <c r="F41" s="37" t="s">
        <v>11</v>
      </c>
      <c r="G41" s="37" t="s">
        <v>48</v>
      </c>
      <c r="H41" s="37" t="s">
        <v>344</v>
      </c>
      <c r="I41" s="37"/>
      <c r="J41" s="38">
        <v>42125.447581018518</v>
      </c>
      <c r="K41" s="37" t="s">
        <v>20</v>
      </c>
      <c r="L41" s="37" t="s">
        <v>351</v>
      </c>
      <c r="M41" s="38">
        <v>41975.38009259259</v>
      </c>
      <c r="N41" s="37" t="s">
        <v>40</v>
      </c>
      <c r="O41" s="37"/>
      <c r="P41" s="37"/>
      <c r="Q41" s="37" t="s">
        <v>6</v>
      </c>
      <c r="R41" s="37" t="s">
        <v>30</v>
      </c>
      <c r="S41" s="37" t="s">
        <v>13</v>
      </c>
      <c r="T41" s="37" t="s">
        <v>19</v>
      </c>
      <c r="U41" s="37"/>
      <c r="V41" s="37" t="s">
        <v>7</v>
      </c>
      <c r="W41" s="37" t="s">
        <v>26</v>
      </c>
      <c r="X41" s="37" t="s">
        <v>7</v>
      </c>
      <c r="Y41" s="37" t="s">
        <v>114</v>
      </c>
      <c r="Z41" s="37" t="s">
        <v>7</v>
      </c>
      <c r="AA41" s="37" t="s">
        <v>7</v>
      </c>
      <c r="AB41" s="37" t="s">
        <v>7</v>
      </c>
      <c r="AC41" s="37" t="s">
        <v>7</v>
      </c>
      <c r="AD41" s="37" t="s">
        <v>7</v>
      </c>
    </row>
    <row r="42" spans="1:30" x14ac:dyDescent="0.3">
      <c r="A42">
        <f ca="1">DAYS360(INDIRECT(A211&amp;ROW()),TODAY())</f>
        <v>765</v>
      </c>
      <c r="B42">
        <f ca="1">DAYS360(INDIRECT(A210&amp;ROW()),TODAY())</f>
        <v>914</v>
      </c>
      <c r="C42" s="37">
        <v>54187</v>
      </c>
      <c r="D42" s="37" t="s">
        <v>342</v>
      </c>
      <c r="E42" s="37" t="s">
        <v>420</v>
      </c>
      <c r="F42" s="37" t="s">
        <v>11</v>
      </c>
      <c r="G42" s="37" t="s">
        <v>48</v>
      </c>
      <c r="H42" s="37" t="s">
        <v>344</v>
      </c>
      <c r="I42" s="37"/>
      <c r="J42" s="38">
        <v>42125.655613425923</v>
      </c>
      <c r="K42" s="37" t="s">
        <v>20</v>
      </c>
      <c r="L42" s="37" t="s">
        <v>351</v>
      </c>
      <c r="M42" s="38">
        <v>41975.393379629626</v>
      </c>
      <c r="N42" s="37" t="s">
        <v>22</v>
      </c>
      <c r="O42" s="37"/>
      <c r="P42" s="37"/>
      <c r="Q42" s="37" t="s">
        <v>6</v>
      </c>
      <c r="R42" s="37" t="s">
        <v>30</v>
      </c>
      <c r="S42" s="37" t="s">
        <v>24</v>
      </c>
      <c r="T42" s="37" t="s">
        <v>46</v>
      </c>
      <c r="U42" s="37"/>
      <c r="V42" s="37" t="s">
        <v>7</v>
      </c>
      <c r="W42" s="37" t="s">
        <v>10</v>
      </c>
      <c r="X42" s="37" t="s">
        <v>7</v>
      </c>
      <c r="Y42" s="37" t="s">
        <v>114</v>
      </c>
      <c r="Z42" s="37" t="s">
        <v>7</v>
      </c>
      <c r="AA42" s="37" t="s">
        <v>7</v>
      </c>
      <c r="AB42" s="37" t="s">
        <v>7</v>
      </c>
      <c r="AC42" s="37" t="s">
        <v>7</v>
      </c>
      <c r="AD42" s="37" t="s">
        <v>7</v>
      </c>
    </row>
    <row r="43" spans="1:30" x14ac:dyDescent="0.3">
      <c r="A43">
        <f ca="1">DAYS360(INDIRECT(A211&amp;ROW()),TODAY())</f>
        <v>777</v>
      </c>
      <c r="B43">
        <f ca="1">DAYS360(INDIRECT(A210&amp;ROW()),TODAY())</f>
        <v>914</v>
      </c>
      <c r="C43" s="37">
        <v>54199</v>
      </c>
      <c r="D43" s="37" t="s">
        <v>376</v>
      </c>
      <c r="E43" s="37" t="s">
        <v>421</v>
      </c>
      <c r="F43" s="37" t="s">
        <v>146</v>
      </c>
      <c r="G43" s="37" t="s">
        <v>48</v>
      </c>
      <c r="H43" s="37" t="s">
        <v>344</v>
      </c>
      <c r="I43" s="37"/>
      <c r="J43" s="38">
        <v>42113.598020833335</v>
      </c>
      <c r="K43" s="37" t="s">
        <v>20</v>
      </c>
      <c r="L43" s="37" t="s">
        <v>351</v>
      </c>
      <c r="M43" s="38">
        <v>41975.430879629632</v>
      </c>
      <c r="N43" s="37" t="s">
        <v>29</v>
      </c>
      <c r="O43" s="37"/>
      <c r="P43" s="37"/>
      <c r="Q43" s="37" t="s">
        <v>12</v>
      </c>
      <c r="R43" s="37" t="s">
        <v>30</v>
      </c>
      <c r="S43" s="37" t="s">
        <v>13</v>
      </c>
      <c r="T43" s="37" t="s">
        <v>19</v>
      </c>
      <c r="U43" s="37"/>
      <c r="V43" s="37" t="s">
        <v>7</v>
      </c>
      <c r="W43" s="37" t="s">
        <v>10</v>
      </c>
      <c r="X43" s="37" t="s">
        <v>7</v>
      </c>
      <c r="Y43" s="37" t="s">
        <v>114</v>
      </c>
      <c r="Z43" s="37" t="s">
        <v>7</v>
      </c>
      <c r="AA43" s="37" t="s">
        <v>7</v>
      </c>
      <c r="AB43" s="37" t="s">
        <v>7</v>
      </c>
      <c r="AC43" s="37" t="s">
        <v>7</v>
      </c>
      <c r="AD43" s="37" t="s">
        <v>7</v>
      </c>
    </row>
    <row r="44" spans="1:30" x14ac:dyDescent="0.3">
      <c r="A44">
        <f ca="1">DAYS360(INDIRECT(A211&amp;ROW()),TODAY())</f>
        <v>765</v>
      </c>
      <c r="B44">
        <f ca="1">DAYS360(INDIRECT(A210&amp;ROW()),TODAY())</f>
        <v>913</v>
      </c>
      <c r="C44" s="37">
        <v>54272</v>
      </c>
      <c r="D44" s="37" t="s">
        <v>376</v>
      </c>
      <c r="E44" s="37" t="s">
        <v>422</v>
      </c>
      <c r="F44" s="37" t="s">
        <v>11</v>
      </c>
      <c r="G44" s="37" t="s">
        <v>48</v>
      </c>
      <c r="H44" s="37" t="s">
        <v>344</v>
      </c>
      <c r="I44" s="37"/>
      <c r="J44" s="38">
        <v>42125.448750000003</v>
      </c>
      <c r="K44" s="37" t="s">
        <v>20</v>
      </c>
      <c r="L44" s="37" t="s">
        <v>423</v>
      </c>
      <c r="M44" s="38">
        <v>41976.671122685184</v>
      </c>
      <c r="N44" s="37" t="s">
        <v>40</v>
      </c>
      <c r="O44" s="37"/>
      <c r="P44" s="37"/>
      <c r="Q44" s="37" t="s">
        <v>6</v>
      </c>
      <c r="R44" s="37" t="s">
        <v>30</v>
      </c>
      <c r="S44" s="37" t="s">
        <v>13</v>
      </c>
      <c r="T44" s="37" t="s">
        <v>19</v>
      </c>
      <c r="U44" s="37"/>
      <c r="V44" s="37" t="s">
        <v>7</v>
      </c>
      <c r="W44" s="37" t="s">
        <v>10</v>
      </c>
      <c r="X44" s="37" t="s">
        <v>7</v>
      </c>
      <c r="Y44" s="37" t="s">
        <v>114</v>
      </c>
      <c r="Z44" s="37" t="s">
        <v>7</v>
      </c>
      <c r="AA44" s="37" t="s">
        <v>7</v>
      </c>
      <c r="AB44" s="37" t="s">
        <v>7</v>
      </c>
      <c r="AC44" s="37" t="s">
        <v>7</v>
      </c>
      <c r="AD44" s="37" t="s">
        <v>7</v>
      </c>
    </row>
    <row r="45" spans="1:30" x14ac:dyDescent="0.3">
      <c r="A45">
        <f ca="1">DAYS360(INDIRECT(A211&amp;ROW()),TODAY())</f>
        <v>600</v>
      </c>
      <c r="B45">
        <f ca="1">DAYS360(INDIRECT(A210&amp;ROW()),TODAY())</f>
        <v>913</v>
      </c>
      <c r="C45" s="37">
        <v>54281</v>
      </c>
      <c r="D45" s="37" t="s">
        <v>339</v>
      </c>
      <c r="E45" s="37" t="s">
        <v>424</v>
      </c>
      <c r="F45" s="37" t="s">
        <v>146</v>
      </c>
      <c r="G45" s="37" t="s">
        <v>48</v>
      </c>
      <c r="H45" s="37" t="s">
        <v>344</v>
      </c>
      <c r="I45" s="37"/>
      <c r="J45" s="38">
        <v>42293.439687500002</v>
      </c>
      <c r="K45" s="37" t="s">
        <v>20</v>
      </c>
      <c r="L45" s="37" t="s">
        <v>356</v>
      </c>
      <c r="M45" s="38">
        <v>41976.675428240742</v>
      </c>
      <c r="N45" s="37" t="s">
        <v>22</v>
      </c>
      <c r="O45" s="37"/>
      <c r="P45" s="37"/>
      <c r="Q45" s="37" t="s">
        <v>17</v>
      </c>
      <c r="R45" s="37" t="s">
        <v>30</v>
      </c>
      <c r="S45" s="37" t="s">
        <v>24</v>
      </c>
      <c r="T45" s="37" t="s">
        <v>404</v>
      </c>
      <c r="U45" s="37"/>
      <c r="V45" s="37" t="s">
        <v>7</v>
      </c>
      <c r="W45" s="37" t="s">
        <v>10</v>
      </c>
      <c r="X45" s="37" t="s">
        <v>7</v>
      </c>
      <c r="Y45" s="37" t="s">
        <v>114</v>
      </c>
      <c r="Z45" s="37" t="s">
        <v>7</v>
      </c>
      <c r="AA45" s="37" t="s">
        <v>7</v>
      </c>
      <c r="AB45" s="37" t="s">
        <v>7</v>
      </c>
      <c r="AC45" s="37" t="s">
        <v>7</v>
      </c>
      <c r="AD45" s="37" t="s">
        <v>7</v>
      </c>
    </row>
    <row r="46" spans="1:30" x14ac:dyDescent="0.3">
      <c r="A46">
        <f ca="1">DAYS360(INDIRECT(A211&amp;ROW()),TODAY())</f>
        <v>581</v>
      </c>
      <c r="B46">
        <f ca="1">DAYS360(INDIRECT(A210&amp;ROW()),TODAY())</f>
        <v>911</v>
      </c>
      <c r="C46" s="37">
        <v>54394</v>
      </c>
      <c r="D46" s="37" t="s">
        <v>339</v>
      </c>
      <c r="E46" s="37" t="s">
        <v>425</v>
      </c>
      <c r="F46" s="37" t="s">
        <v>11</v>
      </c>
      <c r="G46" s="37" t="s">
        <v>48</v>
      </c>
      <c r="H46" s="37" t="s">
        <v>344</v>
      </c>
      <c r="I46" s="37"/>
      <c r="J46" s="38">
        <v>42313.350613425922</v>
      </c>
      <c r="K46" s="37" t="s">
        <v>20</v>
      </c>
      <c r="L46" s="37" t="s">
        <v>415</v>
      </c>
      <c r="M46" s="38">
        <v>41978.42869212963</v>
      </c>
      <c r="N46" s="37" t="s">
        <v>84</v>
      </c>
      <c r="O46" s="37"/>
      <c r="P46" s="37"/>
      <c r="Q46" s="37" t="s">
        <v>6</v>
      </c>
      <c r="R46" s="37" t="s">
        <v>30</v>
      </c>
      <c r="S46" s="37" t="s">
        <v>8</v>
      </c>
      <c r="T46" s="37" t="s">
        <v>122</v>
      </c>
      <c r="U46" s="37"/>
      <c r="V46" s="37" t="s">
        <v>7</v>
      </c>
      <c r="W46" s="37" t="s">
        <v>10</v>
      </c>
      <c r="X46" s="37" t="s">
        <v>7</v>
      </c>
      <c r="Y46" s="37" t="s">
        <v>114</v>
      </c>
      <c r="Z46" s="37" t="s">
        <v>7</v>
      </c>
      <c r="AA46" s="37" t="s">
        <v>7</v>
      </c>
      <c r="AB46" s="37" t="s">
        <v>7</v>
      </c>
      <c r="AC46" s="37" t="s">
        <v>7</v>
      </c>
      <c r="AD46" s="37" t="s">
        <v>7</v>
      </c>
    </row>
    <row r="47" spans="1:30" x14ac:dyDescent="0.3">
      <c r="A47">
        <f ca="1">DAYS360(INDIRECT(A211&amp;ROW()),TODAY())</f>
        <v>813</v>
      </c>
      <c r="B47">
        <f ca="1">DAYS360(INDIRECT(A210&amp;ROW()),TODAY())</f>
        <v>898</v>
      </c>
      <c r="C47" s="37">
        <v>54988</v>
      </c>
      <c r="D47" s="37" t="s">
        <v>343</v>
      </c>
      <c r="E47" s="37" t="s">
        <v>426</v>
      </c>
      <c r="F47" s="37" t="s">
        <v>11</v>
      </c>
      <c r="G47" s="37" t="s">
        <v>48</v>
      </c>
      <c r="H47" s="37" t="s">
        <v>339</v>
      </c>
      <c r="I47" s="37"/>
      <c r="J47" s="38">
        <v>42076.528506944444</v>
      </c>
      <c r="K47" s="37" t="s">
        <v>20</v>
      </c>
      <c r="L47" s="37" t="s">
        <v>3</v>
      </c>
      <c r="M47" s="38">
        <v>41991.541261574072</v>
      </c>
      <c r="N47" s="37" t="s">
        <v>120</v>
      </c>
      <c r="O47" s="37"/>
      <c r="P47" s="37"/>
      <c r="Q47" s="37" t="s">
        <v>6</v>
      </c>
      <c r="R47" s="37" t="s">
        <v>30</v>
      </c>
      <c r="S47" s="37" t="s">
        <v>24</v>
      </c>
      <c r="T47" s="37" t="s">
        <v>47</v>
      </c>
      <c r="U47" s="37"/>
      <c r="V47" s="37" t="s">
        <v>7</v>
      </c>
      <c r="W47" s="37" t="s">
        <v>10</v>
      </c>
      <c r="X47" s="37" t="s">
        <v>7</v>
      </c>
      <c r="Y47" s="37" t="s">
        <v>114</v>
      </c>
      <c r="Z47" s="37" t="s">
        <v>7</v>
      </c>
      <c r="AA47" s="37" t="s">
        <v>7</v>
      </c>
      <c r="AB47" s="37" t="s">
        <v>7</v>
      </c>
      <c r="AC47" s="37" t="s">
        <v>7</v>
      </c>
      <c r="AD47" s="37" t="s">
        <v>7</v>
      </c>
    </row>
    <row r="48" spans="1:30" x14ac:dyDescent="0.3">
      <c r="A48">
        <f ca="1">DAYS360(INDIRECT(A211&amp;ROW()),TODAY())</f>
        <v>600</v>
      </c>
      <c r="B48">
        <f ca="1">DAYS360(INDIRECT(A210&amp;ROW()),TODAY())</f>
        <v>889</v>
      </c>
      <c r="C48" s="37">
        <v>55139</v>
      </c>
      <c r="D48" s="37" t="s">
        <v>339</v>
      </c>
      <c r="E48" s="37" t="s">
        <v>427</v>
      </c>
      <c r="F48" s="37" t="s">
        <v>11</v>
      </c>
      <c r="G48" s="37" t="s">
        <v>48</v>
      </c>
      <c r="H48" s="37" t="s">
        <v>428</v>
      </c>
      <c r="I48" s="37"/>
      <c r="J48" s="38">
        <v>42293.439664351848</v>
      </c>
      <c r="K48" s="37" t="s">
        <v>20</v>
      </c>
      <c r="L48" s="37" t="s">
        <v>429</v>
      </c>
      <c r="M48" s="38">
        <v>42000.001817129632</v>
      </c>
      <c r="N48" s="37" t="s">
        <v>29</v>
      </c>
      <c r="O48" s="37"/>
      <c r="P48" s="37"/>
      <c r="Q48" s="37" t="s">
        <v>6</v>
      </c>
      <c r="R48" s="37" t="s">
        <v>30</v>
      </c>
      <c r="S48" s="37" t="s">
        <v>8</v>
      </c>
      <c r="T48" s="37" t="s">
        <v>38</v>
      </c>
      <c r="U48" s="37"/>
      <c r="V48" s="37" t="s">
        <v>7</v>
      </c>
      <c r="W48" s="37" t="s">
        <v>10</v>
      </c>
      <c r="X48" s="37" t="s">
        <v>7</v>
      </c>
      <c r="Y48" s="37" t="s">
        <v>114</v>
      </c>
      <c r="Z48" s="37" t="s">
        <v>7</v>
      </c>
      <c r="AA48" s="37" t="s">
        <v>7</v>
      </c>
      <c r="AB48" s="37" t="s">
        <v>7</v>
      </c>
      <c r="AC48" s="37" t="s">
        <v>7</v>
      </c>
      <c r="AD48" s="37" t="s">
        <v>7</v>
      </c>
    </row>
    <row r="49" spans="1:30" x14ac:dyDescent="0.3">
      <c r="A49">
        <f ca="1">DAYS360(INDIRECT(A211&amp;ROW()),TODAY())</f>
        <v>622</v>
      </c>
      <c r="B49">
        <f ca="1">DAYS360(INDIRECT(A210&amp;ROW()),TODAY())</f>
        <v>880</v>
      </c>
      <c r="C49" s="37">
        <v>55222</v>
      </c>
      <c r="D49" s="37" t="s">
        <v>376</v>
      </c>
      <c r="E49" s="37" t="s">
        <v>430</v>
      </c>
      <c r="F49" s="37" t="s">
        <v>146</v>
      </c>
      <c r="G49" s="37" t="s">
        <v>48</v>
      </c>
      <c r="H49" s="37" t="s">
        <v>339</v>
      </c>
      <c r="I49" s="37"/>
      <c r="J49" s="38">
        <v>42271.630219907405</v>
      </c>
      <c r="K49" s="37" t="s">
        <v>20</v>
      </c>
      <c r="L49" s="37" t="s">
        <v>429</v>
      </c>
      <c r="M49" s="38">
        <v>42010.32135416667</v>
      </c>
      <c r="N49" s="37" t="s">
        <v>50</v>
      </c>
      <c r="O49" s="37"/>
      <c r="P49" s="37"/>
      <c r="Q49" s="37" t="s">
        <v>17</v>
      </c>
      <c r="R49" s="37" t="s">
        <v>30</v>
      </c>
      <c r="S49" s="37" t="s">
        <v>13</v>
      </c>
      <c r="T49" s="37" t="s">
        <v>19</v>
      </c>
      <c r="U49" s="37"/>
      <c r="V49" s="37" t="s">
        <v>7</v>
      </c>
      <c r="W49" s="37" t="s">
        <v>10</v>
      </c>
      <c r="X49" s="37" t="s">
        <v>7</v>
      </c>
      <c r="Y49" s="37" t="s">
        <v>114</v>
      </c>
      <c r="Z49" s="37" t="s">
        <v>7</v>
      </c>
      <c r="AA49" s="37" t="s">
        <v>7</v>
      </c>
      <c r="AB49" s="37" t="s">
        <v>7</v>
      </c>
      <c r="AC49" s="37" t="s">
        <v>7</v>
      </c>
      <c r="AD49" s="37" t="s">
        <v>7</v>
      </c>
    </row>
    <row r="50" spans="1:30" x14ac:dyDescent="0.3">
      <c r="A50">
        <f ca="1">DAYS360(INDIRECT(A211&amp;ROW()),TODAY())</f>
        <v>611</v>
      </c>
      <c r="B50">
        <f ca="1">DAYS360(INDIRECT(A210&amp;ROW()),TODAY())</f>
        <v>879</v>
      </c>
      <c r="C50" s="37">
        <v>55302</v>
      </c>
      <c r="D50" s="37" t="s">
        <v>339</v>
      </c>
      <c r="E50" s="37" t="s">
        <v>431</v>
      </c>
      <c r="F50" s="37" t="s">
        <v>146</v>
      </c>
      <c r="G50" s="37" t="s">
        <v>48</v>
      </c>
      <c r="H50" s="37" t="s">
        <v>344</v>
      </c>
      <c r="I50" s="37"/>
      <c r="J50" s="38">
        <v>42282.289652777778</v>
      </c>
      <c r="K50" s="37" t="s">
        <v>20</v>
      </c>
      <c r="L50" s="37" t="s">
        <v>432</v>
      </c>
      <c r="M50" s="38">
        <v>42011.331990740742</v>
      </c>
      <c r="N50" s="37" t="s">
        <v>5</v>
      </c>
      <c r="O50" s="37"/>
      <c r="P50" s="37"/>
      <c r="Q50" s="37" t="s">
        <v>17</v>
      </c>
      <c r="R50" s="37" t="s">
        <v>7</v>
      </c>
      <c r="S50" s="37" t="s">
        <v>13</v>
      </c>
      <c r="T50" s="37" t="s">
        <v>19</v>
      </c>
      <c r="U50" s="37"/>
      <c r="V50" s="37" t="s">
        <v>7</v>
      </c>
      <c r="W50" s="37" t="s">
        <v>10</v>
      </c>
      <c r="X50" s="37" t="s">
        <v>7</v>
      </c>
      <c r="Y50" s="37" t="s">
        <v>114</v>
      </c>
      <c r="Z50" s="37" t="s">
        <v>7</v>
      </c>
      <c r="AA50" s="37" t="s">
        <v>7</v>
      </c>
      <c r="AB50" s="37" t="s">
        <v>7</v>
      </c>
      <c r="AC50" s="37" t="s">
        <v>7</v>
      </c>
      <c r="AD50" s="37" t="s">
        <v>7</v>
      </c>
    </row>
    <row r="51" spans="1:30" x14ac:dyDescent="0.3">
      <c r="A51">
        <f ca="1">DAYS360(INDIRECT(A211&amp;ROW()),TODAY())</f>
        <v>765</v>
      </c>
      <c r="B51">
        <f ca="1">DAYS360(INDIRECT(A210&amp;ROW()),TODAY())</f>
        <v>879</v>
      </c>
      <c r="C51" s="37">
        <v>55316</v>
      </c>
      <c r="D51" s="37" t="s">
        <v>376</v>
      </c>
      <c r="E51" s="37" t="s">
        <v>433</v>
      </c>
      <c r="F51" s="37" t="s">
        <v>11</v>
      </c>
      <c r="G51" s="37" t="s">
        <v>48</v>
      </c>
      <c r="H51" s="37" t="s">
        <v>382</v>
      </c>
      <c r="I51" s="37"/>
      <c r="J51" s="38">
        <v>42125.449699074074</v>
      </c>
      <c r="K51" s="37" t="s">
        <v>20</v>
      </c>
      <c r="L51" s="37" t="s">
        <v>356</v>
      </c>
      <c r="M51" s="38">
        <v>42011.550023148149</v>
      </c>
      <c r="N51" s="37" t="s">
        <v>40</v>
      </c>
      <c r="O51" s="37"/>
      <c r="P51" s="37"/>
      <c r="Q51" s="37" t="s">
        <v>6</v>
      </c>
      <c r="R51" s="37" t="s">
        <v>30</v>
      </c>
      <c r="S51" s="37" t="s">
        <v>13</v>
      </c>
      <c r="T51" s="37" t="s">
        <v>19</v>
      </c>
      <c r="U51" s="37"/>
      <c r="V51" s="37" t="s">
        <v>7</v>
      </c>
      <c r="W51" s="37" t="s">
        <v>10</v>
      </c>
      <c r="X51" s="37" t="s">
        <v>7</v>
      </c>
      <c r="Y51" s="37" t="s">
        <v>114</v>
      </c>
      <c r="Z51" s="37" t="s">
        <v>7</v>
      </c>
      <c r="AA51" s="37" t="s">
        <v>7</v>
      </c>
      <c r="AB51" s="37" t="s">
        <v>7</v>
      </c>
      <c r="AC51" s="37" t="s">
        <v>7</v>
      </c>
      <c r="AD51" s="37" t="s">
        <v>7</v>
      </c>
    </row>
    <row r="52" spans="1:30" x14ac:dyDescent="0.3">
      <c r="A52">
        <f ca="1">DAYS360(INDIRECT(A211&amp;ROW()),TODAY())</f>
        <v>728</v>
      </c>
      <c r="B52">
        <f ca="1">DAYS360(INDIRECT(A210&amp;ROW()),TODAY())</f>
        <v>877</v>
      </c>
      <c r="C52" s="37">
        <v>55416</v>
      </c>
      <c r="D52" s="37" t="s">
        <v>376</v>
      </c>
      <c r="E52" s="37" t="s">
        <v>434</v>
      </c>
      <c r="F52" s="37" t="s">
        <v>11</v>
      </c>
      <c r="G52" s="37" t="s">
        <v>48</v>
      </c>
      <c r="H52" s="37" t="s">
        <v>344</v>
      </c>
      <c r="I52" s="37"/>
      <c r="J52" s="38">
        <v>42163.61037037037</v>
      </c>
      <c r="K52" s="37" t="s">
        <v>20</v>
      </c>
      <c r="L52" s="37" t="s">
        <v>351</v>
      </c>
      <c r="M52" s="38">
        <v>42013.560266203705</v>
      </c>
      <c r="N52" s="37" t="s">
        <v>40</v>
      </c>
      <c r="O52" s="37"/>
      <c r="P52" s="37"/>
      <c r="Q52" s="37" t="s">
        <v>6</v>
      </c>
      <c r="R52" s="37" t="s">
        <v>30</v>
      </c>
      <c r="S52" s="37" t="s">
        <v>13</v>
      </c>
      <c r="T52" s="37" t="s">
        <v>19</v>
      </c>
      <c r="U52" s="37"/>
      <c r="V52" s="37" t="s">
        <v>7</v>
      </c>
      <c r="W52" s="37" t="s">
        <v>10</v>
      </c>
      <c r="X52" s="37" t="s">
        <v>7</v>
      </c>
      <c r="Y52" s="37" t="s">
        <v>114</v>
      </c>
      <c r="Z52" s="37" t="s">
        <v>7</v>
      </c>
      <c r="AA52" s="37" t="s">
        <v>7</v>
      </c>
      <c r="AB52" s="37" t="s">
        <v>7</v>
      </c>
      <c r="AC52" s="37" t="s">
        <v>7</v>
      </c>
      <c r="AD52" s="37" t="s">
        <v>7</v>
      </c>
    </row>
    <row r="53" spans="1:30" x14ac:dyDescent="0.3">
      <c r="A53">
        <f ca="1">DAYS360(INDIRECT(A211&amp;ROW()),TODAY())</f>
        <v>844</v>
      </c>
      <c r="B53">
        <f ca="1">DAYS360(INDIRECT(A210&amp;ROW()),TODAY())</f>
        <v>865</v>
      </c>
      <c r="C53" s="37">
        <v>55923</v>
      </c>
      <c r="D53" s="37" t="s">
        <v>376</v>
      </c>
      <c r="E53" s="37" t="s">
        <v>435</v>
      </c>
      <c r="F53" s="37" t="s">
        <v>11</v>
      </c>
      <c r="G53" s="37" t="s">
        <v>48</v>
      </c>
      <c r="H53" s="37" t="s">
        <v>81</v>
      </c>
      <c r="I53" s="37"/>
      <c r="J53" s="38">
        <v>42047.512106481481</v>
      </c>
      <c r="K53" s="37" t="s">
        <v>20</v>
      </c>
      <c r="L53" s="37" t="s">
        <v>436</v>
      </c>
      <c r="M53" s="38">
        <v>42025.479351851849</v>
      </c>
      <c r="N53" s="37" t="s">
        <v>116</v>
      </c>
      <c r="O53" s="37"/>
      <c r="P53" s="37"/>
      <c r="Q53" s="37" t="s">
        <v>6</v>
      </c>
      <c r="R53" s="37" t="s">
        <v>30</v>
      </c>
      <c r="S53" s="37" t="s">
        <v>13</v>
      </c>
      <c r="T53" s="37" t="s">
        <v>19</v>
      </c>
      <c r="U53" s="37"/>
      <c r="V53" s="37" t="s">
        <v>7</v>
      </c>
      <c r="W53" s="37" t="s">
        <v>10</v>
      </c>
      <c r="X53" s="37" t="s">
        <v>7</v>
      </c>
      <c r="Y53" s="37" t="s">
        <v>114</v>
      </c>
      <c r="Z53" s="37" t="s">
        <v>7</v>
      </c>
      <c r="AA53" s="37" t="s">
        <v>7</v>
      </c>
      <c r="AB53" s="37" t="s">
        <v>7</v>
      </c>
      <c r="AC53" s="37" t="s">
        <v>7</v>
      </c>
      <c r="AD53" s="37" t="s">
        <v>7</v>
      </c>
    </row>
    <row r="54" spans="1:30" x14ac:dyDescent="0.3">
      <c r="A54">
        <f ca="1">DAYS360(INDIRECT(A211&amp;ROW()),TODAY())</f>
        <v>765</v>
      </c>
      <c r="B54">
        <f ca="1">DAYS360(INDIRECT(A210&amp;ROW()),TODAY())</f>
        <v>865</v>
      </c>
      <c r="C54" s="37">
        <v>55934</v>
      </c>
      <c r="D54" s="37" t="s">
        <v>376</v>
      </c>
      <c r="E54" s="37" t="s">
        <v>437</v>
      </c>
      <c r="F54" s="37" t="s">
        <v>11</v>
      </c>
      <c r="G54" s="37" t="s">
        <v>48</v>
      </c>
      <c r="H54" s="37" t="s">
        <v>81</v>
      </c>
      <c r="I54" s="37"/>
      <c r="J54" s="38">
        <v>42125.451736111114</v>
      </c>
      <c r="K54" s="37" t="s">
        <v>20</v>
      </c>
      <c r="L54" s="37" t="s">
        <v>436</v>
      </c>
      <c r="M54" s="38">
        <v>42025.632627314815</v>
      </c>
      <c r="N54" s="37" t="s">
        <v>40</v>
      </c>
      <c r="O54" s="37"/>
      <c r="P54" s="37"/>
      <c r="Q54" s="37" t="s">
        <v>6</v>
      </c>
      <c r="R54" s="37" t="s">
        <v>30</v>
      </c>
      <c r="S54" s="37" t="s">
        <v>13</v>
      </c>
      <c r="T54" s="37" t="s">
        <v>19</v>
      </c>
      <c r="U54" s="37"/>
      <c r="V54" s="37" t="s">
        <v>7</v>
      </c>
      <c r="W54" s="37" t="s">
        <v>10</v>
      </c>
      <c r="X54" s="37" t="s">
        <v>7</v>
      </c>
      <c r="Y54" s="37" t="s">
        <v>114</v>
      </c>
      <c r="Z54" s="37" t="s">
        <v>7</v>
      </c>
      <c r="AA54" s="37" t="s">
        <v>7</v>
      </c>
      <c r="AB54" s="37" t="s">
        <v>7</v>
      </c>
      <c r="AC54" s="37" t="s">
        <v>7</v>
      </c>
      <c r="AD54" s="37" t="s">
        <v>7</v>
      </c>
    </row>
    <row r="55" spans="1:30" x14ac:dyDescent="0.3">
      <c r="A55">
        <f ca="1">DAYS360(INDIRECT(A211&amp;ROW()),TODAY())</f>
        <v>765</v>
      </c>
      <c r="B55">
        <f ca="1">DAYS360(INDIRECT(A210&amp;ROW()),TODAY())</f>
        <v>865</v>
      </c>
      <c r="C55" s="37">
        <v>55935</v>
      </c>
      <c r="D55" s="37" t="s">
        <v>376</v>
      </c>
      <c r="E55" s="37" t="s">
        <v>438</v>
      </c>
      <c r="F55" s="37" t="s">
        <v>11</v>
      </c>
      <c r="G55" s="37" t="s">
        <v>48</v>
      </c>
      <c r="H55" s="37" t="s">
        <v>81</v>
      </c>
      <c r="I55" s="37"/>
      <c r="J55" s="38">
        <v>42125.450902777775</v>
      </c>
      <c r="K55" s="37" t="s">
        <v>20</v>
      </c>
      <c r="L55" s="37" t="s">
        <v>436</v>
      </c>
      <c r="M55" s="38">
        <v>42025.634236111109</v>
      </c>
      <c r="N55" s="37" t="s">
        <v>40</v>
      </c>
      <c r="O55" s="37"/>
      <c r="P55" s="37"/>
      <c r="Q55" s="37" t="s">
        <v>6</v>
      </c>
      <c r="R55" s="37" t="s">
        <v>30</v>
      </c>
      <c r="S55" s="37" t="s">
        <v>13</v>
      </c>
      <c r="T55" s="37" t="s">
        <v>19</v>
      </c>
      <c r="U55" s="37"/>
      <c r="V55" s="37" t="s">
        <v>7</v>
      </c>
      <c r="W55" s="37" t="s">
        <v>10</v>
      </c>
      <c r="X55" s="37" t="s">
        <v>7</v>
      </c>
      <c r="Y55" s="37" t="s">
        <v>114</v>
      </c>
      <c r="Z55" s="37" t="s">
        <v>7</v>
      </c>
      <c r="AA55" s="37" t="s">
        <v>7</v>
      </c>
      <c r="AB55" s="37" t="s">
        <v>7</v>
      </c>
      <c r="AC55" s="37" t="s">
        <v>7</v>
      </c>
      <c r="AD55" s="37" t="s">
        <v>7</v>
      </c>
    </row>
    <row r="56" spans="1:30" x14ac:dyDescent="0.3">
      <c r="A56">
        <f ca="1">DAYS360(INDIRECT(A211&amp;ROW()),TODAY())</f>
        <v>765</v>
      </c>
      <c r="B56">
        <f ca="1">DAYS360(INDIRECT(A210&amp;ROW()),TODAY())</f>
        <v>864</v>
      </c>
      <c r="C56" s="37">
        <v>55976</v>
      </c>
      <c r="D56" s="37" t="s">
        <v>376</v>
      </c>
      <c r="E56" s="37" t="s">
        <v>439</v>
      </c>
      <c r="F56" s="37" t="s">
        <v>11</v>
      </c>
      <c r="G56" s="37" t="s">
        <v>48</v>
      </c>
      <c r="H56" s="37" t="s">
        <v>81</v>
      </c>
      <c r="I56" s="37"/>
      <c r="J56" s="38">
        <v>42125.451678240737</v>
      </c>
      <c r="K56" s="37" t="s">
        <v>20</v>
      </c>
      <c r="L56" s="37" t="s">
        <v>436</v>
      </c>
      <c r="M56" s="38">
        <v>42026.495092592595</v>
      </c>
      <c r="N56" s="37" t="s">
        <v>40</v>
      </c>
      <c r="O56" s="37"/>
      <c r="P56" s="37"/>
      <c r="Q56" s="37" t="s">
        <v>6</v>
      </c>
      <c r="R56" s="37" t="s">
        <v>30</v>
      </c>
      <c r="S56" s="37" t="s">
        <v>13</v>
      </c>
      <c r="T56" s="37" t="s">
        <v>19</v>
      </c>
      <c r="U56" s="37"/>
      <c r="V56" s="37" t="s">
        <v>7</v>
      </c>
      <c r="W56" s="37" t="s">
        <v>10</v>
      </c>
      <c r="X56" s="37" t="s">
        <v>7</v>
      </c>
      <c r="Y56" s="37" t="s">
        <v>114</v>
      </c>
      <c r="Z56" s="37" t="s">
        <v>7</v>
      </c>
      <c r="AA56" s="37" t="s">
        <v>7</v>
      </c>
      <c r="AB56" s="37" t="s">
        <v>7</v>
      </c>
      <c r="AC56" s="37" t="s">
        <v>7</v>
      </c>
      <c r="AD56" s="37" t="s">
        <v>7</v>
      </c>
    </row>
    <row r="57" spans="1:30" x14ac:dyDescent="0.3">
      <c r="A57">
        <f ca="1">DAYS360(INDIRECT(A211&amp;ROW()),TODAY())</f>
        <v>765</v>
      </c>
      <c r="B57">
        <f ca="1">DAYS360(INDIRECT(A210&amp;ROW()),TODAY())</f>
        <v>863</v>
      </c>
      <c r="C57" s="37">
        <v>56013</v>
      </c>
      <c r="D57" s="37" t="s">
        <v>376</v>
      </c>
      <c r="E57" s="37" t="s">
        <v>440</v>
      </c>
      <c r="F57" s="37" t="s">
        <v>11</v>
      </c>
      <c r="G57" s="37" t="s">
        <v>48</v>
      </c>
      <c r="H57" s="37" t="s">
        <v>81</v>
      </c>
      <c r="I57" s="37"/>
      <c r="J57" s="38">
        <v>42125.451886574076</v>
      </c>
      <c r="K57" s="37" t="s">
        <v>20</v>
      </c>
      <c r="L57" s="37" t="s">
        <v>436</v>
      </c>
      <c r="M57" s="38">
        <v>42027.410879629628</v>
      </c>
      <c r="N57" s="37" t="s">
        <v>40</v>
      </c>
      <c r="O57" s="37"/>
      <c r="P57" s="37"/>
      <c r="Q57" s="37" t="s">
        <v>6</v>
      </c>
      <c r="R57" s="37" t="s">
        <v>30</v>
      </c>
      <c r="S57" s="37" t="s">
        <v>13</v>
      </c>
      <c r="T57" s="37" t="s">
        <v>19</v>
      </c>
      <c r="U57" s="37"/>
      <c r="V57" s="37" t="s">
        <v>7</v>
      </c>
      <c r="W57" s="37" t="s">
        <v>10</v>
      </c>
      <c r="X57" s="37" t="s">
        <v>7</v>
      </c>
      <c r="Y57" s="37" t="s">
        <v>114</v>
      </c>
      <c r="Z57" s="37" t="s">
        <v>7</v>
      </c>
      <c r="AA57" s="37" t="s">
        <v>7</v>
      </c>
      <c r="AB57" s="37" t="s">
        <v>7</v>
      </c>
      <c r="AC57" s="37" t="s">
        <v>7</v>
      </c>
      <c r="AD57" s="37" t="s">
        <v>7</v>
      </c>
    </row>
    <row r="58" spans="1:30" x14ac:dyDescent="0.3">
      <c r="A58">
        <f ca="1">DAYS360(INDIRECT(A211&amp;ROW()),TODAY())</f>
        <v>547</v>
      </c>
      <c r="B58">
        <f ca="1">DAYS360(INDIRECT(A210&amp;ROW()),TODAY())</f>
        <v>863</v>
      </c>
      <c r="C58" s="37">
        <v>56028</v>
      </c>
      <c r="D58" s="37" t="s">
        <v>338</v>
      </c>
      <c r="E58" s="37" t="s">
        <v>441</v>
      </c>
      <c r="F58" s="37" t="s">
        <v>11</v>
      </c>
      <c r="G58" s="37" t="s">
        <v>48</v>
      </c>
      <c r="H58" s="37" t="s">
        <v>81</v>
      </c>
      <c r="I58" s="37"/>
      <c r="J58" s="38">
        <v>42347.622615740744</v>
      </c>
      <c r="K58" s="37" t="s">
        <v>20</v>
      </c>
      <c r="L58" s="37" t="s">
        <v>442</v>
      </c>
      <c r="M58" s="38">
        <v>42027.631597222222</v>
      </c>
      <c r="N58" s="37" t="s">
        <v>29</v>
      </c>
      <c r="O58" s="37"/>
      <c r="P58" s="37"/>
      <c r="Q58" s="37" t="s">
        <v>6</v>
      </c>
      <c r="R58" s="37" t="s">
        <v>30</v>
      </c>
      <c r="S58" s="37" t="s">
        <v>8</v>
      </c>
      <c r="T58" s="37" t="s">
        <v>122</v>
      </c>
      <c r="U58" s="37"/>
      <c r="V58" s="37" t="s">
        <v>7</v>
      </c>
      <c r="W58" s="37" t="s">
        <v>10</v>
      </c>
      <c r="X58" s="37" t="s">
        <v>44</v>
      </c>
      <c r="Y58" s="37" t="s">
        <v>114</v>
      </c>
      <c r="Z58" s="37" t="s">
        <v>7</v>
      </c>
      <c r="AA58" s="37" t="s">
        <v>7</v>
      </c>
      <c r="AB58" s="37" t="s">
        <v>7</v>
      </c>
      <c r="AC58" s="37" t="s">
        <v>7</v>
      </c>
      <c r="AD58" s="37" t="s">
        <v>7</v>
      </c>
    </row>
    <row r="59" spans="1:30" x14ac:dyDescent="0.3">
      <c r="A59">
        <f ca="1">DAYS360(INDIRECT(A211&amp;ROW()),TODAY())</f>
        <v>547</v>
      </c>
      <c r="B59">
        <f ca="1">DAYS360(INDIRECT(A210&amp;ROW()),TODAY())</f>
        <v>863</v>
      </c>
      <c r="C59" s="37">
        <v>56029</v>
      </c>
      <c r="D59" s="37" t="s">
        <v>338</v>
      </c>
      <c r="E59" s="37" t="s">
        <v>443</v>
      </c>
      <c r="F59" s="37" t="s">
        <v>11</v>
      </c>
      <c r="G59" s="37" t="s">
        <v>48</v>
      </c>
      <c r="H59" s="37" t="s">
        <v>81</v>
      </c>
      <c r="I59" s="37"/>
      <c r="J59" s="38">
        <v>42347.622511574074</v>
      </c>
      <c r="K59" s="37" t="s">
        <v>20</v>
      </c>
      <c r="L59" s="37" t="s">
        <v>442</v>
      </c>
      <c r="M59" s="38">
        <v>42027.633900462963</v>
      </c>
      <c r="N59" s="37" t="s">
        <v>29</v>
      </c>
      <c r="O59" s="37"/>
      <c r="P59" s="37"/>
      <c r="Q59" s="37" t="s">
        <v>6</v>
      </c>
      <c r="R59" s="37" t="s">
        <v>30</v>
      </c>
      <c r="S59" s="37" t="s">
        <v>8</v>
      </c>
      <c r="T59" s="37" t="s">
        <v>153</v>
      </c>
      <c r="U59" s="37"/>
      <c r="V59" s="37" t="s">
        <v>7</v>
      </c>
      <c r="W59" s="37" t="s">
        <v>10</v>
      </c>
      <c r="X59" s="37" t="s">
        <v>7</v>
      </c>
      <c r="Y59" s="37" t="s">
        <v>114</v>
      </c>
      <c r="Z59" s="37" t="s">
        <v>7</v>
      </c>
      <c r="AA59" s="37" t="s">
        <v>7</v>
      </c>
      <c r="AB59" s="37" t="s">
        <v>7</v>
      </c>
      <c r="AC59" s="37" t="s">
        <v>7</v>
      </c>
      <c r="AD59" s="37" t="s">
        <v>7</v>
      </c>
    </row>
    <row r="60" spans="1:30" x14ac:dyDescent="0.3">
      <c r="A60">
        <f ca="1">DAYS360(INDIRECT(A211&amp;ROW()),TODAY())</f>
        <v>860</v>
      </c>
      <c r="B60">
        <f ca="1">DAYS360(INDIRECT(A210&amp;ROW()),TODAY())</f>
        <v>860</v>
      </c>
      <c r="C60" s="37">
        <v>56045</v>
      </c>
      <c r="D60" s="37" t="s">
        <v>376</v>
      </c>
      <c r="E60" s="37" t="s">
        <v>444</v>
      </c>
      <c r="F60" s="37" t="s">
        <v>11</v>
      </c>
      <c r="G60" s="37" t="s">
        <v>48</v>
      </c>
      <c r="H60" s="37" t="s">
        <v>81</v>
      </c>
      <c r="I60" s="37"/>
      <c r="J60" s="38">
        <v>42030.326377314814</v>
      </c>
      <c r="K60" s="37" t="s">
        <v>20</v>
      </c>
      <c r="L60" s="37" t="s">
        <v>445</v>
      </c>
      <c r="M60" s="38">
        <v>42030.325902777775</v>
      </c>
      <c r="N60" s="37" t="s">
        <v>116</v>
      </c>
      <c r="O60" s="37"/>
      <c r="P60" s="37"/>
      <c r="Q60" s="37" t="s">
        <v>6</v>
      </c>
      <c r="R60" s="37" t="s">
        <v>30</v>
      </c>
      <c r="S60" s="37" t="s">
        <v>13</v>
      </c>
      <c r="T60" s="37" t="s">
        <v>19</v>
      </c>
      <c r="U60" s="37"/>
      <c r="V60" s="37" t="s">
        <v>7</v>
      </c>
      <c r="W60" s="37" t="s">
        <v>10</v>
      </c>
      <c r="X60" s="37" t="s">
        <v>7</v>
      </c>
      <c r="Y60" s="37" t="s">
        <v>114</v>
      </c>
      <c r="Z60" s="37" t="s">
        <v>7</v>
      </c>
      <c r="AA60" s="37" t="s">
        <v>7</v>
      </c>
      <c r="AB60" s="37" t="s">
        <v>7</v>
      </c>
      <c r="AC60" s="37" t="s">
        <v>7</v>
      </c>
      <c r="AD60" s="37" t="s">
        <v>7</v>
      </c>
    </row>
    <row r="61" spans="1:30" x14ac:dyDescent="0.3">
      <c r="A61">
        <f ca="1">DAYS360(INDIRECT(A211&amp;ROW()),TODAY())</f>
        <v>765</v>
      </c>
      <c r="B61">
        <f ca="1">DAYS360(INDIRECT(A210&amp;ROW()),TODAY())</f>
        <v>860</v>
      </c>
      <c r="C61" s="37">
        <v>56057</v>
      </c>
      <c r="D61" s="37" t="s">
        <v>376</v>
      </c>
      <c r="E61" s="37" t="s">
        <v>446</v>
      </c>
      <c r="F61" s="37" t="s">
        <v>11</v>
      </c>
      <c r="G61" s="37" t="s">
        <v>48</v>
      </c>
      <c r="H61" s="37" t="s">
        <v>81</v>
      </c>
      <c r="I61" s="37"/>
      <c r="J61" s="38">
        <v>42125.452974537038</v>
      </c>
      <c r="K61" s="37" t="s">
        <v>20</v>
      </c>
      <c r="L61" s="37" t="s">
        <v>436</v>
      </c>
      <c r="M61" s="38">
        <v>42030.48777777778</v>
      </c>
      <c r="N61" s="37" t="s">
        <v>40</v>
      </c>
      <c r="O61" s="37"/>
      <c r="P61" s="37"/>
      <c r="Q61" s="37" t="s">
        <v>6</v>
      </c>
      <c r="R61" s="37" t="s">
        <v>30</v>
      </c>
      <c r="S61" s="37" t="s">
        <v>13</v>
      </c>
      <c r="T61" s="37" t="s">
        <v>19</v>
      </c>
      <c r="U61" s="37"/>
      <c r="V61" s="37" t="s">
        <v>7</v>
      </c>
      <c r="W61" s="37" t="s">
        <v>10</v>
      </c>
      <c r="X61" s="37" t="s">
        <v>7</v>
      </c>
      <c r="Y61" s="37" t="s">
        <v>114</v>
      </c>
      <c r="Z61" s="37" t="s">
        <v>7</v>
      </c>
      <c r="AA61" s="37" t="s">
        <v>7</v>
      </c>
      <c r="AB61" s="37" t="s">
        <v>7</v>
      </c>
      <c r="AC61" s="37" t="s">
        <v>7</v>
      </c>
      <c r="AD61" s="37" t="s">
        <v>7</v>
      </c>
    </row>
    <row r="62" spans="1:30" x14ac:dyDescent="0.3">
      <c r="A62">
        <f ca="1">DAYS360(INDIRECT(A211&amp;ROW()),TODAY())</f>
        <v>765</v>
      </c>
      <c r="B62">
        <f ca="1">DAYS360(INDIRECT(A210&amp;ROW()),TODAY())</f>
        <v>860</v>
      </c>
      <c r="C62" s="37">
        <v>56070</v>
      </c>
      <c r="D62" s="37" t="s">
        <v>376</v>
      </c>
      <c r="E62" s="37" t="s">
        <v>447</v>
      </c>
      <c r="F62" s="37" t="s">
        <v>11</v>
      </c>
      <c r="G62" s="37" t="s">
        <v>48</v>
      </c>
      <c r="H62" s="37" t="s">
        <v>81</v>
      </c>
      <c r="I62" s="37"/>
      <c r="J62" s="38">
        <v>42125.452928240738</v>
      </c>
      <c r="K62" s="37" t="s">
        <v>20</v>
      </c>
      <c r="L62" s="37" t="s">
        <v>436</v>
      </c>
      <c r="M62" s="38">
        <v>42030.662905092591</v>
      </c>
      <c r="N62" s="37" t="s">
        <v>40</v>
      </c>
      <c r="O62" s="37"/>
      <c r="P62" s="37"/>
      <c r="Q62" s="37" t="s">
        <v>6</v>
      </c>
      <c r="R62" s="37" t="s">
        <v>30</v>
      </c>
      <c r="S62" s="37" t="s">
        <v>13</v>
      </c>
      <c r="T62" s="37" t="s">
        <v>19</v>
      </c>
      <c r="U62" s="37"/>
      <c r="V62" s="37" t="s">
        <v>7</v>
      </c>
      <c r="W62" s="37" t="s">
        <v>10</v>
      </c>
      <c r="X62" s="37" t="s">
        <v>7</v>
      </c>
      <c r="Y62" s="37" t="s">
        <v>114</v>
      </c>
      <c r="Z62" s="37" t="s">
        <v>7</v>
      </c>
      <c r="AA62" s="37" t="s">
        <v>7</v>
      </c>
      <c r="AB62" s="37" t="s">
        <v>7</v>
      </c>
      <c r="AC62" s="37" t="s">
        <v>7</v>
      </c>
      <c r="AD62" s="37" t="s">
        <v>7</v>
      </c>
    </row>
    <row r="63" spans="1:30" x14ac:dyDescent="0.3">
      <c r="A63">
        <f ca="1">DAYS360(INDIRECT(A211&amp;ROW()),TODAY())</f>
        <v>600</v>
      </c>
      <c r="B63">
        <f ca="1">DAYS360(INDIRECT(A210&amp;ROW()),TODAY())</f>
        <v>853</v>
      </c>
      <c r="C63" s="37">
        <v>56442</v>
      </c>
      <c r="D63" s="37" t="s">
        <v>339</v>
      </c>
      <c r="E63" s="37" t="s">
        <v>448</v>
      </c>
      <c r="F63" s="37" t="s">
        <v>11</v>
      </c>
      <c r="G63" s="37" t="s">
        <v>48</v>
      </c>
      <c r="H63" s="37" t="s">
        <v>81</v>
      </c>
      <c r="I63" s="37"/>
      <c r="J63" s="38">
        <v>42293.439791666664</v>
      </c>
      <c r="K63" s="37" t="s">
        <v>20</v>
      </c>
      <c r="L63" s="37" t="s">
        <v>3</v>
      </c>
      <c r="M63" s="38">
        <v>42038.497395833336</v>
      </c>
      <c r="N63" s="37" t="s">
        <v>115</v>
      </c>
      <c r="O63" s="37"/>
      <c r="P63" s="37"/>
      <c r="Q63" s="37" t="s">
        <v>6</v>
      </c>
      <c r="R63" s="37" t="s">
        <v>30</v>
      </c>
      <c r="S63" s="37" t="s">
        <v>8</v>
      </c>
      <c r="T63" s="37" t="s">
        <v>153</v>
      </c>
      <c r="U63" s="37"/>
      <c r="V63" s="37" t="s">
        <v>7</v>
      </c>
      <c r="W63" s="37" t="s">
        <v>10</v>
      </c>
      <c r="X63" s="37" t="s">
        <v>7</v>
      </c>
      <c r="Y63" s="37" t="s">
        <v>114</v>
      </c>
      <c r="Z63" s="37" t="s">
        <v>7</v>
      </c>
      <c r="AA63" s="37" t="s">
        <v>7</v>
      </c>
      <c r="AB63" s="37" t="s">
        <v>7</v>
      </c>
      <c r="AC63" s="37" t="s">
        <v>7</v>
      </c>
      <c r="AD63" s="37" t="s">
        <v>7</v>
      </c>
    </row>
    <row r="64" spans="1:30" x14ac:dyDescent="0.3">
      <c r="A64">
        <f ca="1">DAYS360(INDIRECT(A211&amp;ROW()),TODAY())</f>
        <v>600</v>
      </c>
      <c r="B64">
        <f ca="1">DAYS360(INDIRECT(A210&amp;ROW()),TODAY())</f>
        <v>853</v>
      </c>
      <c r="C64" s="37">
        <v>56445</v>
      </c>
      <c r="D64" s="37" t="s">
        <v>339</v>
      </c>
      <c r="E64" s="37" t="s">
        <v>449</v>
      </c>
      <c r="F64" s="37" t="s">
        <v>11</v>
      </c>
      <c r="G64" s="37" t="s">
        <v>48</v>
      </c>
      <c r="H64" s="37" t="s">
        <v>81</v>
      </c>
      <c r="I64" s="37"/>
      <c r="J64" s="38">
        <v>42293.439780092594</v>
      </c>
      <c r="K64" s="37" t="s">
        <v>20</v>
      </c>
      <c r="L64" s="37" t="s">
        <v>3</v>
      </c>
      <c r="M64" s="38">
        <v>42038.501111111109</v>
      </c>
      <c r="N64" s="37" t="s">
        <v>115</v>
      </c>
      <c r="O64" s="37"/>
      <c r="P64" s="37"/>
      <c r="Q64" s="37" t="s">
        <v>6</v>
      </c>
      <c r="R64" s="37" t="s">
        <v>30</v>
      </c>
      <c r="S64" s="37" t="s">
        <v>8</v>
      </c>
      <c r="T64" s="37" t="s">
        <v>153</v>
      </c>
      <c r="U64" s="37"/>
      <c r="V64" s="37" t="s">
        <v>7</v>
      </c>
      <c r="W64" s="37" t="s">
        <v>10</v>
      </c>
      <c r="X64" s="37" t="s">
        <v>7</v>
      </c>
      <c r="Y64" s="37" t="s">
        <v>114</v>
      </c>
      <c r="Z64" s="37" t="s">
        <v>7</v>
      </c>
      <c r="AA64" s="37" t="s">
        <v>7</v>
      </c>
      <c r="AB64" s="37" t="s">
        <v>7</v>
      </c>
      <c r="AC64" s="37" t="s">
        <v>7</v>
      </c>
      <c r="AD64" s="37" t="s">
        <v>7</v>
      </c>
    </row>
    <row r="65" spans="1:30" x14ac:dyDescent="0.3">
      <c r="A65">
        <f ca="1">DAYS360(INDIRECT(A211&amp;ROW()),TODAY())</f>
        <v>853</v>
      </c>
      <c r="B65">
        <f ca="1">DAYS360(INDIRECT(A210&amp;ROW()),TODAY())</f>
        <v>853</v>
      </c>
      <c r="C65" s="37">
        <v>56458</v>
      </c>
      <c r="D65" s="37" t="s">
        <v>376</v>
      </c>
      <c r="E65" s="37" t="s">
        <v>450</v>
      </c>
      <c r="F65" s="37" t="s">
        <v>11</v>
      </c>
      <c r="G65" s="37" t="s">
        <v>48</v>
      </c>
      <c r="H65" s="37" t="s">
        <v>81</v>
      </c>
      <c r="I65" s="37"/>
      <c r="J65" s="38">
        <v>42038.643333333333</v>
      </c>
      <c r="K65" s="37" t="s">
        <v>20</v>
      </c>
      <c r="L65" s="37" t="s">
        <v>451</v>
      </c>
      <c r="M65" s="38">
        <v>42038.640115740738</v>
      </c>
      <c r="N65" s="37" t="s">
        <v>115</v>
      </c>
      <c r="O65" s="37"/>
      <c r="P65" s="37"/>
      <c r="Q65" s="37" t="s">
        <v>6</v>
      </c>
      <c r="R65" s="37" t="s">
        <v>30</v>
      </c>
      <c r="S65" s="37" t="s">
        <v>13</v>
      </c>
      <c r="T65" s="37" t="s">
        <v>19</v>
      </c>
      <c r="U65" s="37"/>
      <c r="V65" s="37" t="s">
        <v>7</v>
      </c>
      <c r="W65" s="37" t="s">
        <v>10</v>
      </c>
      <c r="X65" s="37" t="s">
        <v>7</v>
      </c>
      <c r="Y65" s="37" t="s">
        <v>114</v>
      </c>
      <c r="Z65" s="37" t="s">
        <v>7</v>
      </c>
      <c r="AA65" s="37" t="s">
        <v>7</v>
      </c>
      <c r="AB65" s="37" t="s">
        <v>7</v>
      </c>
      <c r="AC65" s="37" t="s">
        <v>7</v>
      </c>
      <c r="AD65" s="37" t="s">
        <v>7</v>
      </c>
    </row>
    <row r="66" spans="1:30" x14ac:dyDescent="0.3">
      <c r="A66">
        <f ca="1">DAYS360(INDIRECT(A211&amp;ROW()),TODAY())</f>
        <v>581</v>
      </c>
      <c r="B66">
        <f ca="1">DAYS360(INDIRECT(A210&amp;ROW()),TODAY())</f>
        <v>852</v>
      </c>
      <c r="C66" s="37">
        <v>56513</v>
      </c>
      <c r="D66" s="37" t="s">
        <v>339</v>
      </c>
      <c r="E66" s="37" t="s">
        <v>452</v>
      </c>
      <c r="F66" s="37" t="s">
        <v>11</v>
      </c>
      <c r="G66" s="37" t="s">
        <v>48</v>
      </c>
      <c r="H66" s="37" t="s">
        <v>81</v>
      </c>
      <c r="I66" s="37"/>
      <c r="J66" s="38">
        <v>42313.350844907407</v>
      </c>
      <c r="K66" s="37" t="s">
        <v>20</v>
      </c>
      <c r="L66" s="37" t="s">
        <v>451</v>
      </c>
      <c r="M66" s="38">
        <v>42039.648113425923</v>
      </c>
      <c r="N66" s="37" t="s">
        <v>56</v>
      </c>
      <c r="O66" s="37"/>
      <c r="P66" s="37"/>
      <c r="Q66" s="37" t="s">
        <v>6</v>
      </c>
      <c r="R66" s="37" t="s">
        <v>30</v>
      </c>
      <c r="S66" s="37" t="s">
        <v>8</v>
      </c>
      <c r="T66" s="37" t="s">
        <v>38</v>
      </c>
      <c r="U66" s="37"/>
      <c r="V66" s="37" t="s">
        <v>7</v>
      </c>
      <c r="W66" s="37" t="s">
        <v>10</v>
      </c>
      <c r="X66" s="37" t="s">
        <v>7</v>
      </c>
      <c r="Y66" s="37" t="s">
        <v>114</v>
      </c>
      <c r="Z66" s="37" t="s">
        <v>7</v>
      </c>
      <c r="AA66" s="37" t="s">
        <v>7</v>
      </c>
      <c r="AB66" s="37" t="s">
        <v>7</v>
      </c>
      <c r="AC66" s="37" t="s">
        <v>7</v>
      </c>
      <c r="AD66" s="37" t="s">
        <v>7</v>
      </c>
    </row>
    <row r="67" spans="1:30" x14ac:dyDescent="0.3">
      <c r="A67">
        <f ca="1">DAYS360(INDIRECT(A211&amp;ROW()),TODAY())</f>
        <v>765</v>
      </c>
      <c r="B67">
        <f ca="1">DAYS360(INDIRECT(A210&amp;ROW()),TODAY())</f>
        <v>851</v>
      </c>
      <c r="C67" s="37">
        <v>56589</v>
      </c>
      <c r="D67" s="37" t="s">
        <v>376</v>
      </c>
      <c r="E67" s="37" t="s">
        <v>453</v>
      </c>
      <c r="F67" s="37" t="s">
        <v>11</v>
      </c>
      <c r="G67" s="37" t="s">
        <v>48</v>
      </c>
      <c r="H67" s="37" t="s">
        <v>81</v>
      </c>
      <c r="I67" s="37"/>
      <c r="J67" s="38">
        <v>42125.452916666669</v>
      </c>
      <c r="K67" s="37" t="s">
        <v>20</v>
      </c>
      <c r="L67" s="37" t="s">
        <v>451</v>
      </c>
      <c r="M67" s="38">
        <v>42040.484780092593</v>
      </c>
      <c r="N67" s="37" t="s">
        <v>40</v>
      </c>
      <c r="O67" s="37"/>
      <c r="P67" s="37"/>
      <c r="Q67" s="37" t="s">
        <v>6</v>
      </c>
      <c r="R67" s="37" t="s">
        <v>30</v>
      </c>
      <c r="S67" s="37" t="s">
        <v>13</v>
      </c>
      <c r="T67" s="37" t="s">
        <v>19</v>
      </c>
      <c r="U67" s="37"/>
      <c r="V67" s="37" t="s">
        <v>7</v>
      </c>
      <c r="W67" s="37" t="s">
        <v>10</v>
      </c>
      <c r="X67" s="37" t="s">
        <v>7</v>
      </c>
      <c r="Y67" s="37" t="s">
        <v>114</v>
      </c>
      <c r="Z67" s="37" t="s">
        <v>7</v>
      </c>
      <c r="AA67" s="37" t="s">
        <v>7</v>
      </c>
      <c r="AB67" s="37" t="s">
        <v>7</v>
      </c>
      <c r="AC67" s="37" t="s">
        <v>7</v>
      </c>
      <c r="AD67" s="37" t="s">
        <v>7</v>
      </c>
    </row>
    <row r="68" spans="1:30" x14ac:dyDescent="0.3">
      <c r="A68">
        <f ca="1">DAYS360(INDIRECT(A211&amp;ROW()),TODAY())</f>
        <v>765</v>
      </c>
      <c r="B68">
        <f ca="1">DAYS360(INDIRECT(A210&amp;ROW()),TODAY())</f>
        <v>847</v>
      </c>
      <c r="C68" s="37">
        <v>56784</v>
      </c>
      <c r="D68" s="37" t="s">
        <v>376</v>
      </c>
      <c r="E68" s="37" t="s">
        <v>454</v>
      </c>
      <c r="F68" s="37" t="s">
        <v>11</v>
      </c>
      <c r="G68" s="37" t="s">
        <v>48</v>
      </c>
      <c r="H68" s="37" t="s">
        <v>81</v>
      </c>
      <c r="I68" s="37"/>
      <c r="J68" s="38">
        <v>42125.451770833337</v>
      </c>
      <c r="K68" s="37" t="s">
        <v>20</v>
      </c>
      <c r="L68" s="37" t="s">
        <v>455</v>
      </c>
      <c r="M68" s="38">
        <v>42044.682280092595</v>
      </c>
      <c r="N68" s="37" t="s">
        <v>40</v>
      </c>
      <c r="O68" s="37"/>
      <c r="P68" s="37"/>
      <c r="Q68" s="37" t="s">
        <v>6</v>
      </c>
      <c r="R68" s="37" t="s">
        <v>30</v>
      </c>
      <c r="S68" s="37" t="s">
        <v>13</v>
      </c>
      <c r="T68" s="37" t="s">
        <v>19</v>
      </c>
      <c r="U68" s="37"/>
      <c r="V68" s="37" t="s">
        <v>7</v>
      </c>
      <c r="W68" s="37" t="s">
        <v>10</v>
      </c>
      <c r="X68" s="37" t="s">
        <v>7</v>
      </c>
      <c r="Y68" s="37" t="s">
        <v>114</v>
      </c>
      <c r="Z68" s="37" t="s">
        <v>7</v>
      </c>
      <c r="AA68" s="37" t="s">
        <v>7</v>
      </c>
      <c r="AB68" s="37" t="s">
        <v>7</v>
      </c>
      <c r="AC68" s="37" t="s">
        <v>7</v>
      </c>
      <c r="AD68" s="37" t="s">
        <v>7</v>
      </c>
    </row>
    <row r="69" spans="1:30" x14ac:dyDescent="0.3">
      <c r="A69">
        <f ca="1">DAYS360(INDIRECT(A211&amp;ROW()),TODAY())</f>
        <v>618</v>
      </c>
      <c r="B69">
        <f ca="1">DAYS360(INDIRECT(A210&amp;ROW()),TODAY())</f>
        <v>846</v>
      </c>
      <c r="C69" s="37">
        <v>56848</v>
      </c>
      <c r="D69" s="37" t="s">
        <v>338</v>
      </c>
      <c r="E69" s="37" t="s">
        <v>456</v>
      </c>
      <c r="F69" s="37" t="s">
        <v>11</v>
      </c>
      <c r="G69" s="37" t="s">
        <v>48</v>
      </c>
      <c r="H69" s="37" t="s">
        <v>81</v>
      </c>
      <c r="I69" s="37"/>
      <c r="J69" s="38">
        <v>42275.580601851849</v>
      </c>
      <c r="K69" s="37" t="s">
        <v>20</v>
      </c>
      <c r="L69" s="37" t="s">
        <v>451</v>
      </c>
      <c r="M69" s="38">
        <v>42045.465833333335</v>
      </c>
      <c r="N69" s="37" t="s">
        <v>116</v>
      </c>
      <c r="O69" s="37"/>
      <c r="P69" s="37"/>
      <c r="Q69" s="37" t="s">
        <v>6</v>
      </c>
      <c r="R69" s="37" t="s">
        <v>30</v>
      </c>
      <c r="S69" s="37" t="s">
        <v>8</v>
      </c>
      <c r="T69" s="37" t="s">
        <v>38</v>
      </c>
      <c r="U69" s="37"/>
      <c r="V69" s="37" t="s">
        <v>7</v>
      </c>
      <c r="W69" s="37" t="s">
        <v>10</v>
      </c>
      <c r="X69" s="37" t="s">
        <v>7</v>
      </c>
      <c r="Y69" s="37" t="s">
        <v>114</v>
      </c>
      <c r="Z69" s="37" t="s">
        <v>7</v>
      </c>
      <c r="AA69" s="37" t="s">
        <v>7</v>
      </c>
      <c r="AB69" s="37" t="s">
        <v>7</v>
      </c>
      <c r="AC69" s="37" t="s">
        <v>7</v>
      </c>
      <c r="AD69" s="37" t="s">
        <v>7</v>
      </c>
    </row>
    <row r="70" spans="1:30" x14ac:dyDescent="0.3">
      <c r="A70">
        <f ca="1">DAYS360(INDIRECT(A211&amp;ROW()),TODAY())</f>
        <v>600</v>
      </c>
      <c r="B70">
        <f ca="1">DAYS360(INDIRECT(A210&amp;ROW()),TODAY())</f>
        <v>846</v>
      </c>
      <c r="C70" s="37">
        <v>56850</v>
      </c>
      <c r="D70" s="37" t="s">
        <v>339</v>
      </c>
      <c r="E70" s="37" t="s">
        <v>457</v>
      </c>
      <c r="F70" s="37" t="s">
        <v>11</v>
      </c>
      <c r="G70" s="37" t="s">
        <v>48</v>
      </c>
      <c r="H70" s="37" t="s">
        <v>81</v>
      </c>
      <c r="I70" s="37"/>
      <c r="J70" s="38">
        <v>42293.439722222225</v>
      </c>
      <c r="K70" s="37" t="s">
        <v>20</v>
      </c>
      <c r="L70" s="37" t="s">
        <v>458</v>
      </c>
      <c r="M70" s="38">
        <v>42045.466585648152</v>
      </c>
      <c r="N70" s="37" t="s">
        <v>5</v>
      </c>
      <c r="O70" s="37"/>
      <c r="P70" s="37"/>
      <c r="Q70" s="37" t="s">
        <v>6</v>
      </c>
      <c r="R70" s="37" t="s">
        <v>7</v>
      </c>
      <c r="S70" s="37" t="s">
        <v>13</v>
      </c>
      <c r="T70" s="37" t="s">
        <v>35</v>
      </c>
      <c r="U70" s="37"/>
      <c r="V70" s="37" t="s">
        <v>7</v>
      </c>
      <c r="W70" s="37" t="s">
        <v>10</v>
      </c>
      <c r="X70" s="37" t="s">
        <v>7</v>
      </c>
      <c r="Y70" s="37" t="s">
        <v>114</v>
      </c>
      <c r="Z70" s="37" t="s">
        <v>7</v>
      </c>
      <c r="AA70" s="37" t="s">
        <v>7</v>
      </c>
      <c r="AB70" s="37" t="s">
        <v>7</v>
      </c>
      <c r="AC70" s="37" t="s">
        <v>7</v>
      </c>
      <c r="AD70" s="37" t="s">
        <v>7</v>
      </c>
    </row>
    <row r="71" spans="1:30" x14ac:dyDescent="0.3">
      <c r="A71">
        <f ca="1">DAYS360(INDIRECT(A211&amp;ROW()),TODAY())</f>
        <v>846</v>
      </c>
      <c r="B71">
        <f ca="1">DAYS360(INDIRECT(A210&amp;ROW()),TODAY())</f>
        <v>846</v>
      </c>
      <c r="C71" s="37">
        <v>56854</v>
      </c>
      <c r="D71" s="37" t="s">
        <v>376</v>
      </c>
      <c r="E71" s="37" t="s">
        <v>459</v>
      </c>
      <c r="F71" s="37" t="s">
        <v>11</v>
      </c>
      <c r="G71" s="37" t="s">
        <v>48</v>
      </c>
      <c r="H71" s="37" t="s">
        <v>81</v>
      </c>
      <c r="I71" s="37"/>
      <c r="J71" s="38">
        <v>42045.50408564815</v>
      </c>
      <c r="K71" s="37" t="s">
        <v>20</v>
      </c>
      <c r="L71" s="37" t="s">
        <v>407</v>
      </c>
      <c r="M71" s="38">
        <v>42045.467939814815</v>
      </c>
      <c r="N71" s="37" t="s">
        <v>5</v>
      </c>
      <c r="O71" s="37"/>
      <c r="P71" s="37"/>
      <c r="Q71" s="37" t="s">
        <v>6</v>
      </c>
      <c r="R71" s="37" t="s">
        <v>7</v>
      </c>
      <c r="S71" s="37" t="s">
        <v>13</v>
      </c>
      <c r="T71" s="37" t="s">
        <v>19</v>
      </c>
      <c r="U71" s="34">
        <v>41901</v>
      </c>
      <c r="V71" s="37" t="s">
        <v>7</v>
      </c>
      <c r="W71" s="37" t="s">
        <v>10</v>
      </c>
      <c r="X71" s="37" t="s">
        <v>7</v>
      </c>
      <c r="Y71" s="37" t="s">
        <v>114</v>
      </c>
      <c r="Z71" s="37" t="s">
        <v>7</v>
      </c>
      <c r="AA71" s="37" t="s">
        <v>7</v>
      </c>
      <c r="AB71" s="37" t="s">
        <v>7</v>
      </c>
      <c r="AC71" s="37" t="s">
        <v>7</v>
      </c>
      <c r="AD71" s="37" t="s">
        <v>7</v>
      </c>
    </row>
    <row r="72" spans="1:30" x14ac:dyDescent="0.3">
      <c r="A72">
        <f ca="1">DAYS360(INDIRECT(A211&amp;ROW()),TODAY())</f>
        <v>600</v>
      </c>
      <c r="B72">
        <f ca="1">DAYS360(INDIRECT(A210&amp;ROW()),TODAY())</f>
        <v>846</v>
      </c>
      <c r="C72" s="37">
        <v>56857</v>
      </c>
      <c r="D72" s="37" t="s">
        <v>339</v>
      </c>
      <c r="E72" s="37" t="s">
        <v>460</v>
      </c>
      <c r="F72" s="37" t="s">
        <v>11</v>
      </c>
      <c r="G72" s="37" t="s">
        <v>48</v>
      </c>
      <c r="H72" s="37" t="s">
        <v>81</v>
      </c>
      <c r="I72" s="37"/>
      <c r="J72" s="38">
        <v>42293.439675925925</v>
      </c>
      <c r="K72" s="37" t="s">
        <v>20</v>
      </c>
      <c r="L72" s="37" t="s">
        <v>415</v>
      </c>
      <c r="M72" s="38">
        <v>42045.468923611108</v>
      </c>
      <c r="N72" s="37" t="s">
        <v>50</v>
      </c>
      <c r="O72" s="37"/>
      <c r="P72" s="37"/>
      <c r="Q72" s="37" t="s">
        <v>6</v>
      </c>
      <c r="R72" s="37" t="s">
        <v>30</v>
      </c>
      <c r="S72" s="37" t="s">
        <v>8</v>
      </c>
      <c r="T72" s="37" t="s">
        <v>38</v>
      </c>
      <c r="U72" s="37"/>
      <c r="V72" s="37" t="s">
        <v>7</v>
      </c>
      <c r="W72" s="37" t="s">
        <v>10</v>
      </c>
      <c r="X72" s="37" t="s">
        <v>7</v>
      </c>
      <c r="Y72" s="37" t="s">
        <v>114</v>
      </c>
      <c r="Z72" s="37" t="s">
        <v>7</v>
      </c>
      <c r="AA72" s="37" t="s">
        <v>7</v>
      </c>
      <c r="AB72" s="37" t="s">
        <v>7</v>
      </c>
      <c r="AC72" s="37" t="s">
        <v>7</v>
      </c>
      <c r="AD72" s="37" t="s">
        <v>7</v>
      </c>
    </row>
    <row r="73" spans="1:30" x14ac:dyDescent="0.3">
      <c r="A73">
        <f ca="1">DAYS360(INDIRECT(A211&amp;ROW()),TODAY())</f>
        <v>600</v>
      </c>
      <c r="B73">
        <f ca="1">DAYS360(INDIRECT(A210&amp;ROW()),TODAY())</f>
        <v>846</v>
      </c>
      <c r="C73" s="37">
        <v>56860</v>
      </c>
      <c r="D73" s="37" t="s">
        <v>339</v>
      </c>
      <c r="E73" s="37" t="s">
        <v>461</v>
      </c>
      <c r="F73" s="37" t="s">
        <v>11</v>
      </c>
      <c r="G73" s="37" t="s">
        <v>48</v>
      </c>
      <c r="H73" s="37" t="s">
        <v>81</v>
      </c>
      <c r="I73" s="37"/>
      <c r="J73" s="38">
        <v>42293.439571759256</v>
      </c>
      <c r="K73" s="37" t="s">
        <v>20</v>
      </c>
      <c r="L73" s="37" t="s">
        <v>351</v>
      </c>
      <c r="M73" s="38">
        <v>42045.469652777778</v>
      </c>
      <c r="N73" s="37" t="s">
        <v>50</v>
      </c>
      <c r="O73" s="37"/>
      <c r="P73" s="37"/>
      <c r="Q73" s="37" t="s">
        <v>6</v>
      </c>
      <c r="R73" s="37" t="s">
        <v>30</v>
      </c>
      <c r="S73" s="37" t="s">
        <v>8</v>
      </c>
      <c r="T73" s="37" t="s">
        <v>38</v>
      </c>
      <c r="U73" s="37"/>
      <c r="V73" s="37" t="s">
        <v>7</v>
      </c>
      <c r="W73" s="37" t="s">
        <v>10</v>
      </c>
      <c r="X73" s="37" t="s">
        <v>7</v>
      </c>
      <c r="Y73" s="37" t="s">
        <v>114</v>
      </c>
      <c r="Z73" s="37" t="s">
        <v>7</v>
      </c>
      <c r="AA73" s="37" t="s">
        <v>7</v>
      </c>
      <c r="AB73" s="37" t="s">
        <v>7</v>
      </c>
      <c r="AC73" s="37" t="s">
        <v>7</v>
      </c>
      <c r="AD73" s="37" t="s">
        <v>7</v>
      </c>
    </row>
    <row r="74" spans="1:30" x14ac:dyDescent="0.3">
      <c r="A74">
        <f ca="1">DAYS360(INDIRECT(A211&amp;ROW()),TODAY())</f>
        <v>846</v>
      </c>
      <c r="B74">
        <f ca="1">DAYS360(INDIRECT(A210&amp;ROW()),TODAY())</f>
        <v>846</v>
      </c>
      <c r="C74" s="37">
        <v>56864</v>
      </c>
      <c r="D74" s="37" t="s">
        <v>376</v>
      </c>
      <c r="E74" s="37" t="s">
        <v>462</v>
      </c>
      <c r="F74" s="37" t="s">
        <v>11</v>
      </c>
      <c r="G74" s="37" t="s">
        <v>48</v>
      </c>
      <c r="H74" s="37" t="s">
        <v>81</v>
      </c>
      <c r="I74" s="37"/>
      <c r="J74" s="38">
        <v>42045.499976851854</v>
      </c>
      <c r="K74" s="37" t="s">
        <v>20</v>
      </c>
      <c r="L74" s="37" t="s">
        <v>390</v>
      </c>
      <c r="M74" s="38">
        <v>42045.471018518518</v>
      </c>
      <c r="N74" s="37" t="s">
        <v>5</v>
      </c>
      <c r="O74" s="37"/>
      <c r="P74" s="37"/>
      <c r="Q74" s="37" t="s">
        <v>6</v>
      </c>
      <c r="R74" s="37" t="s">
        <v>7</v>
      </c>
      <c r="S74" s="37" t="s">
        <v>13</v>
      </c>
      <c r="T74" s="37" t="s">
        <v>19</v>
      </c>
      <c r="U74" s="37"/>
      <c r="V74" s="37" t="s">
        <v>7</v>
      </c>
      <c r="W74" s="37" t="s">
        <v>10</v>
      </c>
      <c r="X74" s="37" t="s">
        <v>7</v>
      </c>
      <c r="Y74" s="37" t="s">
        <v>114</v>
      </c>
      <c r="Z74" s="37" t="s">
        <v>7</v>
      </c>
      <c r="AA74" s="37" t="s">
        <v>7</v>
      </c>
      <c r="AB74" s="37" t="s">
        <v>7</v>
      </c>
      <c r="AC74" s="37" t="s">
        <v>7</v>
      </c>
      <c r="AD74" s="37" t="s">
        <v>7</v>
      </c>
    </row>
    <row r="75" spans="1:30" x14ac:dyDescent="0.3">
      <c r="A75">
        <f ca="1">DAYS360(INDIRECT(A211&amp;ROW()),TODAY())</f>
        <v>765</v>
      </c>
      <c r="B75">
        <f ca="1">DAYS360(INDIRECT(A210&amp;ROW()),TODAY())</f>
        <v>846</v>
      </c>
      <c r="C75" s="37">
        <v>56866</v>
      </c>
      <c r="D75" s="37" t="s">
        <v>376</v>
      </c>
      <c r="E75" s="37" t="s">
        <v>463</v>
      </c>
      <c r="F75" s="37" t="s">
        <v>11</v>
      </c>
      <c r="G75" s="37" t="s">
        <v>48</v>
      </c>
      <c r="H75" s="37" t="s">
        <v>81</v>
      </c>
      <c r="I75" s="37"/>
      <c r="J75" s="38">
        <v>42125.449675925927</v>
      </c>
      <c r="K75" s="37" t="s">
        <v>20</v>
      </c>
      <c r="L75" s="37" t="s">
        <v>356</v>
      </c>
      <c r="M75" s="38">
        <v>42045.471747685187</v>
      </c>
      <c r="N75" s="37" t="s">
        <v>40</v>
      </c>
      <c r="O75" s="37"/>
      <c r="P75" s="37"/>
      <c r="Q75" s="37" t="s">
        <v>6</v>
      </c>
      <c r="R75" s="37" t="s">
        <v>30</v>
      </c>
      <c r="S75" s="37" t="s">
        <v>13</v>
      </c>
      <c r="T75" s="37" t="s">
        <v>19</v>
      </c>
      <c r="U75" s="37"/>
      <c r="V75" s="37" t="s">
        <v>7</v>
      </c>
      <c r="W75" s="37" t="s">
        <v>10</v>
      </c>
      <c r="X75" s="37" t="s">
        <v>7</v>
      </c>
      <c r="Y75" s="37" t="s">
        <v>114</v>
      </c>
      <c r="Z75" s="37" t="s">
        <v>7</v>
      </c>
      <c r="AA75" s="37" t="s">
        <v>7</v>
      </c>
      <c r="AB75" s="37" t="s">
        <v>7</v>
      </c>
      <c r="AC75" s="37" t="s">
        <v>7</v>
      </c>
      <c r="AD75" s="37" t="s">
        <v>7</v>
      </c>
    </row>
    <row r="76" spans="1:30" x14ac:dyDescent="0.3">
      <c r="A76">
        <f ca="1">DAYS360(INDIRECT($A$211&amp;ROW()),TODAY())</f>
        <v>846</v>
      </c>
      <c r="B76">
        <f ca="1">DAYS360(INDIRECT(A210&amp;ROW()),TODAY())</f>
        <v>846</v>
      </c>
      <c r="C76" s="37">
        <v>56896</v>
      </c>
      <c r="D76" s="37" t="s">
        <v>376</v>
      </c>
      <c r="E76" s="37" t="s">
        <v>464</v>
      </c>
      <c r="F76" s="37" t="s">
        <v>146</v>
      </c>
      <c r="G76" s="37" t="s">
        <v>48</v>
      </c>
      <c r="H76" s="37" t="s">
        <v>81</v>
      </c>
      <c r="I76" s="37"/>
      <c r="J76" s="38">
        <v>42045.648831018516</v>
      </c>
      <c r="K76" s="37" t="s">
        <v>20</v>
      </c>
      <c r="L76" s="37" t="s">
        <v>465</v>
      </c>
      <c r="M76" s="38">
        <v>42045.648240740738</v>
      </c>
      <c r="N76" s="37" t="s">
        <v>5</v>
      </c>
      <c r="O76" s="37"/>
      <c r="P76" s="37"/>
      <c r="Q76" s="37" t="s">
        <v>17</v>
      </c>
      <c r="R76" s="37" t="s">
        <v>7</v>
      </c>
      <c r="S76" s="37" t="s">
        <v>13</v>
      </c>
      <c r="T76" s="37" t="s">
        <v>19</v>
      </c>
      <c r="U76" s="37"/>
      <c r="V76" s="37" t="s">
        <v>7</v>
      </c>
      <c r="W76" s="37" t="s">
        <v>10</v>
      </c>
      <c r="X76" s="37" t="s">
        <v>7</v>
      </c>
      <c r="Y76" s="37" t="s">
        <v>114</v>
      </c>
      <c r="Z76" s="37" t="s">
        <v>7</v>
      </c>
      <c r="AA76" s="37" t="s">
        <v>7</v>
      </c>
      <c r="AB76" s="37" t="s">
        <v>7</v>
      </c>
      <c r="AC76" s="37" t="s">
        <v>7</v>
      </c>
      <c r="AD76" s="37" t="s">
        <v>7</v>
      </c>
    </row>
    <row r="77" spans="1:30" x14ac:dyDescent="0.3">
      <c r="A77" s="37">
        <f ca="1">DAYS360(INDIRECT($A$211&amp;ROW()),TODAY())</f>
        <v>765</v>
      </c>
      <c r="B77" s="37">
        <f ca="1">DAYS360(INDIRECT($A$210&amp;ROW()),TODAY())</f>
        <v>846</v>
      </c>
      <c r="C77" s="37">
        <v>56897</v>
      </c>
      <c r="D77" s="37" t="s">
        <v>376</v>
      </c>
      <c r="E77" s="37" t="s">
        <v>466</v>
      </c>
      <c r="F77" s="37" t="s">
        <v>146</v>
      </c>
      <c r="G77" s="37" t="s">
        <v>48</v>
      </c>
      <c r="H77" s="37" t="s">
        <v>81</v>
      </c>
      <c r="I77" s="37"/>
      <c r="J77" s="38">
        <v>42125.44394675926</v>
      </c>
      <c r="K77" s="37" t="s">
        <v>20</v>
      </c>
      <c r="L77" s="37" t="s">
        <v>465</v>
      </c>
      <c r="M77" s="38">
        <v>42045.652754629627</v>
      </c>
      <c r="N77" s="37" t="s">
        <v>40</v>
      </c>
      <c r="O77" s="37"/>
      <c r="P77" s="37"/>
      <c r="Q77" s="37" t="s">
        <v>17</v>
      </c>
      <c r="R77" s="37" t="s">
        <v>7</v>
      </c>
      <c r="S77" s="37" t="s">
        <v>13</v>
      </c>
      <c r="T77" s="37" t="s">
        <v>19</v>
      </c>
      <c r="U77" s="37"/>
      <c r="V77" s="37" t="s">
        <v>7</v>
      </c>
      <c r="W77" s="37" t="s">
        <v>26</v>
      </c>
      <c r="X77" s="37" t="s">
        <v>7</v>
      </c>
      <c r="Y77" s="37" t="s">
        <v>114</v>
      </c>
      <c r="Z77" s="37" t="s">
        <v>7</v>
      </c>
      <c r="AA77" s="37" t="s">
        <v>7</v>
      </c>
      <c r="AB77" s="37" t="s">
        <v>7</v>
      </c>
      <c r="AC77" s="37" t="s">
        <v>7</v>
      </c>
      <c r="AD77" s="37" t="s">
        <v>7</v>
      </c>
    </row>
    <row r="78" spans="1:30" x14ac:dyDescent="0.3">
      <c r="A78" s="37">
        <f ca="1">DAYS360(INDIRECT($A$211&amp;ROW()),TODAY())</f>
        <v>765</v>
      </c>
      <c r="B78" s="37">
        <f ca="1">DAYS360(INDIRECT($A$210&amp;ROW()),TODAY())</f>
        <v>846</v>
      </c>
      <c r="C78" s="37">
        <v>56910</v>
      </c>
      <c r="D78" s="37" t="s">
        <v>376</v>
      </c>
      <c r="E78" s="37" t="s">
        <v>467</v>
      </c>
      <c r="F78" s="37" t="s">
        <v>146</v>
      </c>
      <c r="G78" s="37" t="s">
        <v>48</v>
      </c>
      <c r="H78" s="37" t="s">
        <v>81</v>
      </c>
      <c r="I78" s="37"/>
      <c r="J78" s="38">
        <v>42125.44767361111</v>
      </c>
      <c r="K78" s="37" t="s">
        <v>20</v>
      </c>
      <c r="L78" s="37" t="s">
        <v>156</v>
      </c>
      <c r="M78" s="38">
        <v>42045.665069444447</v>
      </c>
      <c r="N78" s="37" t="s">
        <v>40</v>
      </c>
      <c r="O78" s="37"/>
      <c r="P78" s="37"/>
      <c r="Q78" s="37" t="s">
        <v>17</v>
      </c>
      <c r="R78" s="37" t="s">
        <v>30</v>
      </c>
      <c r="S78" s="37" t="s">
        <v>13</v>
      </c>
      <c r="T78" s="37" t="s">
        <v>19</v>
      </c>
      <c r="U78" s="37"/>
      <c r="V78" s="37" t="s">
        <v>7</v>
      </c>
      <c r="W78" s="37" t="s">
        <v>26</v>
      </c>
      <c r="X78" s="37" t="s">
        <v>7</v>
      </c>
      <c r="Y78" s="37" t="s">
        <v>114</v>
      </c>
      <c r="Z78" s="37" t="s">
        <v>7</v>
      </c>
      <c r="AA78" s="37" t="s">
        <v>7</v>
      </c>
      <c r="AB78" s="37" t="s">
        <v>7</v>
      </c>
      <c r="AC78" s="37" t="s">
        <v>7</v>
      </c>
      <c r="AD78" s="37" t="s">
        <v>7</v>
      </c>
    </row>
    <row r="79" spans="1:30" x14ac:dyDescent="0.3">
      <c r="A79" s="37">
        <f t="shared" ref="A79:A142" ca="1" si="0">DAYS360(INDIRECT($A$211&amp;ROW()),TODAY())</f>
        <v>600</v>
      </c>
      <c r="B79" s="37">
        <f t="shared" ref="B79:B142" ca="1" si="1">DAYS360(INDIRECT($A$210&amp;ROW()),TODAY())</f>
        <v>846</v>
      </c>
      <c r="C79" s="37">
        <v>56911</v>
      </c>
      <c r="D79" s="37" t="s">
        <v>339</v>
      </c>
      <c r="E79" s="37" t="s">
        <v>468</v>
      </c>
      <c r="F79" s="37" t="s">
        <v>146</v>
      </c>
      <c r="G79" s="37" t="s">
        <v>48</v>
      </c>
      <c r="H79" s="37" t="s">
        <v>81</v>
      </c>
      <c r="I79" s="37"/>
      <c r="J79" s="38">
        <v>42293.439560185187</v>
      </c>
      <c r="K79" s="37" t="s">
        <v>20</v>
      </c>
      <c r="L79" s="37" t="s">
        <v>155</v>
      </c>
      <c r="M79" s="38">
        <v>42045.66615740741</v>
      </c>
      <c r="N79" s="37" t="s">
        <v>154</v>
      </c>
      <c r="O79" s="37"/>
      <c r="P79" s="37"/>
      <c r="Q79" s="37" t="s">
        <v>17</v>
      </c>
      <c r="R79" s="37" t="s">
        <v>7</v>
      </c>
      <c r="S79" s="37" t="s">
        <v>8</v>
      </c>
      <c r="T79" s="37" t="s">
        <v>153</v>
      </c>
      <c r="U79" s="37"/>
      <c r="V79" s="37" t="s">
        <v>7</v>
      </c>
      <c r="W79" s="37" t="s">
        <v>26</v>
      </c>
      <c r="X79" s="37" t="s">
        <v>7</v>
      </c>
      <c r="Y79" s="37" t="s">
        <v>114</v>
      </c>
      <c r="Z79" s="37" t="s">
        <v>7</v>
      </c>
      <c r="AA79" s="37" t="s">
        <v>7</v>
      </c>
      <c r="AB79" s="37" t="s">
        <v>7</v>
      </c>
      <c r="AC79" s="37" t="s">
        <v>7</v>
      </c>
      <c r="AD79" s="37" t="s">
        <v>7</v>
      </c>
    </row>
    <row r="80" spans="1:30" x14ac:dyDescent="0.3">
      <c r="A80" s="37">
        <f t="shared" ca="1" si="0"/>
        <v>846</v>
      </c>
      <c r="B80" s="37">
        <f t="shared" ca="1" si="1"/>
        <v>846</v>
      </c>
      <c r="C80" s="37">
        <v>56912</v>
      </c>
      <c r="D80" s="37" t="s">
        <v>376</v>
      </c>
      <c r="E80" s="37" t="s">
        <v>469</v>
      </c>
      <c r="F80" s="37" t="s">
        <v>146</v>
      </c>
      <c r="G80" s="37" t="s">
        <v>48</v>
      </c>
      <c r="H80" s="37" t="s">
        <v>81</v>
      </c>
      <c r="I80" s="37"/>
      <c r="J80" s="38">
        <v>42045.710277777776</v>
      </c>
      <c r="K80" s="37" t="s">
        <v>20</v>
      </c>
      <c r="L80" s="37" t="s">
        <v>3</v>
      </c>
      <c r="M80" s="38">
        <v>42045.667037037034</v>
      </c>
      <c r="N80" s="37" t="s">
        <v>148</v>
      </c>
      <c r="O80" s="37"/>
      <c r="P80" s="37"/>
      <c r="Q80" s="37" t="s">
        <v>17</v>
      </c>
      <c r="R80" s="37" t="s">
        <v>30</v>
      </c>
      <c r="S80" s="37" t="s">
        <v>13</v>
      </c>
      <c r="T80" s="37" t="s">
        <v>19</v>
      </c>
      <c r="U80" s="37"/>
      <c r="V80" s="37" t="s">
        <v>7</v>
      </c>
      <c r="W80" s="37" t="s">
        <v>10</v>
      </c>
      <c r="X80" s="37" t="s">
        <v>7</v>
      </c>
      <c r="Y80" s="37" t="s">
        <v>114</v>
      </c>
      <c r="Z80" s="37" t="s">
        <v>7</v>
      </c>
      <c r="AA80" s="37" t="s">
        <v>7</v>
      </c>
      <c r="AB80" s="37" t="s">
        <v>7</v>
      </c>
      <c r="AC80" s="37" t="s">
        <v>7</v>
      </c>
      <c r="AD80" s="37" t="s">
        <v>7</v>
      </c>
    </row>
    <row r="81" spans="1:30" x14ac:dyDescent="0.3">
      <c r="A81" s="37">
        <f t="shared" ca="1" si="0"/>
        <v>600</v>
      </c>
      <c r="B81" s="37">
        <f t="shared" ca="1" si="1"/>
        <v>846</v>
      </c>
      <c r="C81" s="37">
        <v>56913</v>
      </c>
      <c r="D81" s="37" t="s">
        <v>339</v>
      </c>
      <c r="E81" s="37" t="s">
        <v>470</v>
      </c>
      <c r="F81" s="37" t="s">
        <v>146</v>
      </c>
      <c r="G81" s="37" t="s">
        <v>48</v>
      </c>
      <c r="H81" s="37" t="s">
        <v>81</v>
      </c>
      <c r="I81" s="37"/>
      <c r="J81" s="38">
        <v>42293.439780092594</v>
      </c>
      <c r="K81" s="37" t="s">
        <v>20</v>
      </c>
      <c r="L81" s="37" t="s">
        <v>152</v>
      </c>
      <c r="M81" s="38">
        <v>42045.668935185182</v>
      </c>
      <c r="N81" s="37" t="s">
        <v>40</v>
      </c>
      <c r="O81" s="37"/>
      <c r="P81" s="37"/>
      <c r="Q81" s="37" t="s">
        <v>17</v>
      </c>
      <c r="R81" s="37" t="s">
        <v>7</v>
      </c>
      <c r="S81" s="37" t="s">
        <v>24</v>
      </c>
      <c r="T81" s="37" t="s">
        <v>47</v>
      </c>
      <c r="U81" s="37"/>
      <c r="V81" s="37" t="s">
        <v>7</v>
      </c>
      <c r="W81" s="37" t="s">
        <v>26</v>
      </c>
      <c r="X81" s="37" t="s">
        <v>7</v>
      </c>
      <c r="Y81" s="37" t="s">
        <v>114</v>
      </c>
      <c r="Z81" s="37" t="s">
        <v>7</v>
      </c>
      <c r="AA81" s="37" t="s">
        <v>7</v>
      </c>
      <c r="AB81" s="37" t="s">
        <v>7</v>
      </c>
      <c r="AC81" s="37" t="s">
        <v>7</v>
      </c>
      <c r="AD81" s="37" t="s">
        <v>7</v>
      </c>
    </row>
    <row r="82" spans="1:30" x14ac:dyDescent="0.3">
      <c r="A82" s="37">
        <f t="shared" ca="1" si="0"/>
        <v>765</v>
      </c>
      <c r="B82" s="37">
        <f t="shared" ca="1" si="1"/>
        <v>846</v>
      </c>
      <c r="C82" s="37">
        <v>56921</v>
      </c>
      <c r="D82" s="37" t="s">
        <v>376</v>
      </c>
      <c r="E82" s="37" t="s">
        <v>471</v>
      </c>
      <c r="F82" s="37" t="s">
        <v>146</v>
      </c>
      <c r="G82" s="37" t="s">
        <v>48</v>
      </c>
      <c r="H82" s="37" t="s">
        <v>81</v>
      </c>
      <c r="I82" s="37"/>
      <c r="J82" s="38">
        <v>42125.443981481483</v>
      </c>
      <c r="K82" s="37" t="s">
        <v>20</v>
      </c>
      <c r="L82" s="37" t="s">
        <v>346</v>
      </c>
      <c r="M82" s="38">
        <v>42045.675682870373</v>
      </c>
      <c r="N82" s="37" t="s">
        <v>40</v>
      </c>
      <c r="O82" s="37"/>
      <c r="P82" s="37"/>
      <c r="Q82" s="37" t="s">
        <v>17</v>
      </c>
      <c r="R82" s="37" t="s">
        <v>7</v>
      </c>
      <c r="S82" s="37" t="s">
        <v>13</v>
      </c>
      <c r="T82" s="37" t="s">
        <v>19</v>
      </c>
      <c r="U82" s="37"/>
      <c r="V82" s="37" t="s">
        <v>7</v>
      </c>
      <c r="W82" s="37" t="s">
        <v>10</v>
      </c>
      <c r="X82" s="37" t="s">
        <v>7</v>
      </c>
      <c r="Y82" s="37" t="s">
        <v>114</v>
      </c>
      <c r="Z82" s="37" t="s">
        <v>7</v>
      </c>
      <c r="AA82" s="37" t="s">
        <v>7</v>
      </c>
      <c r="AB82" s="37" t="s">
        <v>7</v>
      </c>
      <c r="AC82" s="37" t="s">
        <v>7</v>
      </c>
      <c r="AD82" s="37" t="s">
        <v>7</v>
      </c>
    </row>
    <row r="83" spans="1:30" x14ac:dyDescent="0.3">
      <c r="A83" s="37">
        <f t="shared" ca="1" si="0"/>
        <v>765</v>
      </c>
      <c r="B83" s="37">
        <f t="shared" ca="1" si="1"/>
        <v>846</v>
      </c>
      <c r="C83" s="37">
        <v>56923</v>
      </c>
      <c r="D83" s="37" t="s">
        <v>376</v>
      </c>
      <c r="E83" s="37" t="s">
        <v>472</v>
      </c>
      <c r="F83" s="37" t="s">
        <v>146</v>
      </c>
      <c r="G83" s="37" t="s">
        <v>48</v>
      </c>
      <c r="H83" s="37" t="s">
        <v>81</v>
      </c>
      <c r="I83" s="37"/>
      <c r="J83" s="38">
        <v>42125.446423611109</v>
      </c>
      <c r="K83" s="37" t="s">
        <v>20</v>
      </c>
      <c r="L83" s="37" t="s">
        <v>473</v>
      </c>
      <c r="M83" s="38">
        <v>42045.677118055559</v>
      </c>
      <c r="N83" s="37" t="s">
        <v>40</v>
      </c>
      <c r="O83" s="37"/>
      <c r="P83" s="37"/>
      <c r="Q83" s="37" t="s">
        <v>17</v>
      </c>
      <c r="R83" s="37" t="s">
        <v>30</v>
      </c>
      <c r="S83" s="37" t="s">
        <v>13</v>
      </c>
      <c r="T83" s="37" t="s">
        <v>19</v>
      </c>
      <c r="U83" s="34">
        <v>41904</v>
      </c>
      <c r="V83" s="37" t="s">
        <v>7</v>
      </c>
      <c r="W83" s="37" t="s">
        <v>26</v>
      </c>
      <c r="X83" s="37" t="s">
        <v>7</v>
      </c>
      <c r="Y83" s="37" t="s">
        <v>114</v>
      </c>
      <c r="Z83" s="37" t="s">
        <v>7</v>
      </c>
      <c r="AA83" s="37" t="s">
        <v>7</v>
      </c>
      <c r="AB83" s="37" t="s">
        <v>7</v>
      </c>
      <c r="AC83" s="37" t="s">
        <v>7</v>
      </c>
      <c r="AD83" s="37" t="s">
        <v>7</v>
      </c>
    </row>
    <row r="84" spans="1:30" x14ac:dyDescent="0.3">
      <c r="A84" s="37">
        <f t="shared" ca="1" si="0"/>
        <v>765</v>
      </c>
      <c r="B84" s="37">
        <f t="shared" ca="1" si="1"/>
        <v>846</v>
      </c>
      <c r="C84" s="37">
        <v>56924</v>
      </c>
      <c r="D84" s="37" t="s">
        <v>376</v>
      </c>
      <c r="E84" s="37" t="s">
        <v>474</v>
      </c>
      <c r="F84" s="37" t="s">
        <v>146</v>
      </c>
      <c r="G84" s="37" t="s">
        <v>48</v>
      </c>
      <c r="H84" s="37" t="s">
        <v>81</v>
      </c>
      <c r="I84" s="37"/>
      <c r="J84" s="38">
        <v>42125.445127314815</v>
      </c>
      <c r="K84" s="37" t="s">
        <v>20</v>
      </c>
      <c r="L84" s="37" t="s">
        <v>231</v>
      </c>
      <c r="M84" s="38">
        <v>42045.677986111114</v>
      </c>
      <c r="N84" s="37" t="s">
        <v>40</v>
      </c>
      <c r="O84" s="37"/>
      <c r="P84" s="37"/>
      <c r="Q84" s="37" t="s">
        <v>17</v>
      </c>
      <c r="R84" s="37" t="s">
        <v>7</v>
      </c>
      <c r="S84" s="37" t="s">
        <v>13</v>
      </c>
      <c r="T84" s="37" t="s">
        <v>19</v>
      </c>
      <c r="U84" s="37"/>
      <c r="V84" s="37" t="s">
        <v>7</v>
      </c>
      <c r="W84" s="37" t="s">
        <v>10</v>
      </c>
      <c r="X84" s="37" t="s">
        <v>7</v>
      </c>
      <c r="Y84" s="37" t="s">
        <v>114</v>
      </c>
      <c r="Z84" s="37" t="s">
        <v>7</v>
      </c>
      <c r="AA84" s="37" t="s">
        <v>7</v>
      </c>
      <c r="AB84" s="37" t="s">
        <v>7</v>
      </c>
      <c r="AC84" s="37" t="s">
        <v>7</v>
      </c>
      <c r="AD84" s="37" t="s">
        <v>7</v>
      </c>
    </row>
    <row r="85" spans="1:30" x14ac:dyDescent="0.3">
      <c r="A85" s="37">
        <f t="shared" ca="1" si="0"/>
        <v>765</v>
      </c>
      <c r="B85" s="37">
        <f t="shared" ca="1" si="1"/>
        <v>846</v>
      </c>
      <c r="C85" s="37">
        <v>56925</v>
      </c>
      <c r="D85" s="37" t="s">
        <v>376</v>
      </c>
      <c r="E85" s="37" t="s">
        <v>475</v>
      </c>
      <c r="F85" s="37" t="s">
        <v>146</v>
      </c>
      <c r="G85" s="37" t="s">
        <v>48</v>
      </c>
      <c r="H85" s="37" t="s">
        <v>81</v>
      </c>
      <c r="I85" s="37"/>
      <c r="J85" s="38">
        <v>42125.443888888891</v>
      </c>
      <c r="K85" s="37" t="s">
        <v>20</v>
      </c>
      <c r="L85" s="37" t="s">
        <v>465</v>
      </c>
      <c r="M85" s="38">
        <v>42045.678368055553</v>
      </c>
      <c r="N85" s="37" t="s">
        <v>40</v>
      </c>
      <c r="O85" s="37"/>
      <c r="P85" s="37"/>
      <c r="Q85" s="37" t="s">
        <v>17</v>
      </c>
      <c r="R85" s="37" t="s">
        <v>7</v>
      </c>
      <c r="S85" s="37" t="s">
        <v>13</v>
      </c>
      <c r="T85" s="37" t="s">
        <v>19</v>
      </c>
      <c r="U85" s="37"/>
      <c r="V85" s="37" t="s">
        <v>7</v>
      </c>
      <c r="W85" s="37" t="s">
        <v>10</v>
      </c>
      <c r="X85" s="37" t="s">
        <v>7</v>
      </c>
      <c r="Y85" s="37" t="s">
        <v>114</v>
      </c>
      <c r="Z85" s="37" t="s">
        <v>7</v>
      </c>
      <c r="AA85" s="37" t="s">
        <v>7</v>
      </c>
      <c r="AB85" s="37" t="s">
        <v>7</v>
      </c>
      <c r="AC85" s="37" t="s">
        <v>7</v>
      </c>
      <c r="AD85" s="37" t="s">
        <v>7</v>
      </c>
    </row>
    <row r="86" spans="1:30" x14ac:dyDescent="0.3">
      <c r="A86" s="37">
        <f t="shared" ca="1" si="0"/>
        <v>765</v>
      </c>
      <c r="B86" s="37">
        <f t="shared" ca="1" si="1"/>
        <v>846</v>
      </c>
      <c r="C86" s="37">
        <v>56926</v>
      </c>
      <c r="D86" s="37" t="s">
        <v>376</v>
      </c>
      <c r="E86" s="37" t="s">
        <v>476</v>
      </c>
      <c r="F86" s="37" t="s">
        <v>146</v>
      </c>
      <c r="G86" s="37" t="s">
        <v>48</v>
      </c>
      <c r="H86" s="37" t="s">
        <v>81</v>
      </c>
      <c r="I86" s="37"/>
      <c r="J86" s="38">
        <v>42125.447511574072</v>
      </c>
      <c r="K86" s="37" t="s">
        <v>20</v>
      </c>
      <c r="L86" s="37" t="s">
        <v>351</v>
      </c>
      <c r="M86" s="38">
        <v>42045.679282407407</v>
      </c>
      <c r="N86" s="37" t="s">
        <v>40</v>
      </c>
      <c r="O86" s="37"/>
      <c r="P86" s="37"/>
      <c r="Q86" s="37" t="s">
        <v>17</v>
      </c>
      <c r="R86" s="37" t="s">
        <v>30</v>
      </c>
      <c r="S86" s="37" t="s">
        <v>13</v>
      </c>
      <c r="T86" s="37" t="s">
        <v>19</v>
      </c>
      <c r="U86" s="37"/>
      <c r="V86" s="37" t="s">
        <v>7</v>
      </c>
      <c r="W86" s="37" t="s">
        <v>26</v>
      </c>
      <c r="X86" s="37" t="s">
        <v>7</v>
      </c>
      <c r="Y86" s="37" t="s">
        <v>114</v>
      </c>
      <c r="Z86" s="37" t="s">
        <v>7</v>
      </c>
      <c r="AA86" s="37" t="s">
        <v>7</v>
      </c>
      <c r="AB86" s="37" t="s">
        <v>7</v>
      </c>
      <c r="AC86" s="37" t="s">
        <v>7</v>
      </c>
      <c r="AD86" s="37" t="s">
        <v>7</v>
      </c>
    </row>
    <row r="87" spans="1:30" x14ac:dyDescent="0.3">
      <c r="A87" s="37">
        <f t="shared" ca="1" si="0"/>
        <v>600</v>
      </c>
      <c r="B87" s="37">
        <f t="shared" ca="1" si="1"/>
        <v>846</v>
      </c>
      <c r="C87" s="37">
        <v>56929</v>
      </c>
      <c r="D87" s="37" t="s">
        <v>339</v>
      </c>
      <c r="E87" s="37" t="s">
        <v>477</v>
      </c>
      <c r="F87" s="37" t="s">
        <v>146</v>
      </c>
      <c r="G87" s="37" t="s">
        <v>48</v>
      </c>
      <c r="H87" s="37" t="s">
        <v>81</v>
      </c>
      <c r="I87" s="37"/>
      <c r="J87" s="38">
        <v>42293.439571759256</v>
      </c>
      <c r="K87" s="37" t="s">
        <v>20</v>
      </c>
      <c r="L87" s="37" t="s">
        <v>478</v>
      </c>
      <c r="M87" s="38">
        <v>42045.681006944447</v>
      </c>
      <c r="N87" s="37" t="s">
        <v>40</v>
      </c>
      <c r="O87" s="37"/>
      <c r="P87" s="37"/>
      <c r="Q87" s="37" t="s">
        <v>12</v>
      </c>
      <c r="R87" s="37" t="s">
        <v>7</v>
      </c>
      <c r="S87" s="37" t="s">
        <v>8</v>
      </c>
      <c r="T87" s="37" t="s">
        <v>479</v>
      </c>
      <c r="U87" s="37"/>
      <c r="V87" s="37" t="s">
        <v>7</v>
      </c>
      <c r="W87" s="37" t="s">
        <v>10</v>
      </c>
      <c r="X87" s="37" t="s">
        <v>7</v>
      </c>
      <c r="Y87" s="37" t="s">
        <v>114</v>
      </c>
      <c r="Z87" s="37" t="s">
        <v>7</v>
      </c>
      <c r="AA87" s="37" t="s">
        <v>7</v>
      </c>
      <c r="AB87" s="37" t="s">
        <v>7</v>
      </c>
      <c r="AC87" s="37" t="s">
        <v>7</v>
      </c>
      <c r="AD87" s="37" t="s">
        <v>7</v>
      </c>
    </row>
    <row r="88" spans="1:30" x14ac:dyDescent="0.3">
      <c r="A88" s="37">
        <f t="shared" ca="1" si="0"/>
        <v>600</v>
      </c>
      <c r="B88" s="37">
        <f t="shared" ca="1" si="1"/>
        <v>846</v>
      </c>
      <c r="C88" s="37">
        <v>56955</v>
      </c>
      <c r="D88" s="37" t="s">
        <v>339</v>
      </c>
      <c r="E88" s="37" t="s">
        <v>480</v>
      </c>
      <c r="F88" s="37" t="s">
        <v>146</v>
      </c>
      <c r="G88" s="37" t="s">
        <v>48</v>
      </c>
      <c r="H88" s="37" t="s">
        <v>81</v>
      </c>
      <c r="I88" s="37"/>
      <c r="J88" s="38">
        <v>42293.439756944441</v>
      </c>
      <c r="K88" s="37" t="s">
        <v>20</v>
      </c>
      <c r="L88" s="37" t="s">
        <v>356</v>
      </c>
      <c r="M88" s="38">
        <v>42045.89640046296</v>
      </c>
      <c r="N88" s="37" t="s">
        <v>481</v>
      </c>
      <c r="O88" s="37"/>
      <c r="P88" s="37"/>
      <c r="Q88" s="37" t="s">
        <v>17</v>
      </c>
      <c r="R88" s="37" t="s">
        <v>30</v>
      </c>
      <c r="S88" s="37" t="s">
        <v>24</v>
      </c>
      <c r="T88" s="37" t="s">
        <v>46</v>
      </c>
      <c r="U88" s="37"/>
      <c r="V88" s="37" t="s">
        <v>7</v>
      </c>
      <c r="W88" s="37" t="s">
        <v>10</v>
      </c>
      <c r="X88" s="37" t="s">
        <v>7</v>
      </c>
      <c r="Y88" s="37" t="s">
        <v>114</v>
      </c>
      <c r="Z88" s="37" t="s">
        <v>7</v>
      </c>
      <c r="AA88" s="37" t="s">
        <v>7</v>
      </c>
      <c r="AB88" s="37" t="s">
        <v>7</v>
      </c>
      <c r="AC88" s="37" t="s">
        <v>7</v>
      </c>
      <c r="AD88" s="37" t="s">
        <v>7</v>
      </c>
    </row>
    <row r="89" spans="1:30" x14ac:dyDescent="0.3">
      <c r="A89" s="37">
        <f t="shared" ca="1" si="0"/>
        <v>846</v>
      </c>
      <c r="B89" s="37">
        <f t="shared" ca="1" si="1"/>
        <v>846</v>
      </c>
      <c r="C89" s="37">
        <v>56957</v>
      </c>
      <c r="D89" s="37" t="s">
        <v>376</v>
      </c>
      <c r="E89" s="37" t="s">
        <v>482</v>
      </c>
      <c r="F89" s="37" t="s">
        <v>146</v>
      </c>
      <c r="G89" s="37" t="s">
        <v>48</v>
      </c>
      <c r="H89" s="37" t="s">
        <v>81</v>
      </c>
      <c r="I89" s="37"/>
      <c r="J89" s="38">
        <v>42045.940879629627</v>
      </c>
      <c r="K89" s="37" t="s">
        <v>20</v>
      </c>
      <c r="L89" s="37" t="s">
        <v>48</v>
      </c>
      <c r="M89" s="38">
        <v>42045.898831018516</v>
      </c>
      <c r="N89" s="37" t="s">
        <v>116</v>
      </c>
      <c r="O89" s="37"/>
      <c r="P89" s="37"/>
      <c r="Q89" s="37" t="s">
        <v>17</v>
      </c>
      <c r="R89" s="37" t="s">
        <v>30</v>
      </c>
      <c r="S89" s="37" t="s">
        <v>13</v>
      </c>
      <c r="T89" s="37" t="s">
        <v>19</v>
      </c>
      <c r="U89" s="37"/>
      <c r="V89" s="37" t="s">
        <v>7</v>
      </c>
      <c r="W89" s="37" t="s">
        <v>10</v>
      </c>
      <c r="X89" s="37" t="s">
        <v>7</v>
      </c>
      <c r="Y89" s="37" t="s">
        <v>114</v>
      </c>
      <c r="Z89" s="37" t="s">
        <v>7</v>
      </c>
      <c r="AA89" s="37" t="s">
        <v>7</v>
      </c>
      <c r="AB89" s="37" t="s">
        <v>7</v>
      </c>
      <c r="AC89" s="37" t="s">
        <v>7</v>
      </c>
      <c r="AD89" s="37" t="s">
        <v>7</v>
      </c>
    </row>
    <row r="90" spans="1:30" x14ac:dyDescent="0.3">
      <c r="A90" s="37">
        <f t="shared" ca="1" si="0"/>
        <v>600</v>
      </c>
      <c r="B90" s="37">
        <f t="shared" ca="1" si="1"/>
        <v>846</v>
      </c>
      <c r="C90" s="37">
        <v>56960</v>
      </c>
      <c r="D90" s="37" t="s">
        <v>339</v>
      </c>
      <c r="E90" s="37" t="s">
        <v>483</v>
      </c>
      <c r="F90" s="37" t="s">
        <v>146</v>
      </c>
      <c r="G90" s="37" t="s">
        <v>48</v>
      </c>
      <c r="H90" s="37" t="s">
        <v>81</v>
      </c>
      <c r="I90" s="37"/>
      <c r="J90" s="38">
        <v>42293.439768518518</v>
      </c>
      <c r="K90" s="37" t="s">
        <v>20</v>
      </c>
      <c r="L90" s="37" t="s">
        <v>356</v>
      </c>
      <c r="M90" s="38">
        <v>42045.904224537036</v>
      </c>
      <c r="N90" s="37" t="s">
        <v>22</v>
      </c>
      <c r="O90" s="37"/>
      <c r="P90" s="37"/>
      <c r="Q90" s="37" t="s">
        <v>17</v>
      </c>
      <c r="R90" s="37" t="s">
        <v>30</v>
      </c>
      <c r="S90" s="37" t="s">
        <v>8</v>
      </c>
      <c r="T90" s="37" t="s">
        <v>122</v>
      </c>
      <c r="U90" s="37"/>
      <c r="V90" s="37" t="s">
        <v>7</v>
      </c>
      <c r="W90" s="37" t="s">
        <v>10</v>
      </c>
      <c r="X90" s="37" t="s">
        <v>7</v>
      </c>
      <c r="Y90" s="37" t="s">
        <v>114</v>
      </c>
      <c r="Z90" s="37" t="s">
        <v>7</v>
      </c>
      <c r="AA90" s="37" t="s">
        <v>7</v>
      </c>
      <c r="AB90" s="37" t="s">
        <v>7</v>
      </c>
      <c r="AC90" s="37" t="s">
        <v>7</v>
      </c>
      <c r="AD90" s="37" t="s">
        <v>7</v>
      </c>
    </row>
    <row r="91" spans="1:30" x14ac:dyDescent="0.3">
      <c r="A91" s="37">
        <f t="shared" ca="1" si="0"/>
        <v>718</v>
      </c>
      <c r="B91" s="37">
        <f t="shared" ca="1" si="1"/>
        <v>846</v>
      </c>
      <c r="C91" s="37">
        <v>56964</v>
      </c>
      <c r="D91" s="37" t="s">
        <v>371</v>
      </c>
      <c r="E91" s="37" t="s">
        <v>484</v>
      </c>
      <c r="F91" s="37" t="s">
        <v>146</v>
      </c>
      <c r="G91" s="37" t="s">
        <v>48</v>
      </c>
      <c r="H91" s="37" t="s">
        <v>81</v>
      </c>
      <c r="I91" s="37"/>
      <c r="J91" s="38">
        <v>42173.333101851851</v>
      </c>
      <c r="K91" s="37" t="s">
        <v>20</v>
      </c>
      <c r="L91" s="37" t="s">
        <v>3</v>
      </c>
      <c r="M91" s="38">
        <v>42045.907905092594</v>
      </c>
      <c r="N91" s="37" t="s">
        <v>29</v>
      </c>
      <c r="O91" s="37"/>
      <c r="P91" s="37"/>
      <c r="Q91" s="37" t="s">
        <v>17</v>
      </c>
      <c r="R91" s="37" t="s">
        <v>30</v>
      </c>
      <c r="S91" s="37" t="s">
        <v>13</v>
      </c>
      <c r="T91" s="37" t="s">
        <v>19</v>
      </c>
      <c r="U91" s="37"/>
      <c r="V91" s="37" t="s">
        <v>7</v>
      </c>
      <c r="W91" s="37" t="s">
        <v>10</v>
      </c>
      <c r="X91" s="37" t="s">
        <v>7</v>
      </c>
      <c r="Y91" s="37" t="s">
        <v>114</v>
      </c>
      <c r="Z91" s="37" t="s">
        <v>7</v>
      </c>
      <c r="AA91" s="37" t="s">
        <v>7</v>
      </c>
      <c r="AB91" s="37" t="s">
        <v>7</v>
      </c>
      <c r="AC91" s="37" t="s">
        <v>7</v>
      </c>
      <c r="AD91" s="37" t="s">
        <v>7</v>
      </c>
    </row>
    <row r="92" spans="1:30" x14ac:dyDescent="0.3">
      <c r="A92" s="37">
        <f t="shared" ca="1" si="0"/>
        <v>765</v>
      </c>
      <c r="B92" s="37">
        <f t="shared" ca="1" si="1"/>
        <v>846</v>
      </c>
      <c r="C92" s="37">
        <v>56965</v>
      </c>
      <c r="D92" s="37" t="s">
        <v>338</v>
      </c>
      <c r="E92" s="37" t="s">
        <v>485</v>
      </c>
      <c r="F92" s="37" t="s">
        <v>146</v>
      </c>
      <c r="G92" s="37" t="s">
        <v>48</v>
      </c>
      <c r="H92" s="37" t="s">
        <v>81</v>
      </c>
      <c r="I92" s="37"/>
      <c r="J92" s="38">
        <v>42125.672951388886</v>
      </c>
      <c r="K92" s="37" t="s">
        <v>20</v>
      </c>
      <c r="L92" s="37" t="s">
        <v>356</v>
      </c>
      <c r="M92" s="38">
        <v>42045.909050925926</v>
      </c>
      <c r="N92" s="37" t="s">
        <v>29</v>
      </c>
      <c r="O92" s="37"/>
      <c r="P92" s="37"/>
      <c r="Q92" s="37" t="s">
        <v>17</v>
      </c>
      <c r="R92" s="37" t="s">
        <v>30</v>
      </c>
      <c r="S92" s="37" t="s">
        <v>8</v>
      </c>
      <c r="T92" s="37" t="s">
        <v>153</v>
      </c>
      <c r="U92" s="37"/>
      <c r="V92" s="37" t="s">
        <v>7</v>
      </c>
      <c r="W92" s="37" t="s">
        <v>10</v>
      </c>
      <c r="X92" s="37" t="s">
        <v>7</v>
      </c>
      <c r="Y92" s="37" t="s">
        <v>114</v>
      </c>
      <c r="Z92" s="37" t="s">
        <v>7</v>
      </c>
      <c r="AA92" s="37" t="s">
        <v>7</v>
      </c>
      <c r="AB92" s="37" t="s">
        <v>7</v>
      </c>
      <c r="AC92" s="37" t="s">
        <v>7</v>
      </c>
      <c r="AD92" s="37" t="s">
        <v>7</v>
      </c>
    </row>
    <row r="93" spans="1:30" x14ac:dyDescent="0.3">
      <c r="A93" s="37">
        <f t="shared" ca="1" si="0"/>
        <v>765</v>
      </c>
      <c r="B93" s="37">
        <f t="shared" ca="1" si="1"/>
        <v>846</v>
      </c>
      <c r="C93" s="37">
        <v>56969</v>
      </c>
      <c r="D93" s="37" t="s">
        <v>376</v>
      </c>
      <c r="E93" s="37" t="s">
        <v>486</v>
      </c>
      <c r="F93" s="37" t="s">
        <v>146</v>
      </c>
      <c r="G93" s="37" t="s">
        <v>48</v>
      </c>
      <c r="H93" s="37" t="s">
        <v>81</v>
      </c>
      <c r="I93" s="37"/>
      <c r="J93" s="38">
        <v>42125.449675925927</v>
      </c>
      <c r="K93" s="37" t="s">
        <v>20</v>
      </c>
      <c r="L93" s="37" t="s">
        <v>356</v>
      </c>
      <c r="M93" s="38">
        <v>42045.918634259258</v>
      </c>
      <c r="N93" s="37" t="s">
        <v>40</v>
      </c>
      <c r="O93" s="37"/>
      <c r="P93" s="37"/>
      <c r="Q93" s="37" t="s">
        <v>17</v>
      </c>
      <c r="R93" s="37" t="s">
        <v>30</v>
      </c>
      <c r="S93" s="37" t="s">
        <v>13</v>
      </c>
      <c r="T93" s="37" t="s">
        <v>19</v>
      </c>
      <c r="U93" s="37"/>
      <c r="V93" s="37" t="s">
        <v>7</v>
      </c>
      <c r="W93" s="37" t="s">
        <v>10</v>
      </c>
      <c r="X93" s="37" t="s">
        <v>7</v>
      </c>
      <c r="Y93" s="37" t="s">
        <v>114</v>
      </c>
      <c r="Z93" s="37" t="s">
        <v>7</v>
      </c>
      <c r="AA93" s="37" t="s">
        <v>7</v>
      </c>
      <c r="AB93" s="37" t="s">
        <v>7</v>
      </c>
      <c r="AC93" s="37" t="s">
        <v>7</v>
      </c>
      <c r="AD93" s="37" t="s">
        <v>7</v>
      </c>
    </row>
    <row r="94" spans="1:30" x14ac:dyDescent="0.3">
      <c r="A94" s="37">
        <f t="shared" ca="1" si="0"/>
        <v>725</v>
      </c>
      <c r="B94" s="37">
        <f t="shared" ca="1" si="1"/>
        <v>846</v>
      </c>
      <c r="C94" s="37">
        <v>56987</v>
      </c>
      <c r="D94" s="37" t="s">
        <v>376</v>
      </c>
      <c r="E94" s="37" t="s">
        <v>487</v>
      </c>
      <c r="F94" s="37" t="s">
        <v>146</v>
      </c>
      <c r="G94" s="37" t="s">
        <v>48</v>
      </c>
      <c r="H94" s="37" t="s">
        <v>81</v>
      </c>
      <c r="I94" s="37"/>
      <c r="J94" s="38">
        <v>42166.356261574074</v>
      </c>
      <c r="K94" s="37" t="s">
        <v>20</v>
      </c>
      <c r="L94" s="37" t="s">
        <v>356</v>
      </c>
      <c r="M94" s="38">
        <v>42045.956643518519</v>
      </c>
      <c r="N94" s="37" t="s">
        <v>5</v>
      </c>
      <c r="O94" s="37"/>
      <c r="P94" s="37"/>
      <c r="Q94" s="37" t="s">
        <v>12</v>
      </c>
      <c r="R94" s="37" t="s">
        <v>30</v>
      </c>
      <c r="S94" s="37" t="s">
        <v>13</v>
      </c>
      <c r="T94" s="37" t="s">
        <v>19</v>
      </c>
      <c r="U94" s="37"/>
      <c r="V94" s="37" t="s">
        <v>7</v>
      </c>
      <c r="W94" s="37" t="s">
        <v>10</v>
      </c>
      <c r="X94" s="37" t="s">
        <v>7</v>
      </c>
      <c r="Y94" s="37" t="s">
        <v>114</v>
      </c>
      <c r="Z94" s="37" t="s">
        <v>7</v>
      </c>
      <c r="AA94" s="37" t="s">
        <v>7</v>
      </c>
      <c r="AB94" s="37" t="s">
        <v>7</v>
      </c>
      <c r="AC94" s="37" t="s">
        <v>7</v>
      </c>
      <c r="AD94" s="37" t="s">
        <v>7</v>
      </c>
    </row>
    <row r="95" spans="1:30" x14ac:dyDescent="0.3">
      <c r="A95" s="37">
        <f t="shared" ca="1" si="0"/>
        <v>836</v>
      </c>
      <c r="B95" s="37">
        <f t="shared" ca="1" si="1"/>
        <v>845</v>
      </c>
      <c r="C95" s="37">
        <v>57043</v>
      </c>
      <c r="D95" s="37" t="s">
        <v>342</v>
      </c>
      <c r="E95" s="37" t="s">
        <v>488</v>
      </c>
      <c r="F95" s="37" t="s">
        <v>146</v>
      </c>
      <c r="G95" s="37" t="s">
        <v>48</v>
      </c>
      <c r="H95" s="37" t="s">
        <v>81</v>
      </c>
      <c r="I95" s="37"/>
      <c r="J95" s="38">
        <v>42055.65824074074</v>
      </c>
      <c r="K95" s="37" t="s">
        <v>20</v>
      </c>
      <c r="L95" s="37" t="s">
        <v>451</v>
      </c>
      <c r="M95" s="38">
        <v>42046.50708333333</v>
      </c>
      <c r="N95" s="37" t="s">
        <v>5</v>
      </c>
      <c r="O95" s="37"/>
      <c r="P95" s="37"/>
      <c r="Q95" s="37" t="s">
        <v>17</v>
      </c>
      <c r="R95" s="37" t="s">
        <v>30</v>
      </c>
      <c r="S95" s="37" t="s">
        <v>24</v>
      </c>
      <c r="T95" s="37" t="s">
        <v>47</v>
      </c>
      <c r="U95" s="37"/>
      <c r="V95" s="37" t="s">
        <v>7</v>
      </c>
      <c r="W95" s="37" t="s">
        <v>10</v>
      </c>
      <c r="X95" s="37" t="s">
        <v>7</v>
      </c>
      <c r="Y95" s="37" t="s">
        <v>114</v>
      </c>
      <c r="Z95" s="37" t="s">
        <v>7</v>
      </c>
      <c r="AA95" s="37" t="s">
        <v>7</v>
      </c>
      <c r="AB95" s="37" t="s">
        <v>7</v>
      </c>
      <c r="AC95" s="37" t="s">
        <v>7</v>
      </c>
      <c r="AD95" s="37" t="s">
        <v>7</v>
      </c>
    </row>
    <row r="96" spans="1:30" x14ac:dyDescent="0.3">
      <c r="A96" s="37">
        <f t="shared" ca="1" si="0"/>
        <v>725</v>
      </c>
      <c r="B96" s="37">
        <f t="shared" ca="1" si="1"/>
        <v>845</v>
      </c>
      <c r="C96" s="37">
        <v>57045</v>
      </c>
      <c r="D96" s="37" t="s">
        <v>376</v>
      </c>
      <c r="E96" s="37" t="s">
        <v>489</v>
      </c>
      <c r="F96" s="37" t="s">
        <v>11</v>
      </c>
      <c r="G96" s="37" t="s">
        <v>48</v>
      </c>
      <c r="H96" s="37" t="s">
        <v>81</v>
      </c>
      <c r="I96" s="37"/>
      <c r="J96" s="38">
        <v>42166.35497685185</v>
      </c>
      <c r="K96" s="37" t="s">
        <v>20</v>
      </c>
      <c r="L96" s="37" t="s">
        <v>490</v>
      </c>
      <c r="M96" s="38">
        <v>42046.528171296297</v>
      </c>
      <c r="N96" s="37" t="s">
        <v>56</v>
      </c>
      <c r="O96" s="37"/>
      <c r="P96" s="37"/>
      <c r="Q96" s="37" t="s">
        <v>6</v>
      </c>
      <c r="R96" s="37" t="s">
        <v>30</v>
      </c>
      <c r="S96" s="37" t="s">
        <v>13</v>
      </c>
      <c r="T96" s="37" t="s">
        <v>19</v>
      </c>
      <c r="U96" s="37"/>
      <c r="V96" s="37" t="s">
        <v>7</v>
      </c>
      <c r="W96" s="37" t="s">
        <v>10</v>
      </c>
      <c r="X96" s="37" t="s">
        <v>7</v>
      </c>
      <c r="Y96" s="37" t="s">
        <v>114</v>
      </c>
      <c r="Z96" s="37" t="s">
        <v>7</v>
      </c>
      <c r="AA96" s="37" t="s">
        <v>7</v>
      </c>
      <c r="AB96" s="37" t="s">
        <v>7</v>
      </c>
      <c r="AC96" s="37" t="s">
        <v>7</v>
      </c>
      <c r="AD96" s="37" t="s">
        <v>7</v>
      </c>
    </row>
    <row r="97" spans="1:30" x14ac:dyDescent="0.3">
      <c r="A97" s="37">
        <f t="shared" ca="1" si="0"/>
        <v>813</v>
      </c>
      <c r="B97" s="37">
        <f t="shared" ca="1" si="1"/>
        <v>845</v>
      </c>
      <c r="C97" s="37">
        <v>57052</v>
      </c>
      <c r="D97" s="37" t="s">
        <v>376</v>
      </c>
      <c r="E97" s="37" t="s">
        <v>491</v>
      </c>
      <c r="F97" s="37" t="s">
        <v>146</v>
      </c>
      <c r="G97" s="37" t="s">
        <v>48</v>
      </c>
      <c r="H97" s="37" t="s">
        <v>81</v>
      </c>
      <c r="I97" s="37"/>
      <c r="J97" s="38">
        <v>42076.532280092593</v>
      </c>
      <c r="K97" s="37" t="s">
        <v>20</v>
      </c>
      <c r="L97" s="37" t="s">
        <v>48</v>
      </c>
      <c r="M97" s="38">
        <v>42046.530289351853</v>
      </c>
      <c r="N97" s="37" t="s">
        <v>120</v>
      </c>
      <c r="O97" s="37"/>
      <c r="P97" s="37"/>
      <c r="Q97" s="37" t="s">
        <v>12</v>
      </c>
      <c r="R97" s="37" t="s">
        <v>30</v>
      </c>
      <c r="S97" s="37" t="s">
        <v>13</v>
      </c>
      <c r="T97" s="37" t="s">
        <v>19</v>
      </c>
      <c r="U97" s="37"/>
      <c r="V97" s="37" t="s">
        <v>7</v>
      </c>
      <c r="W97" s="37" t="s">
        <v>10</v>
      </c>
      <c r="X97" s="37" t="s">
        <v>7</v>
      </c>
      <c r="Y97" s="37" t="s">
        <v>114</v>
      </c>
      <c r="Z97" s="37" t="s">
        <v>7</v>
      </c>
      <c r="AA97" s="37" t="s">
        <v>7</v>
      </c>
      <c r="AB97" s="37" t="s">
        <v>7</v>
      </c>
      <c r="AC97" s="37" t="s">
        <v>7</v>
      </c>
      <c r="AD97" s="37" t="s">
        <v>7</v>
      </c>
    </row>
    <row r="98" spans="1:30" x14ac:dyDescent="0.3">
      <c r="A98" s="37">
        <f t="shared" ca="1" si="0"/>
        <v>845</v>
      </c>
      <c r="B98" s="37">
        <f t="shared" ca="1" si="1"/>
        <v>845</v>
      </c>
      <c r="C98" s="37">
        <v>57054</v>
      </c>
      <c r="D98" s="37" t="s">
        <v>376</v>
      </c>
      <c r="E98" s="37" t="s">
        <v>492</v>
      </c>
      <c r="F98" s="37" t="s">
        <v>146</v>
      </c>
      <c r="G98" s="37" t="s">
        <v>48</v>
      </c>
      <c r="H98" s="37" t="s">
        <v>81</v>
      </c>
      <c r="I98" s="37"/>
      <c r="J98" s="38">
        <v>42046.54010416667</v>
      </c>
      <c r="K98" s="37" t="s">
        <v>20</v>
      </c>
      <c r="L98" s="37" t="s">
        <v>351</v>
      </c>
      <c r="M98" s="38">
        <v>42046.532210648147</v>
      </c>
      <c r="N98" s="37" t="s">
        <v>50</v>
      </c>
      <c r="O98" s="37"/>
      <c r="P98" s="37"/>
      <c r="Q98" s="37" t="s">
        <v>17</v>
      </c>
      <c r="R98" s="37" t="s">
        <v>30</v>
      </c>
      <c r="S98" s="37" t="s">
        <v>13</v>
      </c>
      <c r="T98" s="37" t="s">
        <v>19</v>
      </c>
      <c r="U98" s="37"/>
      <c r="V98" s="37" t="s">
        <v>7</v>
      </c>
      <c r="W98" s="37" t="s">
        <v>10</v>
      </c>
      <c r="X98" s="37" t="s">
        <v>7</v>
      </c>
      <c r="Y98" s="37" t="s">
        <v>114</v>
      </c>
      <c r="Z98" s="37" t="s">
        <v>7</v>
      </c>
      <c r="AA98" s="37" t="s">
        <v>7</v>
      </c>
      <c r="AB98" s="37" t="s">
        <v>7</v>
      </c>
      <c r="AC98" s="37" t="s">
        <v>7</v>
      </c>
      <c r="AD98" s="37" t="s">
        <v>7</v>
      </c>
    </row>
    <row r="99" spans="1:30" x14ac:dyDescent="0.3">
      <c r="A99" s="37">
        <f t="shared" ca="1" si="0"/>
        <v>625</v>
      </c>
      <c r="B99" s="37">
        <f t="shared" ca="1" si="1"/>
        <v>845</v>
      </c>
      <c r="C99" s="37">
        <v>57055</v>
      </c>
      <c r="D99" s="37" t="s">
        <v>376</v>
      </c>
      <c r="E99" s="37" t="s">
        <v>493</v>
      </c>
      <c r="F99" s="37" t="s">
        <v>11</v>
      </c>
      <c r="G99" s="37" t="s">
        <v>48</v>
      </c>
      <c r="H99" s="37" t="s">
        <v>81</v>
      </c>
      <c r="I99" s="37"/>
      <c r="J99" s="38">
        <v>42268.603101851855</v>
      </c>
      <c r="K99" s="37" t="s">
        <v>20</v>
      </c>
      <c r="L99" s="37" t="s">
        <v>407</v>
      </c>
      <c r="M99" s="38">
        <v>42046.533553240741</v>
      </c>
      <c r="N99" s="37" t="s">
        <v>5</v>
      </c>
      <c r="O99" s="37"/>
      <c r="P99" s="37"/>
      <c r="Q99" s="37" t="s">
        <v>6</v>
      </c>
      <c r="R99" s="37" t="s">
        <v>7</v>
      </c>
      <c r="S99" s="37" t="s">
        <v>13</v>
      </c>
      <c r="T99" s="37" t="s">
        <v>19</v>
      </c>
      <c r="U99" s="34">
        <v>41901</v>
      </c>
      <c r="V99" s="37" t="s">
        <v>7</v>
      </c>
      <c r="W99" s="37" t="s">
        <v>26</v>
      </c>
      <c r="X99" s="37" t="s">
        <v>7</v>
      </c>
      <c r="Y99" s="37" t="s">
        <v>114</v>
      </c>
      <c r="Z99" s="37" t="s">
        <v>7</v>
      </c>
      <c r="AA99" s="37" t="s">
        <v>7</v>
      </c>
      <c r="AB99" s="37" t="s">
        <v>7</v>
      </c>
      <c r="AC99" s="37" t="s">
        <v>7</v>
      </c>
      <c r="AD99" s="37" t="s">
        <v>7</v>
      </c>
    </row>
    <row r="100" spans="1:30" x14ac:dyDescent="0.3">
      <c r="A100" s="37">
        <f t="shared" ca="1" si="0"/>
        <v>765</v>
      </c>
      <c r="B100" s="37">
        <f t="shared" ca="1" si="1"/>
        <v>845</v>
      </c>
      <c r="C100" s="37">
        <v>57061</v>
      </c>
      <c r="D100" s="37" t="s">
        <v>376</v>
      </c>
      <c r="E100" s="37" t="s">
        <v>494</v>
      </c>
      <c r="F100" s="37" t="s">
        <v>146</v>
      </c>
      <c r="G100" s="37" t="s">
        <v>48</v>
      </c>
      <c r="H100" s="37" t="s">
        <v>81</v>
      </c>
      <c r="I100" s="37"/>
      <c r="J100" s="38">
        <v>42125.443958333337</v>
      </c>
      <c r="K100" s="37" t="s">
        <v>20</v>
      </c>
      <c r="L100" s="37" t="s">
        <v>495</v>
      </c>
      <c r="M100" s="38">
        <v>42046.535856481481</v>
      </c>
      <c r="N100" s="37" t="s">
        <v>40</v>
      </c>
      <c r="O100" s="37"/>
      <c r="P100" s="37"/>
      <c r="Q100" s="37" t="s">
        <v>17</v>
      </c>
      <c r="R100" s="37" t="s">
        <v>7</v>
      </c>
      <c r="S100" s="37" t="s">
        <v>13</v>
      </c>
      <c r="T100" s="37" t="s">
        <v>19</v>
      </c>
      <c r="U100" s="37"/>
      <c r="V100" s="37" t="s">
        <v>7</v>
      </c>
      <c r="W100" s="37" t="s">
        <v>10</v>
      </c>
      <c r="X100" s="37" t="s">
        <v>7</v>
      </c>
      <c r="Y100" s="37" t="s">
        <v>114</v>
      </c>
      <c r="Z100" s="37" t="s">
        <v>7</v>
      </c>
      <c r="AA100" s="37" t="s">
        <v>7</v>
      </c>
      <c r="AB100" s="37" t="s">
        <v>7</v>
      </c>
      <c r="AC100" s="37" t="s">
        <v>7</v>
      </c>
      <c r="AD100" s="37" t="s">
        <v>7</v>
      </c>
    </row>
    <row r="101" spans="1:30" x14ac:dyDescent="0.3">
      <c r="A101" s="37">
        <f t="shared" ca="1" si="0"/>
        <v>765</v>
      </c>
      <c r="B101" s="37">
        <f t="shared" ca="1" si="1"/>
        <v>845</v>
      </c>
      <c r="C101" s="37">
        <v>57062</v>
      </c>
      <c r="D101" s="37" t="s">
        <v>376</v>
      </c>
      <c r="E101" s="37" t="s">
        <v>496</v>
      </c>
      <c r="F101" s="37" t="s">
        <v>146</v>
      </c>
      <c r="G101" s="37" t="s">
        <v>48</v>
      </c>
      <c r="H101" s="37" t="s">
        <v>81</v>
      </c>
      <c r="I101" s="37"/>
      <c r="J101" s="38">
        <v>42125.443865740737</v>
      </c>
      <c r="K101" s="37" t="s">
        <v>20</v>
      </c>
      <c r="L101" s="37" t="s">
        <v>349</v>
      </c>
      <c r="M101" s="38">
        <v>42046.536157407405</v>
      </c>
      <c r="N101" s="37" t="s">
        <v>40</v>
      </c>
      <c r="O101" s="37"/>
      <c r="P101" s="37"/>
      <c r="Q101" s="37" t="s">
        <v>17</v>
      </c>
      <c r="R101" s="37" t="s">
        <v>30</v>
      </c>
      <c r="S101" s="37" t="s">
        <v>13</v>
      </c>
      <c r="T101" s="37" t="s">
        <v>19</v>
      </c>
      <c r="U101" s="37"/>
      <c r="V101" s="37" t="s">
        <v>7</v>
      </c>
      <c r="W101" s="37" t="s">
        <v>10</v>
      </c>
      <c r="X101" s="37" t="s">
        <v>7</v>
      </c>
      <c r="Y101" s="37" t="s">
        <v>114</v>
      </c>
      <c r="Z101" s="37" t="s">
        <v>7</v>
      </c>
      <c r="AA101" s="37" t="s">
        <v>7</v>
      </c>
      <c r="AB101" s="37" t="s">
        <v>7</v>
      </c>
      <c r="AC101" s="37" t="s">
        <v>7</v>
      </c>
      <c r="AD101" s="37" t="s">
        <v>7</v>
      </c>
    </row>
    <row r="102" spans="1:30" x14ac:dyDescent="0.3">
      <c r="A102" s="37">
        <f t="shared" ca="1" si="0"/>
        <v>728</v>
      </c>
      <c r="B102" s="37">
        <f t="shared" ca="1" si="1"/>
        <v>845</v>
      </c>
      <c r="C102" s="37">
        <v>57063</v>
      </c>
      <c r="D102" s="37" t="s">
        <v>376</v>
      </c>
      <c r="E102" s="37" t="s">
        <v>497</v>
      </c>
      <c r="F102" s="37" t="s">
        <v>146</v>
      </c>
      <c r="G102" s="37" t="s">
        <v>48</v>
      </c>
      <c r="H102" s="37" t="s">
        <v>81</v>
      </c>
      <c r="I102" s="37" t="s">
        <v>498</v>
      </c>
      <c r="J102" s="38">
        <v>42163.610300925924</v>
      </c>
      <c r="K102" s="37" t="s">
        <v>20</v>
      </c>
      <c r="L102" s="37" t="s">
        <v>48</v>
      </c>
      <c r="M102" s="38">
        <v>42046.541284722225</v>
      </c>
      <c r="N102" s="37" t="s">
        <v>499</v>
      </c>
      <c r="O102" s="37"/>
      <c r="P102" s="37"/>
      <c r="Q102" s="37" t="s">
        <v>17</v>
      </c>
      <c r="R102" s="37" t="s">
        <v>30</v>
      </c>
      <c r="S102" s="37" t="s">
        <v>13</v>
      </c>
      <c r="T102" s="37" t="s">
        <v>19</v>
      </c>
      <c r="U102" s="37"/>
      <c r="V102" s="37" t="s">
        <v>7</v>
      </c>
      <c r="W102" s="37" t="s">
        <v>10</v>
      </c>
      <c r="X102" s="37" t="s">
        <v>7</v>
      </c>
      <c r="Y102" s="37" t="s">
        <v>114</v>
      </c>
      <c r="Z102" s="37" t="s">
        <v>7</v>
      </c>
      <c r="AA102" s="37" t="s">
        <v>7</v>
      </c>
      <c r="AB102" s="37" t="s">
        <v>7</v>
      </c>
      <c r="AC102" s="37" t="s">
        <v>7</v>
      </c>
      <c r="AD102" s="37" t="s">
        <v>7</v>
      </c>
    </row>
    <row r="103" spans="1:30" x14ac:dyDescent="0.3">
      <c r="A103" s="37">
        <f t="shared" ca="1" si="0"/>
        <v>765</v>
      </c>
      <c r="B103" s="37">
        <f t="shared" ca="1" si="1"/>
        <v>837</v>
      </c>
      <c r="C103" s="37">
        <v>57493</v>
      </c>
      <c r="D103" s="37" t="s">
        <v>376</v>
      </c>
      <c r="E103" s="37" t="s">
        <v>500</v>
      </c>
      <c r="F103" s="37" t="s">
        <v>146</v>
      </c>
      <c r="G103" s="37" t="s">
        <v>48</v>
      </c>
      <c r="H103" s="37" t="s">
        <v>81</v>
      </c>
      <c r="I103" s="37"/>
      <c r="J103" s="38">
        <v>42125.453750000001</v>
      </c>
      <c r="K103" s="37" t="s">
        <v>20</v>
      </c>
      <c r="L103" s="37" t="s">
        <v>409</v>
      </c>
      <c r="M103" s="38">
        <v>42054.703506944446</v>
      </c>
      <c r="N103" s="37" t="s">
        <v>40</v>
      </c>
      <c r="O103" s="37"/>
      <c r="P103" s="37"/>
      <c r="Q103" s="37" t="s">
        <v>17</v>
      </c>
      <c r="R103" s="37" t="s">
        <v>30</v>
      </c>
      <c r="S103" s="37" t="s">
        <v>13</v>
      </c>
      <c r="T103" s="37" t="s">
        <v>19</v>
      </c>
      <c r="U103" s="37"/>
      <c r="V103" s="37" t="s">
        <v>7</v>
      </c>
      <c r="W103" s="37" t="s">
        <v>10</v>
      </c>
      <c r="X103" s="37" t="s">
        <v>7</v>
      </c>
      <c r="Y103" s="37" t="s">
        <v>114</v>
      </c>
      <c r="Z103" s="37" t="s">
        <v>7</v>
      </c>
      <c r="AA103" s="37" t="s">
        <v>7</v>
      </c>
      <c r="AB103" s="37" t="s">
        <v>7</v>
      </c>
      <c r="AC103" s="37" t="s">
        <v>7</v>
      </c>
      <c r="AD103" s="37" t="s">
        <v>7</v>
      </c>
    </row>
    <row r="104" spans="1:30" x14ac:dyDescent="0.3">
      <c r="A104" s="37">
        <f t="shared" ca="1" si="0"/>
        <v>554</v>
      </c>
      <c r="B104" s="37">
        <f t="shared" ca="1" si="1"/>
        <v>836</v>
      </c>
      <c r="C104" s="37">
        <v>57582</v>
      </c>
      <c r="D104" s="37" t="s">
        <v>336</v>
      </c>
      <c r="E104" s="37" t="s">
        <v>592</v>
      </c>
      <c r="F104" s="37" t="s">
        <v>146</v>
      </c>
      <c r="G104" s="37" t="s">
        <v>48</v>
      </c>
      <c r="H104" s="37" t="s">
        <v>81</v>
      </c>
      <c r="I104" s="37"/>
      <c r="J104" s="38">
        <v>42340.477766203701</v>
      </c>
      <c r="K104" s="37" t="s">
        <v>159</v>
      </c>
      <c r="L104" s="37" t="s">
        <v>436</v>
      </c>
      <c r="M104" s="38">
        <v>42055.267337962963</v>
      </c>
      <c r="N104" s="37" t="s">
        <v>116</v>
      </c>
      <c r="O104" s="37"/>
      <c r="P104" s="37"/>
      <c r="Q104" s="37" t="s">
        <v>17</v>
      </c>
      <c r="R104" s="37" t="s">
        <v>30</v>
      </c>
      <c r="S104" s="37" t="s">
        <v>13</v>
      </c>
      <c r="T104" s="37" t="s">
        <v>19</v>
      </c>
      <c r="U104" s="37"/>
      <c r="V104" s="37" t="s">
        <v>7</v>
      </c>
      <c r="W104" s="37" t="s">
        <v>10</v>
      </c>
      <c r="X104" s="37" t="s">
        <v>7</v>
      </c>
      <c r="Y104" s="37" t="s">
        <v>114</v>
      </c>
      <c r="Z104" s="37" t="s">
        <v>7</v>
      </c>
      <c r="AA104" s="37" t="s">
        <v>7</v>
      </c>
      <c r="AB104" s="37" t="s">
        <v>7</v>
      </c>
      <c r="AC104" s="37" t="s">
        <v>7</v>
      </c>
      <c r="AD104" s="37" t="s">
        <v>7</v>
      </c>
    </row>
    <row r="105" spans="1:30" x14ac:dyDescent="0.3">
      <c r="A105" s="37">
        <f t="shared" ca="1" si="0"/>
        <v>765</v>
      </c>
      <c r="B105" s="37">
        <f t="shared" ca="1" si="1"/>
        <v>836</v>
      </c>
      <c r="C105" s="37">
        <v>57594</v>
      </c>
      <c r="D105" s="37" t="s">
        <v>336</v>
      </c>
      <c r="E105" s="37" t="s">
        <v>501</v>
      </c>
      <c r="F105" s="37" t="s">
        <v>11</v>
      </c>
      <c r="G105" s="37" t="s">
        <v>48</v>
      </c>
      <c r="H105" s="37" t="s">
        <v>81</v>
      </c>
      <c r="I105" s="37"/>
      <c r="J105" s="38">
        <v>42125.450868055559</v>
      </c>
      <c r="K105" s="37" t="s">
        <v>20</v>
      </c>
      <c r="L105" s="37" t="s">
        <v>356</v>
      </c>
      <c r="M105" s="38">
        <v>42055.268506944441</v>
      </c>
      <c r="N105" s="37" t="s">
        <v>40</v>
      </c>
      <c r="O105" s="37"/>
      <c r="P105" s="37"/>
      <c r="Q105" s="37" t="s">
        <v>6</v>
      </c>
      <c r="R105" s="37" t="s">
        <v>30</v>
      </c>
      <c r="S105" s="37" t="s">
        <v>13</v>
      </c>
      <c r="T105" s="37" t="s">
        <v>19</v>
      </c>
      <c r="U105" s="37"/>
      <c r="V105" s="37" t="s">
        <v>7</v>
      </c>
      <c r="W105" s="37" t="s">
        <v>10</v>
      </c>
      <c r="X105" s="37" t="s">
        <v>7</v>
      </c>
      <c r="Y105" s="37" t="s">
        <v>114</v>
      </c>
      <c r="Z105" s="37" t="s">
        <v>7</v>
      </c>
      <c r="AA105" s="37" t="s">
        <v>7</v>
      </c>
      <c r="AB105" s="37" t="s">
        <v>7</v>
      </c>
      <c r="AC105" s="37" t="s">
        <v>7</v>
      </c>
      <c r="AD105" s="37" t="s">
        <v>7</v>
      </c>
    </row>
    <row r="106" spans="1:30" x14ac:dyDescent="0.3">
      <c r="A106" s="37">
        <f t="shared" ca="1" si="0"/>
        <v>582</v>
      </c>
      <c r="B106" s="37">
        <f t="shared" ca="1" si="1"/>
        <v>825</v>
      </c>
      <c r="C106" s="37">
        <v>57956</v>
      </c>
      <c r="D106" s="37" t="s">
        <v>339</v>
      </c>
      <c r="E106" s="37" t="s">
        <v>590</v>
      </c>
      <c r="F106" s="37" t="s">
        <v>11</v>
      </c>
      <c r="G106" s="37" t="s">
        <v>48</v>
      </c>
      <c r="H106" s="37" t="s">
        <v>316</v>
      </c>
      <c r="I106" s="37"/>
      <c r="J106" s="38">
        <v>42312.342569444445</v>
      </c>
      <c r="K106" s="37" t="s">
        <v>20</v>
      </c>
      <c r="L106" s="37" t="s">
        <v>351</v>
      </c>
      <c r="M106" s="38">
        <v>42064.431527777779</v>
      </c>
      <c r="N106" s="37" t="s">
        <v>29</v>
      </c>
      <c r="O106" s="37"/>
      <c r="P106" s="37"/>
      <c r="Q106" s="37" t="s">
        <v>6</v>
      </c>
      <c r="R106" s="37" t="s">
        <v>30</v>
      </c>
      <c r="S106" s="37" t="s">
        <v>24</v>
      </c>
      <c r="T106" s="37" t="s">
        <v>46</v>
      </c>
      <c r="U106" s="37"/>
      <c r="V106" s="37" t="s">
        <v>7</v>
      </c>
      <c r="W106" s="37" t="s">
        <v>10</v>
      </c>
      <c r="X106" s="37" t="s">
        <v>7</v>
      </c>
      <c r="Y106" s="37" t="s">
        <v>114</v>
      </c>
      <c r="Z106" s="37" t="s">
        <v>7</v>
      </c>
      <c r="AA106" s="37" t="s">
        <v>7</v>
      </c>
      <c r="AB106" s="37" t="s">
        <v>7</v>
      </c>
      <c r="AC106" s="37" t="s">
        <v>7</v>
      </c>
      <c r="AD106" s="37" t="s">
        <v>7</v>
      </c>
    </row>
    <row r="107" spans="1:30" x14ac:dyDescent="0.3">
      <c r="A107" s="37">
        <f t="shared" ca="1" si="0"/>
        <v>765</v>
      </c>
      <c r="B107" s="37">
        <f t="shared" ca="1" si="1"/>
        <v>824</v>
      </c>
      <c r="C107" s="37">
        <v>58013</v>
      </c>
      <c r="D107" s="37" t="s">
        <v>342</v>
      </c>
      <c r="E107" s="37" t="s">
        <v>502</v>
      </c>
      <c r="F107" s="37" t="s">
        <v>11</v>
      </c>
      <c r="G107" s="37" t="s">
        <v>48</v>
      </c>
      <c r="H107" s="37" t="s">
        <v>81</v>
      </c>
      <c r="I107" s="37"/>
      <c r="J107" s="38">
        <v>42125.683310185188</v>
      </c>
      <c r="K107" s="37" t="s">
        <v>20</v>
      </c>
      <c r="L107" s="37" t="s">
        <v>451</v>
      </c>
      <c r="M107" s="38">
        <v>42065.375162037039</v>
      </c>
      <c r="N107" s="37" t="s">
        <v>29</v>
      </c>
      <c r="O107" s="37"/>
      <c r="P107" s="37"/>
      <c r="Q107" s="37" t="s">
        <v>6</v>
      </c>
      <c r="R107" s="37" t="s">
        <v>30</v>
      </c>
      <c r="S107" s="37" t="s">
        <v>24</v>
      </c>
      <c r="T107" s="37" t="s">
        <v>46</v>
      </c>
      <c r="U107" s="37"/>
      <c r="V107" s="37" t="s">
        <v>7</v>
      </c>
      <c r="W107" s="37" t="s">
        <v>10</v>
      </c>
      <c r="X107" s="37" t="s">
        <v>7</v>
      </c>
      <c r="Y107" s="37" t="s">
        <v>114</v>
      </c>
      <c r="Z107" s="37" t="s">
        <v>7</v>
      </c>
      <c r="AA107" s="37" t="s">
        <v>7</v>
      </c>
      <c r="AB107" s="37" t="s">
        <v>7</v>
      </c>
      <c r="AC107" s="37" t="s">
        <v>7</v>
      </c>
      <c r="AD107" s="37" t="s">
        <v>7</v>
      </c>
    </row>
    <row r="108" spans="1:30" x14ac:dyDescent="0.3">
      <c r="A108" s="37">
        <f t="shared" ca="1" si="0"/>
        <v>725</v>
      </c>
      <c r="B108" s="37">
        <f t="shared" ca="1" si="1"/>
        <v>824</v>
      </c>
      <c r="C108" s="37">
        <v>58015</v>
      </c>
      <c r="D108" s="37" t="s">
        <v>376</v>
      </c>
      <c r="E108" s="37" t="s">
        <v>503</v>
      </c>
      <c r="F108" s="37" t="s">
        <v>11</v>
      </c>
      <c r="G108" s="37" t="s">
        <v>48</v>
      </c>
      <c r="H108" s="37" t="s">
        <v>81</v>
      </c>
      <c r="I108" s="37"/>
      <c r="J108" s="38">
        <v>42166.355590277781</v>
      </c>
      <c r="K108" s="37" t="s">
        <v>20</v>
      </c>
      <c r="L108" s="37" t="s">
        <v>451</v>
      </c>
      <c r="M108" s="38">
        <v>42065.375462962962</v>
      </c>
      <c r="N108" s="37" t="s">
        <v>29</v>
      </c>
      <c r="O108" s="37"/>
      <c r="P108" s="37"/>
      <c r="Q108" s="37" t="s">
        <v>6</v>
      </c>
      <c r="R108" s="37" t="s">
        <v>30</v>
      </c>
      <c r="S108" s="37" t="s">
        <v>13</v>
      </c>
      <c r="T108" s="37" t="s">
        <v>19</v>
      </c>
      <c r="U108" s="37"/>
      <c r="V108" s="37" t="s">
        <v>7</v>
      </c>
      <c r="W108" s="37" t="s">
        <v>10</v>
      </c>
      <c r="X108" s="37" t="s">
        <v>7</v>
      </c>
      <c r="Y108" s="37" t="s">
        <v>114</v>
      </c>
      <c r="Z108" s="37" t="s">
        <v>7</v>
      </c>
      <c r="AA108" s="37" t="s">
        <v>7</v>
      </c>
      <c r="AB108" s="37" t="s">
        <v>7</v>
      </c>
      <c r="AC108" s="37" t="s">
        <v>7</v>
      </c>
      <c r="AD108" s="37" t="s">
        <v>7</v>
      </c>
    </row>
    <row r="109" spans="1:30" x14ac:dyDescent="0.3">
      <c r="A109" s="37">
        <f t="shared" ca="1" si="0"/>
        <v>600</v>
      </c>
      <c r="B109" s="37">
        <f t="shared" ca="1" si="1"/>
        <v>814</v>
      </c>
      <c r="C109" s="37">
        <v>58628</v>
      </c>
      <c r="D109" s="37" t="s">
        <v>339</v>
      </c>
      <c r="E109" s="37" t="s">
        <v>504</v>
      </c>
      <c r="F109" s="37" t="s">
        <v>11</v>
      </c>
      <c r="G109" s="37" t="s">
        <v>48</v>
      </c>
      <c r="H109" s="37" t="s">
        <v>81</v>
      </c>
      <c r="I109" s="37"/>
      <c r="J109" s="38">
        <v>42293.439733796295</v>
      </c>
      <c r="K109" s="37" t="s">
        <v>20</v>
      </c>
      <c r="L109" s="37" t="s">
        <v>80</v>
      </c>
      <c r="M109" s="38">
        <v>42075.360277777778</v>
      </c>
      <c r="N109" s="37" t="s">
        <v>5</v>
      </c>
      <c r="O109" s="37"/>
      <c r="P109" s="37"/>
      <c r="Q109" s="37" t="s">
        <v>6</v>
      </c>
      <c r="R109" s="37" t="s">
        <v>30</v>
      </c>
      <c r="S109" s="37" t="s">
        <v>24</v>
      </c>
      <c r="T109" s="37" t="s">
        <v>51</v>
      </c>
      <c r="U109" s="37"/>
      <c r="V109" s="37" t="s">
        <v>7</v>
      </c>
      <c r="W109" s="37" t="s">
        <v>10</v>
      </c>
      <c r="X109" s="37" t="s">
        <v>7</v>
      </c>
      <c r="Y109" s="37" t="s">
        <v>114</v>
      </c>
      <c r="Z109" s="37" t="s">
        <v>7</v>
      </c>
      <c r="AA109" s="37" t="s">
        <v>7</v>
      </c>
      <c r="AB109" s="37" t="s">
        <v>7</v>
      </c>
      <c r="AC109" s="37" t="s">
        <v>7</v>
      </c>
      <c r="AD109" s="37" t="s">
        <v>7</v>
      </c>
    </row>
    <row r="110" spans="1:30" x14ac:dyDescent="0.3">
      <c r="A110" s="37">
        <f t="shared" ca="1" si="0"/>
        <v>581</v>
      </c>
      <c r="B110" s="37">
        <f t="shared" ca="1" si="1"/>
        <v>800</v>
      </c>
      <c r="C110" s="37">
        <v>59360</v>
      </c>
      <c r="D110" s="37" t="s">
        <v>339</v>
      </c>
      <c r="E110" s="37" t="s">
        <v>505</v>
      </c>
      <c r="F110" s="37" t="s">
        <v>11</v>
      </c>
      <c r="G110" s="37" t="s">
        <v>48</v>
      </c>
      <c r="H110" s="37" t="s">
        <v>81</v>
      </c>
      <c r="I110" s="37"/>
      <c r="J110" s="38">
        <v>42313.356354166666</v>
      </c>
      <c r="K110" s="37" t="s">
        <v>20</v>
      </c>
      <c r="L110" s="37" t="s">
        <v>3</v>
      </c>
      <c r="M110" s="38">
        <v>42089.015150462961</v>
      </c>
      <c r="N110" s="37" t="s">
        <v>50</v>
      </c>
      <c r="O110" s="37"/>
      <c r="P110" s="37"/>
      <c r="Q110" s="37" t="s">
        <v>6</v>
      </c>
      <c r="R110" s="37" t="s">
        <v>30</v>
      </c>
      <c r="S110" s="37" t="s">
        <v>8</v>
      </c>
      <c r="T110" s="37" t="s">
        <v>27</v>
      </c>
      <c r="U110" s="37"/>
      <c r="V110" s="37" t="s">
        <v>7</v>
      </c>
      <c r="W110" s="37" t="s">
        <v>10</v>
      </c>
      <c r="X110" s="37" t="s">
        <v>7</v>
      </c>
      <c r="Y110" s="37" t="s">
        <v>114</v>
      </c>
      <c r="Z110" s="37" t="s">
        <v>7</v>
      </c>
      <c r="AA110" s="37" t="s">
        <v>7</v>
      </c>
      <c r="AB110" s="37" t="s">
        <v>7</v>
      </c>
      <c r="AC110" s="37" t="s">
        <v>7</v>
      </c>
      <c r="AD110" s="37" t="s">
        <v>7</v>
      </c>
    </row>
    <row r="111" spans="1:30" x14ac:dyDescent="0.3">
      <c r="A111" s="37">
        <f t="shared" ca="1" si="0"/>
        <v>581</v>
      </c>
      <c r="B111" s="37">
        <f t="shared" ca="1" si="1"/>
        <v>799</v>
      </c>
      <c r="C111" s="37">
        <v>59450</v>
      </c>
      <c r="D111" s="37" t="s">
        <v>339</v>
      </c>
      <c r="E111" s="37" t="s">
        <v>506</v>
      </c>
      <c r="F111" s="37" t="s">
        <v>11</v>
      </c>
      <c r="G111" s="37" t="s">
        <v>48</v>
      </c>
      <c r="H111" s="37" t="s">
        <v>81</v>
      </c>
      <c r="I111" s="37"/>
      <c r="J111" s="38">
        <v>42313.356666666667</v>
      </c>
      <c r="K111" s="37" t="s">
        <v>20</v>
      </c>
      <c r="L111" s="37" t="s">
        <v>3</v>
      </c>
      <c r="M111" s="38">
        <v>42090.015208333331</v>
      </c>
      <c r="N111" s="37" t="s">
        <v>50</v>
      </c>
      <c r="O111" s="37"/>
      <c r="P111" s="37"/>
      <c r="Q111" s="37" t="s">
        <v>6</v>
      </c>
      <c r="R111" s="37" t="s">
        <v>30</v>
      </c>
      <c r="S111" s="37" t="s">
        <v>8</v>
      </c>
      <c r="T111" s="37" t="s">
        <v>27</v>
      </c>
      <c r="U111" s="37"/>
      <c r="V111" s="37" t="s">
        <v>7</v>
      </c>
      <c r="W111" s="37" t="s">
        <v>10</v>
      </c>
      <c r="X111" s="37" t="s">
        <v>7</v>
      </c>
      <c r="Y111" s="37" t="s">
        <v>114</v>
      </c>
      <c r="Z111" s="37" t="s">
        <v>7</v>
      </c>
      <c r="AA111" s="37" t="s">
        <v>7</v>
      </c>
      <c r="AB111" s="37" t="s">
        <v>7</v>
      </c>
      <c r="AC111" s="37" t="s">
        <v>7</v>
      </c>
      <c r="AD111" s="37" t="s">
        <v>7</v>
      </c>
    </row>
    <row r="112" spans="1:30" x14ac:dyDescent="0.3">
      <c r="A112" s="37">
        <f t="shared" ca="1" si="0"/>
        <v>761</v>
      </c>
      <c r="B112" s="37">
        <f t="shared" ca="1" si="1"/>
        <v>796</v>
      </c>
      <c r="C112" s="37">
        <v>59642</v>
      </c>
      <c r="D112" s="37" t="s">
        <v>342</v>
      </c>
      <c r="E112" s="37" t="s">
        <v>507</v>
      </c>
      <c r="F112" s="37" t="s">
        <v>11</v>
      </c>
      <c r="G112" s="37" t="s">
        <v>48</v>
      </c>
      <c r="H112" s="37" t="s">
        <v>81</v>
      </c>
      <c r="I112" s="37"/>
      <c r="J112" s="38">
        <v>42129.606840277775</v>
      </c>
      <c r="K112" s="37" t="s">
        <v>20</v>
      </c>
      <c r="L112" s="37" t="s">
        <v>80</v>
      </c>
      <c r="M112" s="38">
        <v>42094.499027777776</v>
      </c>
      <c r="N112" s="37" t="s">
        <v>29</v>
      </c>
      <c r="O112" s="37"/>
      <c r="P112" s="37"/>
      <c r="Q112" s="37" t="s">
        <v>6</v>
      </c>
      <c r="R112" s="37" t="s">
        <v>30</v>
      </c>
      <c r="S112" s="37" t="s">
        <v>8</v>
      </c>
      <c r="T112" s="37" t="s">
        <v>27</v>
      </c>
      <c r="U112" s="37"/>
      <c r="V112" s="37" t="s">
        <v>7</v>
      </c>
      <c r="W112" s="37" t="s">
        <v>10</v>
      </c>
      <c r="X112" s="37" t="s">
        <v>7</v>
      </c>
      <c r="Y112" s="37" t="s">
        <v>114</v>
      </c>
      <c r="Z112" s="37" t="s">
        <v>7</v>
      </c>
      <c r="AA112" s="37" t="s">
        <v>7</v>
      </c>
      <c r="AB112" s="37" t="s">
        <v>7</v>
      </c>
      <c r="AC112" s="37" t="s">
        <v>7</v>
      </c>
      <c r="AD112" s="37" t="s">
        <v>7</v>
      </c>
    </row>
    <row r="113" spans="1:30" x14ac:dyDescent="0.3">
      <c r="A113" s="37">
        <f t="shared" ca="1" si="0"/>
        <v>581</v>
      </c>
      <c r="B113" s="37">
        <f t="shared" ca="1" si="1"/>
        <v>795</v>
      </c>
      <c r="C113" s="37">
        <v>59737</v>
      </c>
      <c r="D113" s="37" t="s">
        <v>339</v>
      </c>
      <c r="E113" s="37" t="s">
        <v>508</v>
      </c>
      <c r="F113" s="37" t="s">
        <v>11</v>
      </c>
      <c r="G113" s="37" t="s">
        <v>48</v>
      </c>
      <c r="H113" s="37" t="s">
        <v>81</v>
      </c>
      <c r="I113" s="37"/>
      <c r="J113" s="38">
        <v>42313.356793981482</v>
      </c>
      <c r="K113" s="37" t="s">
        <v>20</v>
      </c>
      <c r="L113" s="37" t="s">
        <v>83</v>
      </c>
      <c r="M113" s="38">
        <v>42095.512372685182</v>
      </c>
      <c r="N113" s="37" t="s">
        <v>50</v>
      </c>
      <c r="O113" s="37"/>
      <c r="P113" s="37"/>
      <c r="Q113" s="37" t="s">
        <v>6</v>
      </c>
      <c r="R113" s="37" t="s">
        <v>30</v>
      </c>
      <c r="S113" s="37" t="s">
        <v>8</v>
      </c>
      <c r="T113" s="37" t="s">
        <v>38</v>
      </c>
      <c r="U113" s="37"/>
      <c r="V113" s="37" t="s">
        <v>7</v>
      </c>
      <c r="W113" s="37" t="s">
        <v>10</v>
      </c>
      <c r="X113" s="37" t="s">
        <v>7</v>
      </c>
      <c r="Y113" s="37" t="s">
        <v>114</v>
      </c>
      <c r="Z113" s="37" t="s">
        <v>7</v>
      </c>
      <c r="AA113" s="37" t="s">
        <v>7</v>
      </c>
      <c r="AB113" s="37" t="s">
        <v>7</v>
      </c>
      <c r="AC113" s="37" t="s">
        <v>7</v>
      </c>
      <c r="AD113" s="37" t="s">
        <v>7</v>
      </c>
    </row>
    <row r="114" spans="1:30" x14ac:dyDescent="0.3">
      <c r="A114" s="37">
        <f t="shared" ca="1" si="0"/>
        <v>765</v>
      </c>
      <c r="B114" s="37">
        <f t="shared" ca="1" si="1"/>
        <v>795</v>
      </c>
      <c r="C114" s="37">
        <v>59756</v>
      </c>
      <c r="D114" s="37" t="s">
        <v>338</v>
      </c>
      <c r="E114" s="37" t="s">
        <v>509</v>
      </c>
      <c r="F114" s="37" t="s">
        <v>146</v>
      </c>
      <c r="G114" s="37" t="s">
        <v>48</v>
      </c>
      <c r="H114" s="37" t="s">
        <v>81</v>
      </c>
      <c r="I114" s="37"/>
      <c r="J114" s="38">
        <v>42125.685798611114</v>
      </c>
      <c r="K114" s="37" t="s">
        <v>20</v>
      </c>
      <c r="L114" s="37" t="s">
        <v>48</v>
      </c>
      <c r="M114" s="38">
        <v>42095.699733796297</v>
      </c>
      <c r="N114" s="37" t="s">
        <v>215</v>
      </c>
      <c r="O114" s="37"/>
      <c r="P114" s="37"/>
      <c r="Q114" s="37" t="s">
        <v>17</v>
      </c>
      <c r="R114" s="37" t="s">
        <v>30</v>
      </c>
      <c r="S114" s="37" t="s">
        <v>8</v>
      </c>
      <c r="T114" s="37" t="s">
        <v>153</v>
      </c>
      <c r="U114" s="37"/>
      <c r="V114" s="37" t="s">
        <v>7</v>
      </c>
      <c r="W114" s="37" t="s">
        <v>10</v>
      </c>
      <c r="X114" s="37" t="s">
        <v>7</v>
      </c>
      <c r="Y114" s="37" t="s">
        <v>114</v>
      </c>
      <c r="Z114" s="37" t="s">
        <v>7</v>
      </c>
      <c r="AA114" s="37" t="s">
        <v>7</v>
      </c>
      <c r="AB114" s="37" t="s">
        <v>7</v>
      </c>
      <c r="AC114" s="37" t="s">
        <v>7</v>
      </c>
      <c r="AD114" s="37" t="s">
        <v>7</v>
      </c>
    </row>
    <row r="115" spans="1:30" x14ac:dyDescent="0.3">
      <c r="A115" s="37">
        <f t="shared" ca="1" si="0"/>
        <v>761</v>
      </c>
      <c r="B115" s="37">
        <f t="shared" ca="1" si="1"/>
        <v>782</v>
      </c>
      <c r="C115" s="37">
        <v>60439</v>
      </c>
      <c r="D115" s="37" t="s">
        <v>374</v>
      </c>
      <c r="E115" s="37" t="s">
        <v>510</v>
      </c>
      <c r="F115" s="37" t="s">
        <v>146</v>
      </c>
      <c r="G115" s="37" t="s">
        <v>48</v>
      </c>
      <c r="H115" s="37" t="s">
        <v>81</v>
      </c>
      <c r="I115" s="37"/>
      <c r="J115" s="38">
        <v>42129.472037037034</v>
      </c>
      <c r="K115" s="37" t="s">
        <v>159</v>
      </c>
      <c r="L115" s="37" t="s">
        <v>83</v>
      </c>
      <c r="M115" s="38">
        <v>42108.326099537036</v>
      </c>
      <c r="N115" s="37" t="s">
        <v>96</v>
      </c>
      <c r="O115" s="37"/>
      <c r="P115" s="37"/>
      <c r="Q115" s="37" t="s">
        <v>17</v>
      </c>
      <c r="R115" s="37" t="s">
        <v>30</v>
      </c>
      <c r="S115" s="37" t="s">
        <v>13</v>
      </c>
      <c r="T115" s="37" t="s">
        <v>35</v>
      </c>
      <c r="U115" s="37"/>
      <c r="V115" s="37" t="s">
        <v>7</v>
      </c>
      <c r="W115" s="37" t="s">
        <v>10</v>
      </c>
      <c r="X115" s="37" t="s">
        <v>7</v>
      </c>
      <c r="Y115" s="37" t="s">
        <v>114</v>
      </c>
      <c r="Z115" s="37" t="s">
        <v>7</v>
      </c>
      <c r="AA115" s="37" t="s">
        <v>7</v>
      </c>
      <c r="AB115" s="37" t="s">
        <v>7</v>
      </c>
      <c r="AC115" s="37" t="s">
        <v>7</v>
      </c>
      <c r="AD115" s="37" t="s">
        <v>7</v>
      </c>
    </row>
    <row r="116" spans="1:30" x14ac:dyDescent="0.3">
      <c r="A116" s="37">
        <f t="shared" ca="1" si="0"/>
        <v>600</v>
      </c>
      <c r="B116" s="37">
        <f t="shared" ca="1" si="1"/>
        <v>780</v>
      </c>
      <c r="C116" s="37">
        <v>60595</v>
      </c>
      <c r="D116" s="37" t="s">
        <v>339</v>
      </c>
      <c r="E116" s="37" t="s">
        <v>511</v>
      </c>
      <c r="F116" s="37" t="s">
        <v>11</v>
      </c>
      <c r="G116" s="37" t="s">
        <v>48</v>
      </c>
      <c r="H116" s="37" t="s">
        <v>81</v>
      </c>
      <c r="I116" s="37"/>
      <c r="J116" s="38">
        <v>42293.439629629633</v>
      </c>
      <c r="K116" s="37" t="s">
        <v>20</v>
      </c>
      <c r="L116" s="37" t="s">
        <v>83</v>
      </c>
      <c r="M116" s="38">
        <v>42110.015717592592</v>
      </c>
      <c r="N116" s="37" t="s">
        <v>50</v>
      </c>
      <c r="O116" s="37"/>
      <c r="P116" s="37"/>
      <c r="Q116" s="37" t="s">
        <v>6</v>
      </c>
      <c r="R116" s="37" t="s">
        <v>30</v>
      </c>
      <c r="S116" s="37" t="s">
        <v>8</v>
      </c>
      <c r="T116" s="37" t="s">
        <v>27</v>
      </c>
      <c r="U116" s="37"/>
      <c r="V116" s="37" t="s">
        <v>7</v>
      </c>
      <c r="W116" s="37" t="s">
        <v>10</v>
      </c>
      <c r="X116" s="37" t="s">
        <v>7</v>
      </c>
      <c r="Y116" s="37" t="s">
        <v>114</v>
      </c>
      <c r="Z116" s="37" t="s">
        <v>7</v>
      </c>
      <c r="AA116" s="37" t="s">
        <v>7</v>
      </c>
      <c r="AB116" s="37" t="s">
        <v>7</v>
      </c>
      <c r="AC116" s="37" t="s">
        <v>7</v>
      </c>
      <c r="AD116" s="37" t="s">
        <v>7</v>
      </c>
    </row>
    <row r="117" spans="1:30" x14ac:dyDescent="0.3">
      <c r="A117" s="37">
        <f t="shared" ca="1" si="0"/>
        <v>761</v>
      </c>
      <c r="B117" s="37">
        <f t="shared" ca="1" si="1"/>
        <v>780</v>
      </c>
      <c r="C117" s="37">
        <v>60668</v>
      </c>
      <c r="D117" s="37" t="s">
        <v>376</v>
      </c>
      <c r="E117" s="37" t="s">
        <v>512</v>
      </c>
      <c r="F117" s="37" t="s">
        <v>146</v>
      </c>
      <c r="G117" s="37" t="s">
        <v>48</v>
      </c>
      <c r="H117" s="37" t="s">
        <v>81</v>
      </c>
      <c r="I117" s="37"/>
      <c r="J117" s="38">
        <v>42129.317453703705</v>
      </c>
      <c r="K117" s="37" t="s">
        <v>20</v>
      </c>
      <c r="L117" s="37" t="s">
        <v>80</v>
      </c>
      <c r="M117" s="38">
        <v>42110.515844907408</v>
      </c>
      <c r="N117" s="37" t="s">
        <v>148</v>
      </c>
      <c r="O117" s="37"/>
      <c r="P117" s="37"/>
      <c r="Q117" s="37" t="s">
        <v>17</v>
      </c>
      <c r="R117" s="37" t="s">
        <v>30</v>
      </c>
      <c r="S117" s="37" t="s">
        <v>13</v>
      </c>
      <c r="T117" s="37" t="s">
        <v>19</v>
      </c>
      <c r="U117" s="37"/>
      <c r="V117" s="37" t="s">
        <v>7</v>
      </c>
      <c r="W117" s="37" t="s">
        <v>10</v>
      </c>
      <c r="X117" s="37" t="s">
        <v>7</v>
      </c>
      <c r="Y117" s="37" t="s">
        <v>114</v>
      </c>
      <c r="Z117" s="37" t="s">
        <v>7</v>
      </c>
      <c r="AA117" s="37" t="s">
        <v>7</v>
      </c>
      <c r="AB117" s="37" t="s">
        <v>7</v>
      </c>
      <c r="AC117" s="37" t="s">
        <v>7</v>
      </c>
      <c r="AD117" s="37" t="s">
        <v>7</v>
      </c>
    </row>
    <row r="118" spans="1:30" x14ac:dyDescent="0.3">
      <c r="A118" s="37">
        <f t="shared" ca="1" si="0"/>
        <v>600</v>
      </c>
      <c r="B118" s="37">
        <f t="shared" ca="1" si="1"/>
        <v>779</v>
      </c>
      <c r="C118" s="37">
        <v>60738</v>
      </c>
      <c r="D118" s="37" t="s">
        <v>339</v>
      </c>
      <c r="E118" s="37" t="s">
        <v>513</v>
      </c>
      <c r="F118" s="37" t="s">
        <v>146</v>
      </c>
      <c r="G118" s="37" t="s">
        <v>48</v>
      </c>
      <c r="H118" s="37" t="s">
        <v>81</v>
      </c>
      <c r="I118" s="37"/>
      <c r="J118" s="38">
        <v>42293.439710648148</v>
      </c>
      <c r="K118" s="37" t="s">
        <v>20</v>
      </c>
      <c r="L118" s="37" t="s">
        <v>80</v>
      </c>
      <c r="M118" s="38">
        <v>42111.305381944447</v>
      </c>
      <c r="N118" s="37" t="s">
        <v>5</v>
      </c>
      <c r="O118" s="37"/>
      <c r="P118" s="37"/>
      <c r="Q118" s="37" t="s">
        <v>17</v>
      </c>
      <c r="R118" s="37" t="s">
        <v>30</v>
      </c>
      <c r="S118" s="37" t="s">
        <v>13</v>
      </c>
      <c r="T118" s="37" t="s">
        <v>35</v>
      </c>
      <c r="U118" s="37"/>
      <c r="V118" s="37" t="s">
        <v>7</v>
      </c>
      <c r="W118" s="37" t="s">
        <v>10</v>
      </c>
      <c r="X118" s="37" t="s">
        <v>7</v>
      </c>
      <c r="Y118" s="37" t="s">
        <v>114</v>
      </c>
      <c r="Z118" s="37" t="s">
        <v>7</v>
      </c>
      <c r="AA118" s="37" t="s">
        <v>7</v>
      </c>
      <c r="AB118" s="37" t="s">
        <v>7</v>
      </c>
      <c r="AC118" s="37" t="s">
        <v>7</v>
      </c>
      <c r="AD118" s="37" t="s">
        <v>7</v>
      </c>
    </row>
    <row r="119" spans="1:30" x14ac:dyDescent="0.3">
      <c r="A119" s="37">
        <f t="shared" ca="1" si="0"/>
        <v>731</v>
      </c>
      <c r="B119" s="37">
        <f t="shared" ca="1" si="1"/>
        <v>772</v>
      </c>
      <c r="C119" s="37">
        <v>61286</v>
      </c>
      <c r="D119" s="37" t="s">
        <v>342</v>
      </c>
      <c r="E119" s="37" t="s">
        <v>514</v>
      </c>
      <c r="F119" s="37" t="s">
        <v>146</v>
      </c>
      <c r="G119" s="37" t="s">
        <v>48</v>
      </c>
      <c r="H119" s="37" t="s">
        <v>81</v>
      </c>
      <c r="I119" s="37"/>
      <c r="J119" s="38">
        <v>42160.463993055557</v>
      </c>
      <c r="K119" s="37" t="s">
        <v>20</v>
      </c>
      <c r="L119" s="37" t="s">
        <v>3</v>
      </c>
      <c r="M119" s="38">
        <v>42118.516018518516</v>
      </c>
      <c r="N119" s="37" t="s">
        <v>40</v>
      </c>
      <c r="O119" s="37"/>
      <c r="P119" s="37"/>
      <c r="Q119" s="37" t="s">
        <v>17</v>
      </c>
      <c r="R119" s="37" t="s">
        <v>30</v>
      </c>
      <c r="S119" s="37" t="s">
        <v>24</v>
      </c>
      <c r="T119" s="37" t="s">
        <v>213</v>
      </c>
      <c r="U119" s="37"/>
      <c r="V119" s="37" t="s">
        <v>7</v>
      </c>
      <c r="W119" s="37" t="s">
        <v>10</v>
      </c>
      <c r="X119" s="37" t="s">
        <v>7</v>
      </c>
      <c r="Y119" s="37" t="s">
        <v>114</v>
      </c>
      <c r="Z119" s="37" t="s">
        <v>7</v>
      </c>
      <c r="AA119" s="37" t="s">
        <v>7</v>
      </c>
      <c r="AB119" s="37" t="s">
        <v>7</v>
      </c>
      <c r="AC119" s="37" t="s">
        <v>7</v>
      </c>
      <c r="AD119" s="37" t="s">
        <v>7</v>
      </c>
    </row>
    <row r="120" spans="1:30" x14ac:dyDescent="0.3">
      <c r="A120" s="37">
        <f t="shared" ca="1" si="0"/>
        <v>548</v>
      </c>
      <c r="B120" s="37">
        <f t="shared" ca="1" si="1"/>
        <v>768</v>
      </c>
      <c r="C120" s="37">
        <v>61424</v>
      </c>
      <c r="D120" s="37" t="s">
        <v>593</v>
      </c>
      <c r="E120" s="37" t="s">
        <v>594</v>
      </c>
      <c r="F120" s="37" t="s">
        <v>11</v>
      </c>
      <c r="G120" s="37" t="s">
        <v>48</v>
      </c>
      <c r="H120" s="37" t="s">
        <v>81</v>
      </c>
      <c r="I120" s="37"/>
      <c r="J120" s="38">
        <v>42346.652881944443</v>
      </c>
      <c r="K120" s="37" t="s">
        <v>20</v>
      </c>
      <c r="L120" s="37" t="s">
        <v>80</v>
      </c>
      <c r="M120" s="38">
        <v>42122.016284722224</v>
      </c>
      <c r="N120" s="37" t="s">
        <v>5</v>
      </c>
      <c r="O120" s="37"/>
      <c r="P120" s="37" t="s">
        <v>366</v>
      </c>
      <c r="Q120" s="37" t="s">
        <v>6</v>
      </c>
      <c r="R120" s="37" t="s">
        <v>30</v>
      </c>
      <c r="S120" s="37" t="s">
        <v>8</v>
      </c>
      <c r="T120" s="37" t="s">
        <v>38</v>
      </c>
      <c r="U120" s="37"/>
      <c r="V120" s="37" t="s">
        <v>9</v>
      </c>
      <c r="W120" s="37" t="s">
        <v>10</v>
      </c>
      <c r="X120" s="37" t="s">
        <v>7</v>
      </c>
      <c r="Y120" s="37" t="s">
        <v>114</v>
      </c>
      <c r="Z120" s="37" t="s">
        <v>7</v>
      </c>
      <c r="AA120" s="37" t="s">
        <v>7</v>
      </c>
      <c r="AB120" s="37" t="s">
        <v>7</v>
      </c>
      <c r="AC120" s="37" t="s">
        <v>604</v>
      </c>
      <c r="AD120" s="37" t="s">
        <v>7</v>
      </c>
    </row>
    <row r="121" spans="1:30" x14ac:dyDescent="0.3">
      <c r="A121" s="37">
        <f t="shared" ca="1" si="0"/>
        <v>768</v>
      </c>
      <c r="B121" s="37">
        <f t="shared" ca="1" si="1"/>
        <v>768</v>
      </c>
      <c r="C121" s="37">
        <v>61475</v>
      </c>
      <c r="D121" s="37" t="s">
        <v>338</v>
      </c>
      <c r="E121" s="37" t="s">
        <v>515</v>
      </c>
      <c r="F121" s="37" t="s">
        <v>11</v>
      </c>
      <c r="G121" s="37" t="s">
        <v>48</v>
      </c>
      <c r="H121" s="37" t="s">
        <v>81</v>
      </c>
      <c r="I121" s="37"/>
      <c r="J121" s="38">
        <v>42122.649768518517</v>
      </c>
      <c r="K121" s="37" t="s">
        <v>20</v>
      </c>
      <c r="L121" s="37" t="s">
        <v>83</v>
      </c>
      <c r="M121" s="38">
        <v>42122.649768518517</v>
      </c>
      <c r="N121" s="37" t="s">
        <v>22</v>
      </c>
      <c r="O121" s="37"/>
      <c r="P121" s="37"/>
      <c r="Q121" s="37" t="s">
        <v>6</v>
      </c>
      <c r="R121" s="37" t="s">
        <v>30</v>
      </c>
      <c r="S121" s="37" t="s">
        <v>8</v>
      </c>
      <c r="T121" s="37" t="s">
        <v>27</v>
      </c>
      <c r="U121" s="37"/>
      <c r="V121" s="37" t="s">
        <v>7</v>
      </c>
      <c r="W121" s="37" t="s">
        <v>10</v>
      </c>
      <c r="X121" s="37" t="s">
        <v>7</v>
      </c>
      <c r="Y121" s="37" t="s">
        <v>114</v>
      </c>
      <c r="Z121" s="37" t="s">
        <v>7</v>
      </c>
      <c r="AA121" s="37" t="s">
        <v>7</v>
      </c>
      <c r="AB121" s="37" t="s">
        <v>7</v>
      </c>
      <c r="AC121" s="37" t="s">
        <v>7</v>
      </c>
      <c r="AD121" s="37" t="s">
        <v>7</v>
      </c>
    </row>
    <row r="122" spans="1:30" x14ac:dyDescent="0.3">
      <c r="A122" s="37">
        <f t="shared" ca="1" si="0"/>
        <v>767</v>
      </c>
      <c r="B122" s="37">
        <f t="shared" ca="1" si="1"/>
        <v>767</v>
      </c>
      <c r="C122" s="37">
        <v>61558</v>
      </c>
      <c r="D122" s="37" t="s">
        <v>332</v>
      </c>
      <c r="E122" s="37" t="s">
        <v>516</v>
      </c>
      <c r="F122" s="37" t="s">
        <v>11</v>
      </c>
      <c r="G122" s="37" t="s">
        <v>48</v>
      </c>
      <c r="H122" s="37" t="s">
        <v>81</v>
      </c>
      <c r="I122" s="37"/>
      <c r="J122" s="38">
        <v>42123.621261574073</v>
      </c>
      <c r="K122" s="37" t="s">
        <v>20</v>
      </c>
      <c r="L122" s="37" t="s">
        <v>80</v>
      </c>
      <c r="M122" s="38">
        <v>42123.621261574073</v>
      </c>
      <c r="N122" s="37" t="s">
        <v>50</v>
      </c>
      <c r="O122" s="37"/>
      <c r="P122" s="37"/>
      <c r="Q122" s="37" t="s">
        <v>6</v>
      </c>
      <c r="R122" s="37" t="s">
        <v>30</v>
      </c>
      <c r="S122" s="37" t="s">
        <v>24</v>
      </c>
      <c r="T122" s="37" t="s">
        <v>46</v>
      </c>
      <c r="U122" s="37"/>
      <c r="V122" s="37" t="s">
        <v>7</v>
      </c>
      <c r="W122" s="37" t="s">
        <v>10</v>
      </c>
      <c r="X122" s="37" t="s">
        <v>7</v>
      </c>
      <c r="Y122" s="37" t="s">
        <v>114</v>
      </c>
      <c r="Z122" s="37" t="s">
        <v>7</v>
      </c>
      <c r="AA122" s="37" t="s">
        <v>7</v>
      </c>
      <c r="AB122" s="37" t="s">
        <v>7</v>
      </c>
      <c r="AC122" s="37" t="s">
        <v>7</v>
      </c>
      <c r="AD122" s="37" t="s">
        <v>7</v>
      </c>
    </row>
    <row r="123" spans="1:30" x14ac:dyDescent="0.3">
      <c r="A123" s="37">
        <f t="shared" ca="1" si="0"/>
        <v>570</v>
      </c>
      <c r="B123" s="37">
        <f t="shared" ca="1" si="1"/>
        <v>754</v>
      </c>
      <c r="C123" s="37">
        <v>62282</v>
      </c>
      <c r="D123" s="37" t="s">
        <v>331</v>
      </c>
      <c r="E123" s="37" t="s">
        <v>517</v>
      </c>
      <c r="F123" s="37" t="s">
        <v>11</v>
      </c>
      <c r="G123" s="37" t="s">
        <v>48</v>
      </c>
      <c r="H123" s="37" t="s">
        <v>81</v>
      </c>
      <c r="I123" s="37"/>
      <c r="J123" s="38">
        <v>42324.58797453704</v>
      </c>
      <c r="K123" s="37" t="s">
        <v>20</v>
      </c>
      <c r="L123" s="37" t="s">
        <v>3</v>
      </c>
      <c r="M123" s="38">
        <v>42136.615694444445</v>
      </c>
      <c r="N123" s="37" t="s">
        <v>120</v>
      </c>
      <c r="O123" s="37"/>
      <c r="P123" s="37"/>
      <c r="Q123" s="37" t="s">
        <v>6</v>
      </c>
      <c r="R123" s="37" t="s">
        <v>30</v>
      </c>
      <c r="S123" s="37" t="s">
        <v>13</v>
      </c>
      <c r="T123" s="37" t="s">
        <v>19</v>
      </c>
      <c r="U123" s="37"/>
      <c r="V123" s="37" t="s">
        <v>7</v>
      </c>
      <c r="W123" s="37" t="s">
        <v>10</v>
      </c>
      <c r="X123" s="37" t="s">
        <v>7</v>
      </c>
      <c r="Y123" s="37" t="s">
        <v>114</v>
      </c>
      <c r="Z123" s="37" t="s">
        <v>7</v>
      </c>
      <c r="AA123" s="37" t="s">
        <v>7</v>
      </c>
      <c r="AB123" s="37" t="s">
        <v>7</v>
      </c>
      <c r="AC123" s="37" t="s">
        <v>7</v>
      </c>
      <c r="AD123" s="37" t="s">
        <v>7</v>
      </c>
    </row>
    <row r="124" spans="1:30" x14ac:dyDescent="0.3">
      <c r="A124" s="37">
        <f t="shared" ca="1" si="0"/>
        <v>581</v>
      </c>
      <c r="B124" s="37">
        <f t="shared" ca="1" si="1"/>
        <v>753</v>
      </c>
      <c r="C124" s="37">
        <v>62364</v>
      </c>
      <c r="D124" s="37" t="s">
        <v>339</v>
      </c>
      <c r="E124" s="37" t="s">
        <v>518</v>
      </c>
      <c r="F124" s="37" t="s">
        <v>11</v>
      </c>
      <c r="G124" s="37" t="s">
        <v>48</v>
      </c>
      <c r="H124" s="37" t="s">
        <v>81</v>
      </c>
      <c r="I124" s="37"/>
      <c r="J124" s="38">
        <v>42313.356770833336</v>
      </c>
      <c r="K124" s="37" t="s">
        <v>20</v>
      </c>
      <c r="L124" s="37" t="s">
        <v>80</v>
      </c>
      <c r="M124" s="38">
        <v>42137.500567129631</v>
      </c>
      <c r="N124" s="37" t="s">
        <v>120</v>
      </c>
      <c r="O124" s="37"/>
      <c r="P124" s="37"/>
      <c r="Q124" s="37" t="s">
        <v>6</v>
      </c>
      <c r="R124" s="37" t="s">
        <v>30</v>
      </c>
      <c r="S124" s="37" t="s">
        <v>8</v>
      </c>
      <c r="T124" s="37" t="s">
        <v>38</v>
      </c>
      <c r="U124" s="37"/>
      <c r="V124" s="37" t="s">
        <v>7</v>
      </c>
      <c r="W124" s="37" t="s">
        <v>10</v>
      </c>
      <c r="X124" s="37" t="s">
        <v>7</v>
      </c>
      <c r="Y124" s="37" t="s">
        <v>114</v>
      </c>
      <c r="Z124" s="37" t="s">
        <v>7</v>
      </c>
      <c r="AA124" s="37" t="s">
        <v>7</v>
      </c>
      <c r="AB124" s="37" t="s">
        <v>7</v>
      </c>
      <c r="AC124" s="37" t="s">
        <v>7</v>
      </c>
      <c r="AD124" s="37" t="s">
        <v>7</v>
      </c>
    </row>
    <row r="125" spans="1:30" x14ac:dyDescent="0.3">
      <c r="A125" s="37">
        <f t="shared" ca="1" si="0"/>
        <v>712</v>
      </c>
      <c r="B125" s="37">
        <f t="shared" ca="1" si="1"/>
        <v>746</v>
      </c>
      <c r="C125" s="37">
        <v>62723</v>
      </c>
      <c r="D125" s="37" t="s">
        <v>337</v>
      </c>
      <c r="E125" s="37" t="s">
        <v>519</v>
      </c>
      <c r="F125" s="37" t="s">
        <v>11</v>
      </c>
      <c r="G125" s="37" t="s">
        <v>48</v>
      </c>
      <c r="H125" s="37" t="s">
        <v>81</v>
      </c>
      <c r="I125" s="37"/>
      <c r="J125" s="38">
        <v>42179.50445601852</v>
      </c>
      <c r="K125" s="37" t="s">
        <v>20</v>
      </c>
      <c r="L125" s="37" t="s">
        <v>80</v>
      </c>
      <c r="M125" s="38">
        <v>42144.633287037039</v>
      </c>
      <c r="N125" s="37" t="s">
        <v>5</v>
      </c>
      <c r="O125" s="37"/>
      <c r="P125" s="37"/>
      <c r="Q125" s="37" t="s">
        <v>6</v>
      </c>
      <c r="R125" s="37" t="s">
        <v>30</v>
      </c>
      <c r="S125" s="37" t="s">
        <v>8</v>
      </c>
      <c r="T125" s="37" t="s">
        <v>38</v>
      </c>
      <c r="U125" s="37"/>
      <c r="V125" s="37" t="s">
        <v>7</v>
      </c>
      <c r="W125" s="37" t="s">
        <v>10</v>
      </c>
      <c r="X125" s="37" t="s">
        <v>7</v>
      </c>
      <c r="Y125" s="37" t="s">
        <v>114</v>
      </c>
      <c r="Z125" s="37" t="s">
        <v>7</v>
      </c>
      <c r="AA125" s="37" t="s">
        <v>7</v>
      </c>
      <c r="AB125" s="37" t="s">
        <v>7</v>
      </c>
      <c r="AC125" s="37" t="s">
        <v>7</v>
      </c>
      <c r="AD125" s="37" t="s">
        <v>7</v>
      </c>
    </row>
    <row r="126" spans="1:30" x14ac:dyDescent="0.3">
      <c r="A126" s="37">
        <f t="shared" ca="1" si="0"/>
        <v>741</v>
      </c>
      <c r="B126" s="37">
        <f t="shared" ca="1" si="1"/>
        <v>743</v>
      </c>
      <c r="C126" s="37">
        <v>62881</v>
      </c>
      <c r="D126" s="37" t="s">
        <v>337</v>
      </c>
      <c r="E126" s="37" t="s">
        <v>520</v>
      </c>
      <c r="F126" s="37" t="s">
        <v>11</v>
      </c>
      <c r="G126" s="37" t="s">
        <v>48</v>
      </c>
      <c r="H126" s="37" t="s">
        <v>81</v>
      </c>
      <c r="I126" s="37"/>
      <c r="J126" s="38">
        <v>42149.626388888886</v>
      </c>
      <c r="K126" s="37" t="s">
        <v>20</v>
      </c>
      <c r="L126" s="37" t="s">
        <v>80</v>
      </c>
      <c r="M126" s="38">
        <v>42147.016898148147</v>
      </c>
      <c r="N126" s="37" t="s">
        <v>16</v>
      </c>
      <c r="O126" s="37"/>
      <c r="P126" s="37"/>
      <c r="Q126" s="37" t="s">
        <v>6</v>
      </c>
      <c r="R126" s="37" t="s">
        <v>30</v>
      </c>
      <c r="S126" s="37" t="s">
        <v>8</v>
      </c>
      <c r="T126" s="37" t="s">
        <v>38</v>
      </c>
      <c r="U126" s="37"/>
      <c r="V126" s="37" t="s">
        <v>7</v>
      </c>
      <c r="W126" s="37" t="s">
        <v>10</v>
      </c>
      <c r="X126" s="37" t="s">
        <v>7</v>
      </c>
      <c r="Y126" s="37" t="s">
        <v>114</v>
      </c>
      <c r="Z126" s="37" t="s">
        <v>7</v>
      </c>
      <c r="AA126" s="37" t="s">
        <v>7</v>
      </c>
      <c r="AB126" s="37" t="s">
        <v>7</v>
      </c>
      <c r="AC126" s="37" t="s">
        <v>7</v>
      </c>
      <c r="AD126" s="37" t="s">
        <v>7</v>
      </c>
    </row>
    <row r="127" spans="1:30" x14ac:dyDescent="0.3">
      <c r="A127" s="37">
        <f t="shared" ca="1" si="0"/>
        <v>656</v>
      </c>
      <c r="B127" s="37">
        <f t="shared" ca="1" si="1"/>
        <v>740</v>
      </c>
      <c r="C127" s="37">
        <v>62972</v>
      </c>
      <c r="D127" s="37" t="s">
        <v>332</v>
      </c>
      <c r="E127" s="37" t="s">
        <v>521</v>
      </c>
      <c r="F127" s="37" t="s">
        <v>146</v>
      </c>
      <c r="G127" s="37" t="s">
        <v>48</v>
      </c>
      <c r="H127" s="37" t="s">
        <v>81</v>
      </c>
      <c r="I127" s="37"/>
      <c r="J127" s="38">
        <v>42236.452187499999</v>
      </c>
      <c r="K127" s="37" t="s">
        <v>20</v>
      </c>
      <c r="L127" s="37" t="s">
        <v>48</v>
      </c>
      <c r="M127" s="38">
        <v>42150.455312500002</v>
      </c>
      <c r="N127" s="37" t="s">
        <v>84</v>
      </c>
      <c r="O127" s="37"/>
      <c r="P127" s="37"/>
      <c r="Q127" s="37" t="s">
        <v>12</v>
      </c>
      <c r="R127" s="37" t="s">
        <v>30</v>
      </c>
      <c r="S127" s="37" t="s">
        <v>13</v>
      </c>
      <c r="T127" s="37" t="s">
        <v>19</v>
      </c>
      <c r="U127" s="37"/>
      <c r="V127" s="37" t="s">
        <v>7</v>
      </c>
      <c r="W127" s="37" t="s">
        <v>89</v>
      </c>
      <c r="X127" s="37" t="s">
        <v>7</v>
      </c>
      <c r="Y127" s="37" t="s">
        <v>114</v>
      </c>
      <c r="Z127" s="37" t="s">
        <v>7</v>
      </c>
      <c r="AA127" s="37" t="s">
        <v>7</v>
      </c>
      <c r="AB127" s="37" t="s">
        <v>7</v>
      </c>
      <c r="AC127" s="37" t="s">
        <v>7</v>
      </c>
      <c r="AD127" s="37" t="s">
        <v>7</v>
      </c>
    </row>
    <row r="128" spans="1:30" x14ac:dyDescent="0.3">
      <c r="A128" s="37">
        <f t="shared" ca="1" si="0"/>
        <v>717</v>
      </c>
      <c r="B128" s="37">
        <f t="shared" ca="1" si="1"/>
        <v>740</v>
      </c>
      <c r="C128" s="37">
        <v>62977</v>
      </c>
      <c r="D128" s="37" t="s">
        <v>338</v>
      </c>
      <c r="E128" s="37" t="s">
        <v>522</v>
      </c>
      <c r="F128" s="37" t="s">
        <v>11</v>
      </c>
      <c r="G128" s="37" t="s">
        <v>48</v>
      </c>
      <c r="H128" s="37" t="s">
        <v>81</v>
      </c>
      <c r="I128" s="37"/>
      <c r="J128" s="38">
        <v>42174.339074074072</v>
      </c>
      <c r="K128" s="37" t="s">
        <v>159</v>
      </c>
      <c r="L128" s="37" t="s">
        <v>80</v>
      </c>
      <c r="M128" s="38">
        <v>42150.457673611112</v>
      </c>
      <c r="N128" s="37" t="s">
        <v>5</v>
      </c>
      <c r="O128" s="37"/>
      <c r="P128" s="37"/>
      <c r="Q128" s="37" t="s">
        <v>6</v>
      </c>
      <c r="R128" s="37" t="s">
        <v>30</v>
      </c>
      <c r="S128" s="37" t="s">
        <v>8</v>
      </c>
      <c r="T128" s="37" t="s">
        <v>38</v>
      </c>
      <c r="U128" s="37"/>
      <c r="V128" s="37" t="s">
        <v>7</v>
      </c>
      <c r="W128" s="37" t="s">
        <v>10</v>
      </c>
      <c r="X128" s="37" t="s">
        <v>7</v>
      </c>
      <c r="Y128" s="37" t="s">
        <v>114</v>
      </c>
      <c r="Z128" s="37" t="s">
        <v>7</v>
      </c>
      <c r="AA128" s="37" t="s">
        <v>7</v>
      </c>
      <c r="AB128" s="37" t="s">
        <v>7</v>
      </c>
      <c r="AC128" s="37" t="s">
        <v>7</v>
      </c>
      <c r="AD128" s="37" t="s">
        <v>7</v>
      </c>
    </row>
    <row r="129" spans="1:30" x14ac:dyDescent="0.3">
      <c r="A129" s="37">
        <f t="shared" ca="1" si="0"/>
        <v>720</v>
      </c>
      <c r="B129" s="37">
        <f t="shared" ca="1" si="1"/>
        <v>737</v>
      </c>
      <c r="C129" s="37">
        <v>63175</v>
      </c>
      <c r="D129" s="37" t="s">
        <v>336</v>
      </c>
      <c r="E129" s="37" t="s">
        <v>523</v>
      </c>
      <c r="F129" s="37" t="s">
        <v>11</v>
      </c>
      <c r="G129" s="37" t="s">
        <v>48</v>
      </c>
      <c r="H129" s="37" t="s">
        <v>81</v>
      </c>
      <c r="I129" s="37"/>
      <c r="J129" s="38">
        <v>42171.564143518517</v>
      </c>
      <c r="K129" s="37" t="s">
        <v>20</v>
      </c>
      <c r="L129" s="37" t="s">
        <v>80</v>
      </c>
      <c r="M129" s="38">
        <v>42153.402962962966</v>
      </c>
      <c r="N129" s="37" t="s">
        <v>5</v>
      </c>
      <c r="O129" s="37"/>
      <c r="P129" s="37"/>
      <c r="Q129" s="37" t="s">
        <v>6</v>
      </c>
      <c r="R129" s="37" t="s">
        <v>30</v>
      </c>
      <c r="S129" s="37" t="s">
        <v>8</v>
      </c>
      <c r="T129" s="37" t="s">
        <v>122</v>
      </c>
      <c r="U129" s="37"/>
      <c r="V129" s="37" t="s">
        <v>7</v>
      </c>
      <c r="W129" s="37" t="s">
        <v>10</v>
      </c>
      <c r="X129" s="37" t="s">
        <v>7</v>
      </c>
      <c r="Y129" s="37" t="s">
        <v>114</v>
      </c>
      <c r="Z129" s="37" t="s">
        <v>7</v>
      </c>
      <c r="AA129" s="37" t="s">
        <v>7</v>
      </c>
      <c r="AB129" s="37" t="s">
        <v>7</v>
      </c>
      <c r="AC129" s="37" t="s">
        <v>7</v>
      </c>
      <c r="AD129" s="37" t="s">
        <v>7</v>
      </c>
    </row>
    <row r="130" spans="1:30" x14ac:dyDescent="0.3">
      <c r="A130" s="37">
        <f t="shared" ca="1" si="0"/>
        <v>727</v>
      </c>
      <c r="B130" s="37">
        <f t="shared" ca="1" si="1"/>
        <v>727</v>
      </c>
      <c r="C130" s="37">
        <v>63783</v>
      </c>
      <c r="D130" s="37" t="s">
        <v>376</v>
      </c>
      <c r="E130" s="37" t="s">
        <v>524</v>
      </c>
      <c r="F130" s="37" t="s">
        <v>11</v>
      </c>
      <c r="G130" s="37" t="s">
        <v>48</v>
      </c>
      <c r="H130" s="37" t="s">
        <v>81</v>
      </c>
      <c r="I130" s="37"/>
      <c r="J130" s="38">
        <v>42164.444201388891</v>
      </c>
      <c r="K130" s="37" t="s">
        <v>20</v>
      </c>
      <c r="L130" s="37" t="s">
        <v>48</v>
      </c>
      <c r="M130" s="38">
        <v>42164.444201388891</v>
      </c>
      <c r="N130" s="37" t="s">
        <v>116</v>
      </c>
      <c r="O130" s="37"/>
      <c r="P130" s="37"/>
      <c r="Q130" s="37" t="s">
        <v>6</v>
      </c>
      <c r="R130" s="37" t="s">
        <v>30</v>
      </c>
      <c r="S130" s="37" t="s">
        <v>13</v>
      </c>
      <c r="T130" s="37" t="s">
        <v>19</v>
      </c>
      <c r="U130" s="37"/>
      <c r="V130" s="37" t="s">
        <v>7</v>
      </c>
      <c r="W130" s="37" t="s">
        <v>10</v>
      </c>
      <c r="X130" s="37" t="s">
        <v>7</v>
      </c>
      <c r="Y130" s="37" t="s">
        <v>114</v>
      </c>
      <c r="Z130" s="37" t="s">
        <v>7</v>
      </c>
      <c r="AA130" s="37" t="s">
        <v>7</v>
      </c>
      <c r="AB130" s="37" t="s">
        <v>7</v>
      </c>
      <c r="AC130" s="37" t="s">
        <v>7</v>
      </c>
      <c r="AD130" s="37" t="s">
        <v>7</v>
      </c>
    </row>
    <row r="131" spans="1:30" x14ac:dyDescent="0.3">
      <c r="A131" s="37">
        <f t="shared" ca="1" si="0"/>
        <v>656</v>
      </c>
      <c r="B131" s="37">
        <f t="shared" ca="1" si="1"/>
        <v>726</v>
      </c>
      <c r="C131" s="37">
        <v>63807</v>
      </c>
      <c r="D131" s="37" t="s">
        <v>376</v>
      </c>
      <c r="E131" s="37" t="s">
        <v>525</v>
      </c>
      <c r="F131" s="37" t="s">
        <v>11</v>
      </c>
      <c r="G131" s="37" t="s">
        <v>48</v>
      </c>
      <c r="H131" s="37" t="s">
        <v>81</v>
      </c>
      <c r="I131" s="37"/>
      <c r="J131" s="38">
        <v>42236.951168981483</v>
      </c>
      <c r="K131" s="37" t="s">
        <v>20</v>
      </c>
      <c r="L131" s="37" t="s">
        <v>48</v>
      </c>
      <c r="M131" s="38">
        <v>42165.017500000002</v>
      </c>
      <c r="N131" s="37" t="s">
        <v>116</v>
      </c>
      <c r="O131" s="37"/>
      <c r="P131" s="37"/>
      <c r="Q131" s="37" t="s">
        <v>6</v>
      </c>
      <c r="R131" s="37" t="s">
        <v>30</v>
      </c>
      <c r="S131" s="37" t="s">
        <v>13</v>
      </c>
      <c r="T131" s="37" t="s">
        <v>19</v>
      </c>
      <c r="U131" s="37"/>
      <c r="V131" s="37" t="s">
        <v>7</v>
      </c>
      <c r="W131" s="37" t="s">
        <v>10</v>
      </c>
      <c r="X131" s="37" t="s">
        <v>7</v>
      </c>
      <c r="Y131" s="37" t="s">
        <v>114</v>
      </c>
      <c r="Z131" s="37" t="s">
        <v>7</v>
      </c>
      <c r="AA131" s="37" t="s">
        <v>7</v>
      </c>
      <c r="AB131" s="37" t="s">
        <v>7</v>
      </c>
      <c r="AC131" s="37" t="s">
        <v>7</v>
      </c>
      <c r="AD131" s="37" t="s">
        <v>7</v>
      </c>
    </row>
    <row r="132" spans="1:30" x14ac:dyDescent="0.3">
      <c r="A132" s="37">
        <f t="shared" ca="1" si="0"/>
        <v>718</v>
      </c>
      <c r="B132" s="37">
        <f t="shared" ca="1" si="1"/>
        <v>719</v>
      </c>
      <c r="C132" s="37">
        <v>64176</v>
      </c>
      <c r="D132" s="37" t="s">
        <v>376</v>
      </c>
      <c r="E132" s="37" t="s">
        <v>526</v>
      </c>
      <c r="F132" s="37" t="s">
        <v>146</v>
      </c>
      <c r="G132" s="37" t="s">
        <v>48</v>
      </c>
      <c r="H132" s="37" t="s">
        <v>81</v>
      </c>
      <c r="I132" s="37"/>
      <c r="J132" s="38">
        <v>42173.387407407405</v>
      </c>
      <c r="K132" s="37" t="s">
        <v>20</v>
      </c>
      <c r="L132" s="37" t="s">
        <v>48</v>
      </c>
      <c r="M132" s="38">
        <v>42172.017685185187</v>
      </c>
      <c r="N132" s="37" t="s">
        <v>116</v>
      </c>
      <c r="O132" s="37"/>
      <c r="P132" s="37"/>
      <c r="Q132" s="37" t="s">
        <v>17</v>
      </c>
      <c r="R132" s="37" t="s">
        <v>30</v>
      </c>
      <c r="S132" s="37" t="s">
        <v>13</v>
      </c>
      <c r="T132" s="37" t="s">
        <v>19</v>
      </c>
      <c r="U132" s="37"/>
      <c r="V132" s="37" t="s">
        <v>7</v>
      </c>
      <c r="W132" s="37" t="s">
        <v>527</v>
      </c>
      <c r="X132" s="37" t="s">
        <v>7</v>
      </c>
      <c r="Y132" s="37" t="s">
        <v>114</v>
      </c>
      <c r="Z132" s="37" t="s">
        <v>7</v>
      </c>
      <c r="AA132" s="37" t="s">
        <v>7</v>
      </c>
      <c r="AB132" s="37" t="s">
        <v>7</v>
      </c>
      <c r="AC132" s="37" t="s">
        <v>7</v>
      </c>
      <c r="AD132" s="37" t="s">
        <v>7</v>
      </c>
    </row>
    <row r="133" spans="1:30" x14ac:dyDescent="0.3">
      <c r="A133" s="37">
        <f t="shared" ca="1" si="0"/>
        <v>710</v>
      </c>
      <c r="B133" s="37">
        <f t="shared" ca="1" si="1"/>
        <v>713</v>
      </c>
      <c r="C133" s="37">
        <v>64464</v>
      </c>
      <c r="D133" s="37" t="s">
        <v>376</v>
      </c>
      <c r="E133" s="37" t="s">
        <v>528</v>
      </c>
      <c r="F133" s="37" t="s">
        <v>11</v>
      </c>
      <c r="G133" s="37" t="s">
        <v>48</v>
      </c>
      <c r="H133" s="37" t="s">
        <v>81</v>
      </c>
      <c r="I133" s="37"/>
      <c r="J133" s="38">
        <v>42181.400601851848</v>
      </c>
      <c r="K133" s="37" t="s">
        <v>20</v>
      </c>
      <c r="L133" s="37" t="s">
        <v>80</v>
      </c>
      <c r="M133" s="38">
        <v>42178.517754629633</v>
      </c>
      <c r="N133" s="37" t="s">
        <v>154</v>
      </c>
      <c r="O133" s="37"/>
      <c r="P133" s="37"/>
      <c r="Q133" s="37" t="s">
        <v>6</v>
      </c>
      <c r="R133" s="37" t="s">
        <v>30</v>
      </c>
      <c r="S133" s="37" t="s">
        <v>13</v>
      </c>
      <c r="T133" s="37" t="s">
        <v>19</v>
      </c>
      <c r="U133" s="37"/>
      <c r="V133" s="37" t="s">
        <v>7</v>
      </c>
      <c r="W133" s="37" t="s">
        <v>10</v>
      </c>
      <c r="X133" s="37" t="s">
        <v>7</v>
      </c>
      <c r="Y133" s="37" t="s">
        <v>114</v>
      </c>
      <c r="Z133" s="37" t="s">
        <v>7</v>
      </c>
      <c r="AA133" s="37" t="s">
        <v>7</v>
      </c>
      <c r="AB133" s="37" t="s">
        <v>7</v>
      </c>
      <c r="AC133" s="37" t="s">
        <v>7</v>
      </c>
      <c r="AD133" s="37" t="s">
        <v>7</v>
      </c>
    </row>
    <row r="134" spans="1:30" x14ac:dyDescent="0.3">
      <c r="A134" s="37">
        <f t="shared" ca="1" si="0"/>
        <v>699</v>
      </c>
      <c r="B134" s="37">
        <f t="shared" ca="1" si="1"/>
        <v>699</v>
      </c>
      <c r="C134" s="37">
        <v>65154</v>
      </c>
      <c r="D134" s="37" t="s">
        <v>332</v>
      </c>
      <c r="E134" s="37" t="s">
        <v>529</v>
      </c>
      <c r="F134" s="37" t="s">
        <v>11</v>
      </c>
      <c r="G134" s="37" t="s">
        <v>48</v>
      </c>
      <c r="H134" s="37" t="s">
        <v>81</v>
      </c>
      <c r="I134" s="37"/>
      <c r="J134" s="38">
        <v>42192.55300925926</v>
      </c>
      <c r="K134" s="37" t="s">
        <v>20</v>
      </c>
      <c r="L134" s="37" t="s">
        <v>80</v>
      </c>
      <c r="M134" s="38">
        <v>42192.55300925926</v>
      </c>
      <c r="N134" s="37" t="s">
        <v>29</v>
      </c>
      <c r="O134" s="37"/>
      <c r="P134" s="37"/>
      <c r="Q134" s="37" t="s">
        <v>6</v>
      </c>
      <c r="R134" s="37" t="s">
        <v>30</v>
      </c>
      <c r="S134" s="37" t="s">
        <v>24</v>
      </c>
      <c r="T134" s="37" t="s">
        <v>213</v>
      </c>
      <c r="U134" s="37"/>
      <c r="V134" s="37" t="s">
        <v>7</v>
      </c>
      <c r="W134" s="37" t="s">
        <v>10</v>
      </c>
      <c r="X134" s="37" t="s">
        <v>7</v>
      </c>
      <c r="Y134" s="37" t="s">
        <v>114</v>
      </c>
      <c r="Z134" s="37" t="s">
        <v>7</v>
      </c>
      <c r="AA134" s="37" t="s">
        <v>7</v>
      </c>
      <c r="AB134" s="37" t="s">
        <v>7</v>
      </c>
      <c r="AC134" s="37" t="s">
        <v>7</v>
      </c>
      <c r="AD134" s="37" t="s">
        <v>7</v>
      </c>
    </row>
    <row r="135" spans="1:30" x14ac:dyDescent="0.3">
      <c r="A135" s="37">
        <f t="shared" ca="1" si="0"/>
        <v>624</v>
      </c>
      <c r="B135" s="37">
        <f t="shared" ca="1" si="1"/>
        <v>693</v>
      </c>
      <c r="C135" s="37">
        <v>65442</v>
      </c>
      <c r="D135" s="37" t="s">
        <v>374</v>
      </c>
      <c r="E135" s="37" t="s">
        <v>530</v>
      </c>
      <c r="F135" s="37" t="s">
        <v>11</v>
      </c>
      <c r="G135" s="37" t="s">
        <v>48</v>
      </c>
      <c r="H135" s="37" t="s">
        <v>81</v>
      </c>
      <c r="I135" s="37"/>
      <c r="J135" s="38">
        <v>42269.319050925929</v>
      </c>
      <c r="K135" s="37" t="s">
        <v>20</v>
      </c>
      <c r="L135" s="37" t="s">
        <v>80</v>
      </c>
      <c r="M135" s="38">
        <v>42198.492662037039</v>
      </c>
      <c r="N135" s="37" t="s">
        <v>29</v>
      </c>
      <c r="O135" s="37"/>
      <c r="P135" s="37" t="s">
        <v>347</v>
      </c>
      <c r="Q135" s="37" t="s">
        <v>6</v>
      </c>
      <c r="R135" s="37" t="s">
        <v>30</v>
      </c>
      <c r="S135" s="37" t="s">
        <v>8</v>
      </c>
      <c r="T135" s="37" t="s">
        <v>153</v>
      </c>
      <c r="U135" s="37"/>
      <c r="V135" s="37" t="s">
        <v>7</v>
      </c>
      <c r="W135" s="37" t="s">
        <v>10</v>
      </c>
      <c r="X135" s="37" t="s">
        <v>7</v>
      </c>
      <c r="Y135" s="37" t="s">
        <v>114</v>
      </c>
      <c r="Z135" s="37" t="s">
        <v>7</v>
      </c>
      <c r="AA135" s="37" t="s">
        <v>7</v>
      </c>
      <c r="AB135" s="37" t="s">
        <v>7</v>
      </c>
      <c r="AC135" s="37" t="s">
        <v>7</v>
      </c>
      <c r="AD135" s="37" t="s">
        <v>531</v>
      </c>
    </row>
    <row r="136" spans="1:30" x14ac:dyDescent="0.3">
      <c r="A136" s="37">
        <f t="shared" ca="1" si="0"/>
        <v>672</v>
      </c>
      <c r="B136" s="37">
        <f t="shared" ca="1" si="1"/>
        <v>692</v>
      </c>
      <c r="C136" s="37">
        <v>65535</v>
      </c>
      <c r="D136" s="37" t="s">
        <v>376</v>
      </c>
      <c r="E136" s="37" t="s">
        <v>532</v>
      </c>
      <c r="F136" s="37" t="s">
        <v>146</v>
      </c>
      <c r="G136" s="37" t="s">
        <v>48</v>
      </c>
      <c r="H136" s="37" t="s">
        <v>81</v>
      </c>
      <c r="I136" s="37"/>
      <c r="J136" s="38">
        <v>42220.592013888891</v>
      </c>
      <c r="K136" s="37" t="s">
        <v>20</v>
      </c>
      <c r="L136" s="37" t="s">
        <v>80</v>
      </c>
      <c r="M136" s="38">
        <v>42199.641585648147</v>
      </c>
      <c r="N136" s="37" t="s">
        <v>29</v>
      </c>
      <c r="O136" s="37"/>
      <c r="P136" s="37"/>
      <c r="Q136" s="37" t="s">
        <v>17</v>
      </c>
      <c r="R136" s="37" t="s">
        <v>30</v>
      </c>
      <c r="S136" s="37" t="s">
        <v>13</v>
      </c>
      <c r="T136" s="37" t="s">
        <v>19</v>
      </c>
      <c r="U136" s="37"/>
      <c r="V136" s="37" t="s">
        <v>7</v>
      </c>
      <c r="W136" s="37" t="s">
        <v>10</v>
      </c>
      <c r="X136" s="37" t="s">
        <v>7</v>
      </c>
      <c r="Y136" s="37" t="s">
        <v>114</v>
      </c>
      <c r="Z136" s="37" t="s">
        <v>7</v>
      </c>
      <c r="AA136" s="37" t="s">
        <v>7</v>
      </c>
      <c r="AB136" s="37" t="s">
        <v>7</v>
      </c>
      <c r="AC136" s="37" t="s">
        <v>7</v>
      </c>
      <c r="AD136" s="37" t="s">
        <v>7</v>
      </c>
    </row>
    <row r="137" spans="1:30" x14ac:dyDescent="0.3">
      <c r="A137" s="37">
        <f t="shared" ca="1" si="0"/>
        <v>581</v>
      </c>
      <c r="B137" s="37">
        <f t="shared" ca="1" si="1"/>
        <v>690</v>
      </c>
      <c r="C137" s="37">
        <v>65647</v>
      </c>
      <c r="D137" s="37" t="s">
        <v>339</v>
      </c>
      <c r="E137" s="37" t="s">
        <v>533</v>
      </c>
      <c r="F137" s="37" t="s">
        <v>11</v>
      </c>
      <c r="G137" s="37" t="s">
        <v>48</v>
      </c>
      <c r="H137" s="37" t="s">
        <v>81</v>
      </c>
      <c r="I137" s="37"/>
      <c r="J137" s="38">
        <v>42313.358958333331</v>
      </c>
      <c r="K137" s="37" t="s">
        <v>20</v>
      </c>
      <c r="L137" s="37" t="s">
        <v>80</v>
      </c>
      <c r="M137" s="38">
        <v>42201.366064814814</v>
      </c>
      <c r="N137" s="37" t="s">
        <v>50</v>
      </c>
      <c r="O137" s="37"/>
      <c r="P137" s="37"/>
      <c r="Q137" s="37" t="s">
        <v>6</v>
      </c>
      <c r="R137" s="37" t="s">
        <v>30</v>
      </c>
      <c r="S137" s="37" t="s">
        <v>8</v>
      </c>
      <c r="T137" s="37" t="s">
        <v>38</v>
      </c>
      <c r="U137" s="37"/>
      <c r="V137" s="37" t="s">
        <v>7</v>
      </c>
      <c r="W137" s="37" t="s">
        <v>10</v>
      </c>
      <c r="X137" s="37" t="s">
        <v>7</v>
      </c>
      <c r="Y137" s="37" t="s">
        <v>114</v>
      </c>
      <c r="Z137" s="37" t="s">
        <v>7</v>
      </c>
      <c r="AA137" s="37" t="s">
        <v>7</v>
      </c>
      <c r="AB137" s="37" t="s">
        <v>7</v>
      </c>
      <c r="AC137" s="37" t="s">
        <v>7</v>
      </c>
      <c r="AD137" s="37" t="s">
        <v>7</v>
      </c>
    </row>
    <row r="138" spans="1:30" x14ac:dyDescent="0.3">
      <c r="A138" s="37">
        <f t="shared" ca="1" si="0"/>
        <v>686</v>
      </c>
      <c r="B138" s="37">
        <f t="shared" ca="1" si="1"/>
        <v>686</v>
      </c>
      <c r="C138" s="37">
        <v>65770</v>
      </c>
      <c r="D138" s="37" t="s">
        <v>376</v>
      </c>
      <c r="E138" s="37" t="s">
        <v>534</v>
      </c>
      <c r="F138" s="37" t="s">
        <v>146</v>
      </c>
      <c r="G138" s="37" t="s">
        <v>48</v>
      </c>
      <c r="H138" s="37" t="s">
        <v>81</v>
      </c>
      <c r="I138" s="37"/>
      <c r="J138" s="38">
        <v>42205.33011574074</v>
      </c>
      <c r="K138" s="37" t="s">
        <v>20</v>
      </c>
      <c r="L138" s="37" t="s">
        <v>80</v>
      </c>
      <c r="M138" s="38">
        <v>42205.33011574074</v>
      </c>
      <c r="N138" s="37" t="s">
        <v>29</v>
      </c>
      <c r="O138" s="37"/>
      <c r="P138" s="37"/>
      <c r="Q138" s="37" t="s">
        <v>17</v>
      </c>
      <c r="R138" s="37" t="s">
        <v>30</v>
      </c>
      <c r="S138" s="37" t="s">
        <v>13</v>
      </c>
      <c r="T138" s="37" t="s">
        <v>19</v>
      </c>
      <c r="U138" s="37"/>
      <c r="V138" s="37" t="s">
        <v>7</v>
      </c>
      <c r="W138" s="37" t="s">
        <v>10</v>
      </c>
      <c r="X138" s="37" t="s">
        <v>7</v>
      </c>
      <c r="Y138" s="37" t="s">
        <v>114</v>
      </c>
      <c r="Z138" s="37" t="s">
        <v>7</v>
      </c>
      <c r="AA138" s="37" t="s">
        <v>7</v>
      </c>
      <c r="AB138" s="37" t="s">
        <v>7</v>
      </c>
      <c r="AC138" s="37" t="s">
        <v>7</v>
      </c>
      <c r="AD138" s="37" t="s">
        <v>7</v>
      </c>
    </row>
    <row r="139" spans="1:30" x14ac:dyDescent="0.3">
      <c r="A139" s="37">
        <f t="shared" ca="1" si="0"/>
        <v>600</v>
      </c>
      <c r="B139" s="37">
        <f t="shared" ca="1" si="1"/>
        <v>685</v>
      </c>
      <c r="C139" s="37">
        <v>65872</v>
      </c>
      <c r="D139" s="37" t="s">
        <v>339</v>
      </c>
      <c r="E139" s="37" t="s">
        <v>535</v>
      </c>
      <c r="F139" s="37" t="s">
        <v>11</v>
      </c>
      <c r="G139" s="37" t="s">
        <v>48</v>
      </c>
      <c r="H139" s="37" t="s">
        <v>536</v>
      </c>
      <c r="I139" s="37"/>
      <c r="J139" s="38">
        <v>42293.439606481479</v>
      </c>
      <c r="K139" s="37" t="s">
        <v>20</v>
      </c>
      <c r="L139" s="37" t="s">
        <v>80</v>
      </c>
      <c r="M139" s="38">
        <v>42206.989074074074</v>
      </c>
      <c r="N139" s="37" t="s">
        <v>29</v>
      </c>
      <c r="O139" s="37"/>
      <c r="P139" s="37"/>
      <c r="Q139" s="37" t="s">
        <v>6</v>
      </c>
      <c r="R139" s="37" t="s">
        <v>30</v>
      </c>
      <c r="S139" s="37" t="s">
        <v>8</v>
      </c>
      <c r="T139" s="37" t="s">
        <v>38</v>
      </c>
      <c r="U139" s="37"/>
      <c r="V139" s="37" t="s">
        <v>7</v>
      </c>
      <c r="W139" s="37" t="s">
        <v>10</v>
      </c>
      <c r="X139" s="37" t="s">
        <v>7</v>
      </c>
      <c r="Y139" s="37" t="s">
        <v>114</v>
      </c>
      <c r="Z139" s="37" t="s">
        <v>7</v>
      </c>
      <c r="AA139" s="37" t="s">
        <v>7</v>
      </c>
      <c r="AB139" s="37" t="s">
        <v>7</v>
      </c>
      <c r="AC139" s="37" t="s">
        <v>7</v>
      </c>
      <c r="AD139" s="37" t="s">
        <v>7</v>
      </c>
    </row>
    <row r="140" spans="1:30" x14ac:dyDescent="0.3">
      <c r="A140" s="37">
        <f t="shared" ca="1" si="0"/>
        <v>636</v>
      </c>
      <c r="B140" s="37">
        <f t="shared" ca="1" si="1"/>
        <v>684</v>
      </c>
      <c r="C140" s="37">
        <v>65927</v>
      </c>
      <c r="D140" s="37" t="s">
        <v>332</v>
      </c>
      <c r="E140" s="37" t="s">
        <v>537</v>
      </c>
      <c r="F140" s="37" t="s">
        <v>11</v>
      </c>
      <c r="G140" s="37" t="s">
        <v>48</v>
      </c>
      <c r="H140" s="37" t="s">
        <v>81</v>
      </c>
      <c r="I140" s="37"/>
      <c r="J140" s="38">
        <v>42257.351319444446</v>
      </c>
      <c r="K140" s="37" t="s">
        <v>20</v>
      </c>
      <c r="L140" s="37" t="s">
        <v>80</v>
      </c>
      <c r="M140" s="38">
        <v>42207.679548611108</v>
      </c>
      <c r="N140" s="37" t="s">
        <v>242</v>
      </c>
      <c r="O140" s="37"/>
      <c r="P140" s="37"/>
      <c r="Q140" s="37" t="s">
        <v>6</v>
      </c>
      <c r="R140" s="37" t="s">
        <v>30</v>
      </c>
      <c r="S140" s="37" t="s">
        <v>24</v>
      </c>
      <c r="T140" s="37" t="s">
        <v>47</v>
      </c>
      <c r="U140" s="37"/>
      <c r="V140" s="37" t="s">
        <v>7</v>
      </c>
      <c r="W140" s="37" t="s">
        <v>10</v>
      </c>
      <c r="X140" s="37" t="s">
        <v>7</v>
      </c>
      <c r="Y140" s="37" t="s">
        <v>114</v>
      </c>
      <c r="Z140" s="37" t="s">
        <v>7</v>
      </c>
      <c r="AA140" s="37" t="s">
        <v>7</v>
      </c>
      <c r="AB140" s="37" t="s">
        <v>7</v>
      </c>
      <c r="AC140" s="37" t="s">
        <v>7</v>
      </c>
      <c r="AD140" s="37" t="s">
        <v>7</v>
      </c>
    </row>
    <row r="141" spans="1:30" x14ac:dyDescent="0.3">
      <c r="A141" s="37">
        <f t="shared" ca="1" si="0"/>
        <v>630</v>
      </c>
      <c r="B141" s="37">
        <f t="shared" ca="1" si="1"/>
        <v>679</v>
      </c>
      <c r="C141" s="37">
        <v>66141</v>
      </c>
      <c r="D141" s="37" t="s">
        <v>343</v>
      </c>
      <c r="E141" s="37" t="s">
        <v>538</v>
      </c>
      <c r="F141" s="37" t="s">
        <v>11</v>
      </c>
      <c r="G141" s="37" t="s">
        <v>48</v>
      </c>
      <c r="H141" s="37" t="s">
        <v>81</v>
      </c>
      <c r="I141" s="37"/>
      <c r="J141" s="38">
        <v>42263.452361111114</v>
      </c>
      <c r="K141" s="37" t="s">
        <v>20</v>
      </c>
      <c r="L141" s="37" t="s">
        <v>80</v>
      </c>
      <c r="M141" s="38">
        <v>42212.518564814818</v>
      </c>
      <c r="N141" s="37" t="s">
        <v>5</v>
      </c>
      <c r="O141" s="37"/>
      <c r="P141" s="37"/>
      <c r="Q141" s="37" t="s">
        <v>6</v>
      </c>
      <c r="R141" s="37" t="s">
        <v>30</v>
      </c>
      <c r="S141" s="37" t="s">
        <v>24</v>
      </c>
      <c r="T141" s="37" t="s">
        <v>47</v>
      </c>
      <c r="U141" s="37"/>
      <c r="V141" s="37" t="s">
        <v>49</v>
      </c>
      <c r="W141" s="37" t="s">
        <v>10</v>
      </c>
      <c r="X141" s="37" t="s">
        <v>7</v>
      </c>
      <c r="Y141" s="37" t="s">
        <v>114</v>
      </c>
      <c r="Z141" s="37" t="s">
        <v>7</v>
      </c>
      <c r="AA141" s="37" t="s">
        <v>7</v>
      </c>
      <c r="AB141" s="37" t="s">
        <v>7</v>
      </c>
      <c r="AC141" s="37" t="s">
        <v>7</v>
      </c>
      <c r="AD141" s="37" t="s">
        <v>583</v>
      </c>
    </row>
    <row r="142" spans="1:30" x14ac:dyDescent="0.3">
      <c r="A142" s="37">
        <f t="shared" ca="1" si="0"/>
        <v>676</v>
      </c>
      <c r="B142" s="37">
        <f t="shared" ca="1" si="1"/>
        <v>677</v>
      </c>
      <c r="C142" s="37">
        <v>66284</v>
      </c>
      <c r="D142" s="37" t="s">
        <v>332</v>
      </c>
      <c r="E142" s="37" t="s">
        <v>539</v>
      </c>
      <c r="F142" s="37" t="s">
        <v>11</v>
      </c>
      <c r="G142" s="37" t="s">
        <v>48</v>
      </c>
      <c r="H142" s="37" t="s">
        <v>81</v>
      </c>
      <c r="I142" s="37"/>
      <c r="J142" s="38">
        <v>42215.673067129632</v>
      </c>
      <c r="K142" s="37" t="s">
        <v>20</v>
      </c>
      <c r="L142" s="37" t="s">
        <v>80</v>
      </c>
      <c r="M142" s="38">
        <v>42214.519456018519</v>
      </c>
      <c r="N142" s="37" t="s">
        <v>29</v>
      </c>
      <c r="O142" s="37"/>
      <c r="P142" s="37"/>
      <c r="Q142" s="37" t="s">
        <v>6</v>
      </c>
      <c r="R142" s="37" t="s">
        <v>30</v>
      </c>
      <c r="S142" s="37" t="s">
        <v>24</v>
      </c>
      <c r="T142" s="37" t="s">
        <v>46</v>
      </c>
      <c r="U142" s="37"/>
      <c r="V142" s="37" t="s">
        <v>7</v>
      </c>
      <c r="W142" s="37" t="s">
        <v>10</v>
      </c>
      <c r="X142" s="37" t="s">
        <v>7</v>
      </c>
      <c r="Y142" s="37" t="s">
        <v>114</v>
      </c>
      <c r="Z142" s="37" t="s">
        <v>7</v>
      </c>
      <c r="AA142" s="37" t="s">
        <v>7</v>
      </c>
      <c r="AB142" s="37" t="s">
        <v>7</v>
      </c>
      <c r="AC142" s="37" t="s">
        <v>7</v>
      </c>
      <c r="AD142" s="37" t="s">
        <v>7</v>
      </c>
    </row>
    <row r="143" spans="1:30" x14ac:dyDescent="0.3">
      <c r="A143" s="37">
        <f t="shared" ref="A143:A194" ca="1" si="2">DAYS360(INDIRECT($A$211&amp;ROW()),TODAY())</f>
        <v>608</v>
      </c>
      <c r="B143" s="37">
        <f t="shared" ref="B143:B194" ca="1" si="3">DAYS360(INDIRECT($A$210&amp;ROW()),TODAY())</f>
        <v>676</v>
      </c>
      <c r="C143" s="37">
        <v>66379</v>
      </c>
      <c r="D143" s="37" t="s">
        <v>374</v>
      </c>
      <c r="E143" s="37" t="s">
        <v>540</v>
      </c>
      <c r="F143" s="37" t="s">
        <v>146</v>
      </c>
      <c r="G143" s="37" t="s">
        <v>48</v>
      </c>
      <c r="H143" s="37" t="s">
        <v>81</v>
      </c>
      <c r="I143" s="37"/>
      <c r="J143" s="38">
        <v>42285.490486111114</v>
      </c>
      <c r="K143" s="37" t="s">
        <v>20</v>
      </c>
      <c r="L143" s="37" t="s">
        <v>80</v>
      </c>
      <c r="M143" s="38">
        <v>42216.018750000003</v>
      </c>
      <c r="N143" s="37" t="s">
        <v>40</v>
      </c>
      <c r="O143" s="37"/>
      <c r="P143" s="37"/>
      <c r="Q143" s="37" t="s">
        <v>17</v>
      </c>
      <c r="R143" s="37" t="s">
        <v>30</v>
      </c>
      <c r="S143" s="37" t="s">
        <v>13</v>
      </c>
      <c r="T143" s="37" t="s">
        <v>19</v>
      </c>
      <c r="U143" s="37"/>
      <c r="V143" s="37" t="s">
        <v>7</v>
      </c>
      <c r="W143" s="37" t="s">
        <v>10</v>
      </c>
      <c r="X143" s="37" t="s">
        <v>7</v>
      </c>
      <c r="Y143" s="37" t="s">
        <v>114</v>
      </c>
      <c r="Z143" s="37" t="s">
        <v>7</v>
      </c>
      <c r="AA143" s="37" t="s">
        <v>7</v>
      </c>
      <c r="AB143" s="37" t="s">
        <v>7</v>
      </c>
      <c r="AC143" s="37" t="s">
        <v>7</v>
      </c>
      <c r="AD143" s="37" t="s">
        <v>7</v>
      </c>
    </row>
    <row r="144" spans="1:30" x14ac:dyDescent="0.3">
      <c r="A144" s="37">
        <f t="shared" ca="1" si="2"/>
        <v>673</v>
      </c>
      <c r="B144" s="37">
        <f t="shared" ca="1" si="3"/>
        <v>673</v>
      </c>
      <c r="C144" s="37">
        <v>66474</v>
      </c>
      <c r="D144" s="37" t="s">
        <v>376</v>
      </c>
      <c r="E144" s="37" t="s">
        <v>541</v>
      </c>
      <c r="F144" s="37" t="s">
        <v>11</v>
      </c>
      <c r="G144" s="37" t="s">
        <v>48</v>
      </c>
      <c r="H144" s="37" t="s">
        <v>81</v>
      </c>
      <c r="I144" s="37"/>
      <c r="J144" s="38">
        <v>42219.352407407408</v>
      </c>
      <c r="K144" s="37" t="s">
        <v>20</v>
      </c>
      <c r="L144" s="37" t="s">
        <v>167</v>
      </c>
      <c r="M144" s="38">
        <v>42219.352407407408</v>
      </c>
      <c r="N144" s="37" t="s">
        <v>148</v>
      </c>
      <c r="O144" s="37"/>
      <c r="P144" s="37"/>
      <c r="Q144" s="37" t="s">
        <v>6</v>
      </c>
      <c r="R144" s="37" t="s">
        <v>30</v>
      </c>
      <c r="S144" s="37" t="s">
        <v>13</v>
      </c>
      <c r="T144" s="37" t="s">
        <v>19</v>
      </c>
      <c r="U144" s="37"/>
      <c r="V144" s="37" t="s">
        <v>7</v>
      </c>
      <c r="W144" s="37" t="s">
        <v>10</v>
      </c>
      <c r="X144" s="37" t="s">
        <v>7</v>
      </c>
      <c r="Y144" s="37" t="s">
        <v>114</v>
      </c>
      <c r="Z144" s="37" t="s">
        <v>7</v>
      </c>
      <c r="AA144" s="37" t="s">
        <v>309</v>
      </c>
      <c r="AB144" s="37" t="s">
        <v>7</v>
      </c>
      <c r="AC144" s="37" t="s">
        <v>7</v>
      </c>
      <c r="AD144" s="37" t="s">
        <v>7</v>
      </c>
    </row>
    <row r="145" spans="1:30" x14ac:dyDescent="0.3">
      <c r="A145" s="37">
        <f t="shared" ca="1" si="2"/>
        <v>581</v>
      </c>
      <c r="B145" s="37">
        <f t="shared" ca="1" si="3"/>
        <v>673</v>
      </c>
      <c r="C145" s="37">
        <v>66482</v>
      </c>
      <c r="D145" s="37" t="s">
        <v>339</v>
      </c>
      <c r="E145" s="37" t="s">
        <v>542</v>
      </c>
      <c r="F145" s="37" t="s">
        <v>11</v>
      </c>
      <c r="G145" s="37" t="s">
        <v>48</v>
      </c>
      <c r="H145" s="37" t="s">
        <v>81</v>
      </c>
      <c r="I145" s="37"/>
      <c r="J145" s="38">
        <v>42313.358657407407</v>
      </c>
      <c r="K145" s="37" t="s">
        <v>20</v>
      </c>
      <c r="L145" s="37" t="s">
        <v>3</v>
      </c>
      <c r="M145" s="38">
        <v>42219.382916666669</v>
      </c>
      <c r="N145" s="37" t="s">
        <v>16</v>
      </c>
      <c r="O145" s="37"/>
      <c r="P145" s="37"/>
      <c r="Q145" s="37" t="s">
        <v>6</v>
      </c>
      <c r="R145" s="37" t="s">
        <v>30</v>
      </c>
      <c r="S145" s="37" t="s">
        <v>13</v>
      </c>
      <c r="T145" s="37" t="s">
        <v>19</v>
      </c>
      <c r="U145" s="37"/>
      <c r="V145" s="37" t="s">
        <v>7</v>
      </c>
      <c r="W145" s="37" t="s">
        <v>10</v>
      </c>
      <c r="X145" s="37" t="s">
        <v>7</v>
      </c>
      <c r="Y145" s="37" t="s">
        <v>114</v>
      </c>
      <c r="Z145" s="37" t="s">
        <v>7</v>
      </c>
      <c r="AA145" s="37" t="s">
        <v>7</v>
      </c>
      <c r="AB145" s="37" t="s">
        <v>7</v>
      </c>
      <c r="AC145" s="37" t="s">
        <v>7</v>
      </c>
      <c r="AD145" s="37" t="s">
        <v>7</v>
      </c>
    </row>
    <row r="146" spans="1:30" x14ac:dyDescent="0.3">
      <c r="A146" s="37">
        <f t="shared" ca="1" si="2"/>
        <v>666</v>
      </c>
      <c r="B146" s="37">
        <f t="shared" ca="1" si="3"/>
        <v>669</v>
      </c>
      <c r="C146" s="37">
        <v>66776</v>
      </c>
      <c r="D146" s="37" t="s">
        <v>376</v>
      </c>
      <c r="E146" s="37" t="s">
        <v>543</v>
      </c>
      <c r="F146" s="37" t="s">
        <v>146</v>
      </c>
      <c r="G146" s="37" t="s">
        <v>48</v>
      </c>
      <c r="H146" s="37" t="s">
        <v>81</v>
      </c>
      <c r="I146" s="37"/>
      <c r="J146" s="38">
        <v>42226.504803240743</v>
      </c>
      <c r="K146" s="37" t="s">
        <v>20</v>
      </c>
      <c r="L146" s="37" t="s">
        <v>80</v>
      </c>
      <c r="M146" s="38">
        <v>42223.519155092596</v>
      </c>
      <c r="N146" s="37" t="s">
        <v>29</v>
      </c>
      <c r="O146" s="37"/>
      <c r="P146" s="37"/>
      <c r="Q146" s="37" t="s">
        <v>17</v>
      </c>
      <c r="R146" s="37" t="s">
        <v>30</v>
      </c>
      <c r="S146" s="37" t="s">
        <v>8</v>
      </c>
      <c r="T146" s="37" t="s">
        <v>27</v>
      </c>
      <c r="U146" s="37"/>
      <c r="V146" s="37" t="s">
        <v>7</v>
      </c>
      <c r="W146" s="37" t="s">
        <v>10</v>
      </c>
      <c r="X146" s="37" t="s">
        <v>7</v>
      </c>
      <c r="Y146" s="37" t="s">
        <v>114</v>
      </c>
      <c r="Z146" s="37" t="s">
        <v>7</v>
      </c>
      <c r="AA146" s="37" t="s">
        <v>7</v>
      </c>
      <c r="AB146" s="37" t="s">
        <v>7</v>
      </c>
      <c r="AC146" s="37" t="s">
        <v>7</v>
      </c>
      <c r="AD146" s="37" t="s">
        <v>7</v>
      </c>
    </row>
    <row r="147" spans="1:30" x14ac:dyDescent="0.3">
      <c r="A147" s="37">
        <f t="shared" ca="1" si="2"/>
        <v>581</v>
      </c>
      <c r="B147" s="37">
        <f t="shared" ca="1" si="3"/>
        <v>662</v>
      </c>
      <c r="C147" s="37">
        <v>67079</v>
      </c>
      <c r="D147" s="37" t="s">
        <v>339</v>
      </c>
      <c r="E147" s="37" t="s">
        <v>544</v>
      </c>
      <c r="F147" s="37" t="s">
        <v>146</v>
      </c>
      <c r="G147" s="37" t="s">
        <v>48</v>
      </c>
      <c r="H147" s="37" t="s">
        <v>81</v>
      </c>
      <c r="I147" s="37"/>
      <c r="J147" s="38">
        <v>42313.358946759261</v>
      </c>
      <c r="K147" s="37" t="s">
        <v>20</v>
      </c>
      <c r="L147" s="37" t="s">
        <v>80</v>
      </c>
      <c r="M147" s="38">
        <v>42230.019293981481</v>
      </c>
      <c r="N147" s="37" t="s">
        <v>120</v>
      </c>
      <c r="O147" s="37"/>
      <c r="P147" s="37"/>
      <c r="Q147" s="37" t="s">
        <v>12</v>
      </c>
      <c r="R147" s="37" t="s">
        <v>30</v>
      </c>
      <c r="S147" s="37" t="s">
        <v>8</v>
      </c>
      <c r="T147" s="37" t="s">
        <v>122</v>
      </c>
      <c r="U147" s="37"/>
      <c r="V147" s="37" t="s">
        <v>7</v>
      </c>
      <c r="W147" s="37" t="s">
        <v>10</v>
      </c>
      <c r="X147" s="37" t="s">
        <v>7</v>
      </c>
      <c r="Y147" s="37" t="s">
        <v>114</v>
      </c>
      <c r="Z147" s="37" t="s">
        <v>7</v>
      </c>
      <c r="AA147" s="37" t="s">
        <v>7</v>
      </c>
      <c r="AB147" s="37" t="s">
        <v>7</v>
      </c>
      <c r="AC147" s="37" t="s">
        <v>7</v>
      </c>
      <c r="AD147" s="37" t="s">
        <v>7</v>
      </c>
    </row>
    <row r="148" spans="1:30" x14ac:dyDescent="0.3">
      <c r="A148" s="37">
        <f t="shared" ca="1" si="2"/>
        <v>659</v>
      </c>
      <c r="B148" s="37">
        <f t="shared" ca="1" si="3"/>
        <v>659</v>
      </c>
      <c r="C148" s="37">
        <v>67222</v>
      </c>
      <c r="D148" s="37" t="s">
        <v>332</v>
      </c>
      <c r="E148" s="37" t="s">
        <v>545</v>
      </c>
      <c r="F148" s="37" t="s">
        <v>11</v>
      </c>
      <c r="G148" s="37" t="s">
        <v>48</v>
      </c>
      <c r="H148" s="37" t="s">
        <v>81</v>
      </c>
      <c r="I148" s="37"/>
      <c r="J148" s="38">
        <v>42233.548495370371</v>
      </c>
      <c r="K148" s="37" t="s">
        <v>20</v>
      </c>
      <c r="L148" s="37" t="s">
        <v>80</v>
      </c>
      <c r="M148" s="38">
        <v>42233.548495370371</v>
      </c>
      <c r="N148" s="37" t="s">
        <v>22</v>
      </c>
      <c r="O148" s="37"/>
      <c r="P148" s="37"/>
      <c r="Q148" s="37" t="s">
        <v>6</v>
      </c>
      <c r="R148" s="37" t="s">
        <v>30</v>
      </c>
      <c r="S148" s="37" t="s">
        <v>24</v>
      </c>
      <c r="T148" s="37" t="s">
        <v>46</v>
      </c>
      <c r="U148" s="37"/>
      <c r="V148" s="37" t="s">
        <v>7</v>
      </c>
      <c r="W148" s="37" t="s">
        <v>10</v>
      </c>
      <c r="X148" s="37" t="s">
        <v>7</v>
      </c>
      <c r="Y148" s="37" t="s">
        <v>114</v>
      </c>
      <c r="Z148" s="37" t="s">
        <v>7</v>
      </c>
      <c r="AA148" s="37" t="s">
        <v>7</v>
      </c>
      <c r="AB148" s="37" t="s">
        <v>7</v>
      </c>
      <c r="AC148" s="37" t="s">
        <v>7</v>
      </c>
      <c r="AD148" s="37" t="s">
        <v>7</v>
      </c>
    </row>
    <row r="149" spans="1:30" x14ac:dyDescent="0.3">
      <c r="A149" s="37">
        <f t="shared" ca="1" si="2"/>
        <v>610</v>
      </c>
      <c r="B149" s="37">
        <f t="shared" ca="1" si="3"/>
        <v>658</v>
      </c>
      <c r="C149" s="37">
        <v>67298</v>
      </c>
      <c r="D149" s="37" t="s">
        <v>376</v>
      </c>
      <c r="E149" s="37" t="s">
        <v>546</v>
      </c>
      <c r="F149" s="37" t="s">
        <v>11</v>
      </c>
      <c r="G149" s="37" t="s">
        <v>48</v>
      </c>
      <c r="H149" s="37" t="s">
        <v>81</v>
      </c>
      <c r="I149" s="37"/>
      <c r="J149" s="38">
        <v>42283.32912037037</v>
      </c>
      <c r="K149" s="37" t="s">
        <v>20</v>
      </c>
      <c r="L149" s="37" t="s">
        <v>80</v>
      </c>
      <c r="M149" s="38">
        <v>42234.519490740742</v>
      </c>
      <c r="N149" s="37" t="s">
        <v>315</v>
      </c>
      <c r="O149" s="37"/>
      <c r="P149" s="37"/>
      <c r="Q149" s="37" t="s">
        <v>6</v>
      </c>
      <c r="R149" s="37" t="s">
        <v>30</v>
      </c>
      <c r="S149" s="37" t="s">
        <v>13</v>
      </c>
      <c r="T149" s="37" t="s">
        <v>19</v>
      </c>
      <c r="U149" s="37"/>
      <c r="V149" s="37" t="s">
        <v>7</v>
      </c>
      <c r="W149" s="37" t="s">
        <v>10</v>
      </c>
      <c r="X149" s="37" t="s">
        <v>7</v>
      </c>
      <c r="Y149" s="37" t="s">
        <v>114</v>
      </c>
      <c r="Z149" s="37" t="s">
        <v>7</v>
      </c>
      <c r="AA149" s="37" t="s">
        <v>7</v>
      </c>
      <c r="AB149" s="37" t="s">
        <v>7</v>
      </c>
      <c r="AC149" s="37" t="s">
        <v>7</v>
      </c>
      <c r="AD149" s="37" t="s">
        <v>7</v>
      </c>
    </row>
    <row r="150" spans="1:30" x14ac:dyDescent="0.3">
      <c r="A150" s="37">
        <f t="shared" ca="1" si="2"/>
        <v>642</v>
      </c>
      <c r="B150" s="37">
        <f t="shared" ca="1" si="3"/>
        <v>655</v>
      </c>
      <c r="C150" s="37">
        <v>67539</v>
      </c>
      <c r="D150" s="37" t="s">
        <v>332</v>
      </c>
      <c r="E150" s="37" t="s">
        <v>547</v>
      </c>
      <c r="F150" s="37" t="s">
        <v>146</v>
      </c>
      <c r="G150" s="37" t="s">
        <v>48</v>
      </c>
      <c r="H150" s="37" t="s">
        <v>81</v>
      </c>
      <c r="I150" s="37"/>
      <c r="J150" s="38">
        <v>42251.540983796294</v>
      </c>
      <c r="K150" s="37" t="s">
        <v>20</v>
      </c>
      <c r="L150" s="37" t="s">
        <v>80</v>
      </c>
      <c r="M150" s="38">
        <v>42237.020266203705</v>
      </c>
      <c r="N150" s="37" t="s">
        <v>29</v>
      </c>
      <c r="O150" s="37"/>
      <c r="P150" s="37"/>
      <c r="Q150" s="37" t="s">
        <v>17</v>
      </c>
      <c r="R150" s="37" t="s">
        <v>30</v>
      </c>
      <c r="S150" s="37" t="s">
        <v>24</v>
      </c>
      <c r="T150" s="37" t="s">
        <v>46</v>
      </c>
      <c r="U150" s="37"/>
      <c r="V150" s="37" t="s">
        <v>7</v>
      </c>
      <c r="W150" s="37" t="s">
        <v>10</v>
      </c>
      <c r="X150" s="37" t="s">
        <v>7</v>
      </c>
      <c r="Y150" s="37" t="s">
        <v>114</v>
      </c>
      <c r="Z150" s="37" t="s">
        <v>7</v>
      </c>
      <c r="AA150" s="37" t="s">
        <v>7</v>
      </c>
      <c r="AB150" s="37" t="s">
        <v>7</v>
      </c>
      <c r="AC150" s="37" t="s">
        <v>7</v>
      </c>
      <c r="AD150" s="37" t="s">
        <v>7</v>
      </c>
    </row>
    <row r="151" spans="1:30" x14ac:dyDescent="0.3">
      <c r="A151" s="37">
        <f t="shared" ca="1" si="2"/>
        <v>642</v>
      </c>
      <c r="B151" s="37">
        <f t="shared" ca="1" si="3"/>
        <v>651</v>
      </c>
      <c r="C151" s="37">
        <v>67685</v>
      </c>
      <c r="D151" s="37" t="s">
        <v>337</v>
      </c>
      <c r="E151" s="37" t="s">
        <v>548</v>
      </c>
      <c r="F151" s="37" t="s">
        <v>11</v>
      </c>
      <c r="G151" s="37" t="s">
        <v>48</v>
      </c>
      <c r="H151" s="37" t="s">
        <v>81</v>
      </c>
      <c r="I151" s="37"/>
      <c r="J151" s="38">
        <v>42251.540590277778</v>
      </c>
      <c r="K151" s="37" t="s">
        <v>20</v>
      </c>
      <c r="L151" s="37" t="s">
        <v>80</v>
      </c>
      <c r="M151" s="38">
        <v>42241.019583333335</v>
      </c>
      <c r="N151" s="37" t="s">
        <v>315</v>
      </c>
      <c r="O151" s="37"/>
      <c r="P151" s="37"/>
      <c r="Q151" s="37" t="s">
        <v>6</v>
      </c>
      <c r="R151" s="37" t="s">
        <v>30</v>
      </c>
      <c r="S151" s="37" t="s">
        <v>8</v>
      </c>
      <c r="T151" s="37" t="s">
        <v>153</v>
      </c>
      <c r="U151" s="37"/>
      <c r="V151" s="37" t="s">
        <v>7</v>
      </c>
      <c r="W151" s="37" t="s">
        <v>10</v>
      </c>
      <c r="X151" s="37" t="s">
        <v>7</v>
      </c>
      <c r="Y151" s="37" t="s">
        <v>114</v>
      </c>
      <c r="Z151" s="37" t="s">
        <v>7</v>
      </c>
      <c r="AA151" s="37" t="s">
        <v>7</v>
      </c>
      <c r="AB151" s="37" t="s">
        <v>7</v>
      </c>
      <c r="AC151" s="37" t="s">
        <v>7</v>
      </c>
      <c r="AD151" s="37" t="s">
        <v>7</v>
      </c>
    </row>
    <row r="152" spans="1:30" x14ac:dyDescent="0.3">
      <c r="A152" s="37">
        <f t="shared" ca="1" si="2"/>
        <v>629</v>
      </c>
      <c r="B152" s="37">
        <f t="shared" ca="1" si="3"/>
        <v>649</v>
      </c>
      <c r="C152" s="37">
        <v>67950</v>
      </c>
      <c r="D152" s="37" t="s">
        <v>332</v>
      </c>
      <c r="E152" s="37" t="s">
        <v>549</v>
      </c>
      <c r="F152" s="37" t="s">
        <v>146</v>
      </c>
      <c r="G152" s="37" t="s">
        <v>48</v>
      </c>
      <c r="H152" s="37" t="s">
        <v>81</v>
      </c>
      <c r="I152" s="37"/>
      <c r="J152" s="38">
        <v>42264.655509259261</v>
      </c>
      <c r="K152" s="37" t="s">
        <v>20</v>
      </c>
      <c r="L152" s="37" t="s">
        <v>80</v>
      </c>
      <c r="M152" s="38">
        <v>42243.520578703705</v>
      </c>
      <c r="N152" s="37" t="s">
        <v>56</v>
      </c>
      <c r="O152" s="37"/>
      <c r="P152" s="37"/>
      <c r="Q152" s="37" t="s">
        <v>17</v>
      </c>
      <c r="R152" s="37" t="s">
        <v>30</v>
      </c>
      <c r="S152" s="37" t="s">
        <v>24</v>
      </c>
      <c r="T152" s="37" t="s">
        <v>213</v>
      </c>
      <c r="U152" s="37"/>
      <c r="V152" s="37" t="s">
        <v>7</v>
      </c>
      <c r="W152" s="37" t="s">
        <v>10</v>
      </c>
      <c r="X152" s="37" t="s">
        <v>7</v>
      </c>
      <c r="Y152" s="37" t="s">
        <v>114</v>
      </c>
      <c r="Z152" s="37" t="s">
        <v>7</v>
      </c>
      <c r="AA152" s="37" t="s">
        <v>7</v>
      </c>
      <c r="AB152" s="37" t="s">
        <v>7</v>
      </c>
      <c r="AC152" s="37" t="s">
        <v>7</v>
      </c>
      <c r="AD152" s="37" t="s">
        <v>372</v>
      </c>
    </row>
    <row r="153" spans="1:30" x14ac:dyDescent="0.3">
      <c r="A153" s="37">
        <f t="shared" ca="1" si="2"/>
        <v>642</v>
      </c>
      <c r="B153" s="37">
        <f t="shared" ca="1" si="3"/>
        <v>648</v>
      </c>
      <c r="C153" s="37">
        <v>67981</v>
      </c>
      <c r="D153" s="37" t="s">
        <v>332</v>
      </c>
      <c r="E153" s="37" t="s">
        <v>550</v>
      </c>
      <c r="F153" s="37" t="s">
        <v>11</v>
      </c>
      <c r="G153" s="37" t="s">
        <v>48</v>
      </c>
      <c r="H153" s="37" t="s">
        <v>81</v>
      </c>
      <c r="I153" s="37"/>
      <c r="J153" s="38">
        <v>42251.538715277777</v>
      </c>
      <c r="K153" s="37" t="s">
        <v>20</v>
      </c>
      <c r="L153" s="37" t="s">
        <v>80</v>
      </c>
      <c r="M153" s="38">
        <v>42244.020138888889</v>
      </c>
      <c r="N153" s="37" t="s">
        <v>29</v>
      </c>
      <c r="O153" s="37"/>
      <c r="P153" s="37"/>
      <c r="Q153" s="37" t="s">
        <v>6</v>
      </c>
      <c r="R153" s="37" t="s">
        <v>30</v>
      </c>
      <c r="S153" s="37" t="s">
        <v>24</v>
      </c>
      <c r="T153" s="37" t="s">
        <v>46</v>
      </c>
      <c r="U153" s="37"/>
      <c r="V153" s="37" t="s">
        <v>7</v>
      </c>
      <c r="W153" s="37" t="s">
        <v>10</v>
      </c>
      <c r="X153" s="37" t="s">
        <v>44</v>
      </c>
      <c r="Y153" s="37" t="s">
        <v>114</v>
      </c>
      <c r="Z153" s="37" t="s">
        <v>7</v>
      </c>
      <c r="AA153" s="37" t="s">
        <v>7</v>
      </c>
      <c r="AB153" s="37" t="s">
        <v>7</v>
      </c>
      <c r="AC153" s="37" t="s">
        <v>7</v>
      </c>
      <c r="AD153" s="37" t="s">
        <v>7</v>
      </c>
    </row>
    <row r="154" spans="1:30" x14ac:dyDescent="0.3">
      <c r="A154" s="37">
        <f t="shared" ca="1" si="2"/>
        <v>642</v>
      </c>
      <c r="B154" s="37">
        <f t="shared" ca="1" si="3"/>
        <v>647</v>
      </c>
      <c r="C154" s="37">
        <v>68054</v>
      </c>
      <c r="D154" s="37" t="s">
        <v>338</v>
      </c>
      <c r="E154" s="37" t="s">
        <v>551</v>
      </c>
      <c r="F154" s="37" t="s">
        <v>146</v>
      </c>
      <c r="G154" s="37" t="s">
        <v>48</v>
      </c>
      <c r="H154" s="37" t="s">
        <v>81</v>
      </c>
      <c r="I154" s="37"/>
      <c r="J154" s="38">
        <v>42251.537812499999</v>
      </c>
      <c r="K154" s="37" t="s">
        <v>20</v>
      </c>
      <c r="L154" s="37" t="s">
        <v>80</v>
      </c>
      <c r="M154" s="38">
        <v>42245.019652777781</v>
      </c>
      <c r="N154" s="37" t="s">
        <v>5</v>
      </c>
      <c r="O154" s="37"/>
      <c r="P154" s="37"/>
      <c r="Q154" s="37" t="s">
        <v>17</v>
      </c>
      <c r="R154" s="37" t="s">
        <v>30</v>
      </c>
      <c r="S154" s="37" t="s">
        <v>8</v>
      </c>
      <c r="T154" s="37" t="s">
        <v>38</v>
      </c>
      <c r="U154" s="37"/>
      <c r="V154" s="37" t="s">
        <v>7</v>
      </c>
      <c r="W154" s="37" t="s">
        <v>10</v>
      </c>
      <c r="X154" s="37" t="s">
        <v>7</v>
      </c>
      <c r="Y154" s="37" t="s">
        <v>114</v>
      </c>
      <c r="Z154" s="37" t="s">
        <v>7</v>
      </c>
      <c r="AA154" s="37" t="s">
        <v>7</v>
      </c>
      <c r="AB154" s="37" t="s">
        <v>7</v>
      </c>
      <c r="AC154" s="37" t="s">
        <v>7</v>
      </c>
      <c r="AD154" s="37" t="s">
        <v>7</v>
      </c>
    </row>
    <row r="155" spans="1:30" x14ac:dyDescent="0.3">
      <c r="A155" s="37">
        <f t="shared" ca="1" si="2"/>
        <v>596</v>
      </c>
      <c r="B155" s="37">
        <f t="shared" ca="1" si="3"/>
        <v>644</v>
      </c>
      <c r="C155" s="37">
        <v>68343</v>
      </c>
      <c r="D155" s="37" t="s">
        <v>342</v>
      </c>
      <c r="E155" s="37" t="s">
        <v>375</v>
      </c>
      <c r="F155" s="37" t="s">
        <v>11</v>
      </c>
      <c r="G155" s="37" t="s">
        <v>48</v>
      </c>
      <c r="H155" s="37" t="s">
        <v>81</v>
      </c>
      <c r="I155" s="37"/>
      <c r="J155" s="38">
        <v>42297.421516203707</v>
      </c>
      <c r="K155" s="37" t="s">
        <v>20</v>
      </c>
      <c r="L155" s="37" t="s">
        <v>80</v>
      </c>
      <c r="M155" s="38">
        <v>42249.519699074073</v>
      </c>
      <c r="N155" s="37" t="s">
        <v>56</v>
      </c>
      <c r="O155" s="37"/>
      <c r="P155" s="37" t="s">
        <v>366</v>
      </c>
      <c r="Q155" s="37" t="s">
        <v>6</v>
      </c>
      <c r="R155" s="37" t="s">
        <v>30</v>
      </c>
      <c r="S155" s="37" t="s">
        <v>8</v>
      </c>
      <c r="T155" s="37" t="s">
        <v>38</v>
      </c>
      <c r="U155" s="37"/>
      <c r="V155" s="37" t="s">
        <v>55</v>
      </c>
      <c r="W155" s="37" t="s">
        <v>10</v>
      </c>
      <c r="X155" s="37" t="s">
        <v>7</v>
      </c>
      <c r="Y155" s="37" t="s">
        <v>114</v>
      </c>
      <c r="Z155" s="37" t="s">
        <v>7</v>
      </c>
      <c r="AA155" s="37" t="s">
        <v>7</v>
      </c>
      <c r="AB155" s="37" t="s">
        <v>7</v>
      </c>
      <c r="AC155" s="37" t="s">
        <v>7</v>
      </c>
      <c r="AD155" s="37" t="s">
        <v>7</v>
      </c>
    </row>
    <row r="156" spans="1:30" x14ac:dyDescent="0.3">
      <c r="A156" s="37">
        <f t="shared" ca="1" si="2"/>
        <v>596</v>
      </c>
      <c r="B156" s="37">
        <f t="shared" ca="1" si="3"/>
        <v>642</v>
      </c>
      <c r="C156" s="37">
        <v>68529</v>
      </c>
      <c r="D156" s="37" t="s">
        <v>338</v>
      </c>
      <c r="E156" s="37" t="s">
        <v>367</v>
      </c>
      <c r="F156" s="37" t="s">
        <v>11</v>
      </c>
      <c r="G156" s="37" t="s">
        <v>48</v>
      </c>
      <c r="H156" s="37" t="s">
        <v>81</v>
      </c>
      <c r="I156" s="37"/>
      <c r="J156" s="38">
        <v>42297.598391203705</v>
      </c>
      <c r="K156" s="37" t="s">
        <v>20</v>
      </c>
      <c r="L156" s="37" t="s">
        <v>80</v>
      </c>
      <c r="M156" s="38">
        <v>42251.019745370373</v>
      </c>
      <c r="N156" s="37" t="s">
        <v>22</v>
      </c>
      <c r="O156" s="37"/>
      <c r="P156" s="37" t="s">
        <v>366</v>
      </c>
      <c r="Q156" s="37" t="s">
        <v>6</v>
      </c>
      <c r="R156" s="37" t="s">
        <v>30</v>
      </c>
      <c r="S156" s="37" t="s">
        <v>8</v>
      </c>
      <c r="T156" s="37" t="s">
        <v>38</v>
      </c>
      <c r="U156" s="37"/>
      <c r="V156" s="37" t="s">
        <v>7</v>
      </c>
      <c r="W156" s="37" t="s">
        <v>10</v>
      </c>
      <c r="X156" s="37" t="s">
        <v>44</v>
      </c>
      <c r="Y156" s="37" t="s">
        <v>114</v>
      </c>
      <c r="Z156" s="37" t="s">
        <v>7</v>
      </c>
      <c r="AA156" s="37" t="s">
        <v>7</v>
      </c>
      <c r="AB156" s="37" t="s">
        <v>7</v>
      </c>
      <c r="AC156" s="37" t="s">
        <v>7</v>
      </c>
      <c r="AD156" s="37" t="s">
        <v>7</v>
      </c>
    </row>
    <row r="157" spans="1:30" x14ac:dyDescent="0.3">
      <c r="A157" s="37">
        <f t="shared" ca="1" si="2"/>
        <v>642</v>
      </c>
      <c r="B157" s="37">
        <f t="shared" ca="1" si="3"/>
        <v>642</v>
      </c>
      <c r="C157" s="37">
        <v>68613</v>
      </c>
      <c r="D157" s="37" t="s">
        <v>332</v>
      </c>
      <c r="E157" s="37" t="s">
        <v>552</v>
      </c>
      <c r="F157" s="37" t="s">
        <v>11</v>
      </c>
      <c r="G157" s="37" t="s">
        <v>48</v>
      </c>
      <c r="H157" s="37" t="s">
        <v>81</v>
      </c>
      <c r="I157" s="37"/>
      <c r="J157" s="38">
        <v>42251.539351851854</v>
      </c>
      <c r="K157" s="37" t="s">
        <v>20</v>
      </c>
      <c r="L157" s="37" t="s">
        <v>80</v>
      </c>
      <c r="M157" s="38">
        <v>42251.396909722222</v>
      </c>
      <c r="N157" s="37" t="s">
        <v>56</v>
      </c>
      <c r="O157" s="37"/>
      <c r="P157" s="37"/>
      <c r="Q157" s="37" t="s">
        <v>6</v>
      </c>
      <c r="R157" s="37" t="s">
        <v>30</v>
      </c>
      <c r="S157" s="37" t="s">
        <v>24</v>
      </c>
      <c r="T157" s="37" t="s">
        <v>46</v>
      </c>
      <c r="U157" s="37"/>
      <c r="V157" s="37" t="s">
        <v>7</v>
      </c>
      <c r="W157" s="37" t="s">
        <v>10</v>
      </c>
      <c r="X157" s="37" t="s">
        <v>7</v>
      </c>
      <c r="Y157" s="37" t="s">
        <v>114</v>
      </c>
      <c r="Z157" s="37" t="s">
        <v>7</v>
      </c>
      <c r="AA157" s="37" t="s">
        <v>7</v>
      </c>
      <c r="AB157" s="37" t="s">
        <v>7</v>
      </c>
      <c r="AC157" s="37" t="s">
        <v>7</v>
      </c>
      <c r="AD157" s="37" t="s">
        <v>7</v>
      </c>
    </row>
    <row r="158" spans="1:30" x14ac:dyDescent="0.3">
      <c r="A158" s="37">
        <f t="shared" ca="1" si="2"/>
        <v>642</v>
      </c>
      <c r="B158" s="37">
        <f t="shared" ca="1" si="3"/>
        <v>642</v>
      </c>
      <c r="C158" s="37">
        <v>68615</v>
      </c>
      <c r="D158" s="37" t="s">
        <v>376</v>
      </c>
      <c r="E158" s="37" t="s">
        <v>553</v>
      </c>
      <c r="F158" s="37" t="s">
        <v>11</v>
      </c>
      <c r="G158" s="37" t="s">
        <v>48</v>
      </c>
      <c r="H158" s="37" t="s">
        <v>81</v>
      </c>
      <c r="I158" s="37"/>
      <c r="J158" s="38">
        <v>42251.399386574078</v>
      </c>
      <c r="K158" s="37" t="s">
        <v>20</v>
      </c>
      <c r="L158" s="37" t="s">
        <v>45</v>
      </c>
      <c r="M158" s="38">
        <v>42251.399386574078</v>
      </c>
      <c r="N158" s="37" t="s">
        <v>29</v>
      </c>
      <c r="O158" s="37"/>
      <c r="P158" s="37"/>
      <c r="Q158" s="37" t="s">
        <v>6</v>
      </c>
      <c r="R158" s="37" t="s">
        <v>18</v>
      </c>
      <c r="S158" s="37" t="s">
        <v>8</v>
      </c>
      <c r="T158" s="37" t="s">
        <v>38</v>
      </c>
      <c r="U158" s="37"/>
      <c r="V158" s="37" t="s">
        <v>7</v>
      </c>
      <c r="W158" s="37" t="s">
        <v>10</v>
      </c>
      <c r="X158" s="37" t="s">
        <v>44</v>
      </c>
      <c r="Y158" s="37" t="s">
        <v>114</v>
      </c>
      <c r="Z158" s="37" t="s">
        <v>7</v>
      </c>
      <c r="AA158" s="37" t="s">
        <v>7</v>
      </c>
      <c r="AB158" s="37" t="s">
        <v>7</v>
      </c>
      <c r="AC158" s="37" t="s">
        <v>7</v>
      </c>
      <c r="AD158" s="37" t="s">
        <v>7</v>
      </c>
    </row>
    <row r="159" spans="1:30" x14ac:dyDescent="0.3">
      <c r="A159" s="37">
        <f t="shared" ca="1" si="2"/>
        <v>554</v>
      </c>
      <c r="B159" s="37">
        <f t="shared" ca="1" si="3"/>
        <v>636</v>
      </c>
      <c r="C159" s="37">
        <v>68850</v>
      </c>
      <c r="D159" s="37" t="s">
        <v>339</v>
      </c>
      <c r="E159" s="37" t="s">
        <v>595</v>
      </c>
      <c r="F159" s="37" t="s">
        <v>11</v>
      </c>
      <c r="G159" s="37" t="s">
        <v>48</v>
      </c>
      <c r="H159" s="37" t="s">
        <v>81</v>
      </c>
      <c r="I159" s="37"/>
      <c r="J159" s="38">
        <v>42340.477835648147</v>
      </c>
      <c r="K159" s="37" t="s">
        <v>159</v>
      </c>
      <c r="L159" s="37" t="s">
        <v>80</v>
      </c>
      <c r="M159" s="38">
        <v>42257.327708333331</v>
      </c>
      <c r="N159" s="37" t="s">
        <v>56</v>
      </c>
      <c r="O159" s="37"/>
      <c r="P159" s="37"/>
      <c r="Q159" s="37" t="s">
        <v>6</v>
      </c>
      <c r="R159" s="37" t="s">
        <v>30</v>
      </c>
      <c r="S159" s="37" t="s">
        <v>8</v>
      </c>
      <c r="T159" s="37" t="s">
        <v>38</v>
      </c>
      <c r="U159" s="37"/>
      <c r="V159" s="37" t="s">
        <v>7</v>
      </c>
      <c r="W159" s="37" t="s">
        <v>10</v>
      </c>
      <c r="X159" s="37" t="s">
        <v>7</v>
      </c>
      <c r="Y159" s="37" t="s">
        <v>114</v>
      </c>
      <c r="Z159" s="37" t="s">
        <v>7</v>
      </c>
      <c r="AA159" s="37" t="s">
        <v>7</v>
      </c>
      <c r="AB159" s="37" t="s">
        <v>7</v>
      </c>
      <c r="AC159" s="37" t="s">
        <v>7</v>
      </c>
      <c r="AD159" s="37" t="s">
        <v>7</v>
      </c>
    </row>
    <row r="160" spans="1:30" x14ac:dyDescent="0.3">
      <c r="A160" s="37">
        <f t="shared" ca="1" si="2"/>
        <v>542</v>
      </c>
      <c r="B160" s="37">
        <f t="shared" ca="1" si="3"/>
        <v>636</v>
      </c>
      <c r="C160" s="37">
        <v>68859</v>
      </c>
      <c r="D160" s="37" t="s">
        <v>332</v>
      </c>
      <c r="E160" s="37" t="s">
        <v>554</v>
      </c>
      <c r="F160" s="37" t="s">
        <v>11</v>
      </c>
      <c r="G160" s="37" t="s">
        <v>48</v>
      </c>
      <c r="H160" s="37" t="s">
        <v>555</v>
      </c>
      <c r="I160" s="37"/>
      <c r="J160" s="38">
        <v>42352.607638888891</v>
      </c>
      <c r="K160" s="37" t="s">
        <v>20</v>
      </c>
      <c r="L160" s="37" t="s">
        <v>80</v>
      </c>
      <c r="M160" s="38">
        <v>42257.3987037037</v>
      </c>
      <c r="N160" s="37" t="s">
        <v>56</v>
      </c>
      <c r="O160" s="37"/>
      <c r="P160" s="37" t="s">
        <v>366</v>
      </c>
      <c r="Q160" s="37" t="s">
        <v>6</v>
      </c>
      <c r="R160" s="37" t="s">
        <v>30</v>
      </c>
      <c r="S160" s="37" t="s">
        <v>24</v>
      </c>
      <c r="T160" s="37" t="s">
        <v>46</v>
      </c>
      <c r="U160" s="37"/>
      <c r="V160" s="37" t="s">
        <v>7</v>
      </c>
      <c r="W160" s="37" t="s">
        <v>10</v>
      </c>
      <c r="X160" s="37" t="s">
        <v>7</v>
      </c>
      <c r="Y160" s="37" t="s">
        <v>114</v>
      </c>
      <c r="Z160" s="37" t="s">
        <v>7</v>
      </c>
      <c r="AA160" s="37" t="s">
        <v>309</v>
      </c>
      <c r="AB160" s="37" t="s">
        <v>7</v>
      </c>
      <c r="AC160" s="37" t="s">
        <v>7</v>
      </c>
      <c r="AD160" s="37" t="s">
        <v>7</v>
      </c>
    </row>
    <row r="161" spans="1:30" x14ac:dyDescent="0.3">
      <c r="A161" s="37">
        <f t="shared" ca="1" si="2"/>
        <v>635</v>
      </c>
      <c r="B161" s="37">
        <f t="shared" ca="1" si="3"/>
        <v>635</v>
      </c>
      <c r="C161" s="37">
        <v>68928</v>
      </c>
      <c r="D161" s="37" t="s">
        <v>376</v>
      </c>
      <c r="E161" s="37" t="s">
        <v>556</v>
      </c>
      <c r="F161" s="37" t="s">
        <v>11</v>
      </c>
      <c r="G161" s="37" t="s">
        <v>48</v>
      </c>
      <c r="H161" s="37" t="s">
        <v>81</v>
      </c>
      <c r="I161" s="37"/>
      <c r="J161" s="38">
        <v>42258.548935185187</v>
      </c>
      <c r="K161" s="37" t="s">
        <v>20</v>
      </c>
      <c r="L161" s="37" t="s">
        <v>80</v>
      </c>
      <c r="M161" s="38">
        <v>42258.548935185187</v>
      </c>
      <c r="N161" s="37" t="s">
        <v>56</v>
      </c>
      <c r="O161" s="37"/>
      <c r="P161" s="37"/>
      <c r="Q161" s="37" t="s">
        <v>6</v>
      </c>
      <c r="R161" s="37" t="s">
        <v>30</v>
      </c>
      <c r="S161" s="37" t="s">
        <v>13</v>
      </c>
      <c r="T161" s="37" t="s">
        <v>19</v>
      </c>
      <c r="U161" s="37"/>
      <c r="V161" s="37" t="s">
        <v>7</v>
      </c>
      <c r="W161" s="37" t="s">
        <v>10</v>
      </c>
      <c r="X161" s="37" t="s">
        <v>7</v>
      </c>
      <c r="Y161" s="37" t="s">
        <v>114</v>
      </c>
      <c r="Z161" s="37" t="s">
        <v>7</v>
      </c>
      <c r="AA161" s="37" t="s">
        <v>7</v>
      </c>
      <c r="AB161" s="37" t="s">
        <v>7</v>
      </c>
      <c r="AC161" s="37" t="s">
        <v>7</v>
      </c>
      <c r="AD161" s="37" t="s">
        <v>7</v>
      </c>
    </row>
    <row r="162" spans="1:30" x14ac:dyDescent="0.3">
      <c r="A162" s="37">
        <f t="shared" ca="1" si="2"/>
        <v>630</v>
      </c>
      <c r="B162" s="37">
        <f t="shared" ca="1" si="3"/>
        <v>634</v>
      </c>
      <c r="C162" s="37">
        <v>68952</v>
      </c>
      <c r="D162" s="37" t="s">
        <v>332</v>
      </c>
      <c r="E162" s="37" t="s">
        <v>557</v>
      </c>
      <c r="F162" s="37" t="s">
        <v>11</v>
      </c>
      <c r="G162" s="37" t="s">
        <v>48</v>
      </c>
      <c r="H162" s="37" t="s">
        <v>81</v>
      </c>
      <c r="I162" s="37"/>
      <c r="J162" s="38">
        <v>42263.462731481479</v>
      </c>
      <c r="K162" s="37" t="s">
        <v>20</v>
      </c>
      <c r="L162" s="37" t="s">
        <v>48</v>
      </c>
      <c r="M162" s="38">
        <v>42259.020937499998</v>
      </c>
      <c r="N162" s="37" t="s">
        <v>50</v>
      </c>
      <c r="O162" s="37"/>
      <c r="P162" s="37"/>
      <c r="Q162" s="37" t="s">
        <v>6</v>
      </c>
      <c r="R162" s="37" t="s">
        <v>30</v>
      </c>
      <c r="S162" s="37" t="s">
        <v>24</v>
      </c>
      <c r="T162" s="37" t="s">
        <v>46</v>
      </c>
      <c r="U162" s="37"/>
      <c r="V162" s="37" t="s">
        <v>7</v>
      </c>
      <c r="W162" s="37" t="s">
        <v>10</v>
      </c>
      <c r="X162" s="37" t="s">
        <v>7</v>
      </c>
      <c r="Y162" s="37" t="s">
        <v>114</v>
      </c>
      <c r="Z162" s="37" t="s">
        <v>7</v>
      </c>
      <c r="AA162" s="37" t="s">
        <v>7</v>
      </c>
      <c r="AB162" s="37" t="s">
        <v>7</v>
      </c>
      <c r="AC162" s="37" t="s">
        <v>7</v>
      </c>
      <c r="AD162" s="37" t="s">
        <v>7</v>
      </c>
    </row>
    <row r="163" spans="1:30" x14ac:dyDescent="0.3">
      <c r="A163" s="37">
        <f t="shared" ca="1" si="2"/>
        <v>630</v>
      </c>
      <c r="B163" s="37">
        <f t="shared" ca="1" si="3"/>
        <v>630</v>
      </c>
      <c r="C163" s="37">
        <v>69113</v>
      </c>
      <c r="D163" s="37" t="s">
        <v>376</v>
      </c>
      <c r="E163" s="37" t="s">
        <v>558</v>
      </c>
      <c r="F163" s="37" t="s">
        <v>11</v>
      </c>
      <c r="G163" s="37" t="s">
        <v>48</v>
      </c>
      <c r="H163" s="37" t="s">
        <v>81</v>
      </c>
      <c r="I163" s="37"/>
      <c r="J163" s="38">
        <v>42263.020289351851</v>
      </c>
      <c r="K163" s="37" t="s">
        <v>20</v>
      </c>
      <c r="L163" s="37" t="s">
        <v>48</v>
      </c>
      <c r="M163" s="38">
        <v>42263.020289351851</v>
      </c>
      <c r="N163" s="37" t="s">
        <v>120</v>
      </c>
      <c r="O163" s="37"/>
      <c r="P163" s="37"/>
      <c r="Q163" s="37" t="s">
        <v>6</v>
      </c>
      <c r="R163" s="37" t="s">
        <v>30</v>
      </c>
      <c r="S163" s="37" t="s">
        <v>13</v>
      </c>
      <c r="T163" s="37" t="s">
        <v>103</v>
      </c>
      <c r="U163" s="37"/>
      <c r="V163" s="37" t="s">
        <v>7</v>
      </c>
      <c r="W163" s="37" t="s">
        <v>10</v>
      </c>
      <c r="X163" s="37" t="s">
        <v>7</v>
      </c>
      <c r="Y163" s="37" t="s">
        <v>114</v>
      </c>
      <c r="Z163" s="37" t="s">
        <v>7</v>
      </c>
      <c r="AA163" s="37" t="s">
        <v>7</v>
      </c>
      <c r="AB163" s="37" t="s">
        <v>7</v>
      </c>
      <c r="AC163" s="37" t="s">
        <v>7</v>
      </c>
      <c r="AD163" s="37" t="s">
        <v>7</v>
      </c>
    </row>
    <row r="164" spans="1:30" x14ac:dyDescent="0.3">
      <c r="A164" s="37">
        <f t="shared" ca="1" si="2"/>
        <v>624</v>
      </c>
      <c r="B164" s="37">
        <f t="shared" ca="1" si="3"/>
        <v>629</v>
      </c>
      <c r="C164" s="37">
        <v>69246</v>
      </c>
      <c r="D164" s="37" t="s">
        <v>332</v>
      </c>
      <c r="E164" s="37" t="s">
        <v>559</v>
      </c>
      <c r="F164" s="37" t="s">
        <v>146</v>
      </c>
      <c r="G164" s="37" t="s">
        <v>48</v>
      </c>
      <c r="H164" s="37" t="s">
        <v>81</v>
      </c>
      <c r="I164" s="37"/>
      <c r="J164" s="38">
        <v>42269.386157407411</v>
      </c>
      <c r="K164" s="37" t="s">
        <v>20</v>
      </c>
      <c r="L164" s="37" t="s">
        <v>48</v>
      </c>
      <c r="M164" s="38">
        <v>42264.520497685182</v>
      </c>
      <c r="N164" s="37" t="s">
        <v>50</v>
      </c>
      <c r="O164" s="37"/>
      <c r="P164" s="37"/>
      <c r="Q164" s="37" t="s">
        <v>17</v>
      </c>
      <c r="R164" s="37" t="s">
        <v>30</v>
      </c>
      <c r="S164" s="37" t="s">
        <v>24</v>
      </c>
      <c r="T164" s="37" t="s">
        <v>46</v>
      </c>
      <c r="U164" s="37"/>
      <c r="V164" s="37" t="s">
        <v>7</v>
      </c>
      <c r="W164" s="37" t="s">
        <v>10</v>
      </c>
      <c r="X164" s="37" t="s">
        <v>7</v>
      </c>
      <c r="Y164" s="37" t="s">
        <v>114</v>
      </c>
      <c r="Z164" s="37" t="s">
        <v>7</v>
      </c>
      <c r="AA164" s="37" t="s">
        <v>7</v>
      </c>
      <c r="AB164" s="37" t="s">
        <v>7</v>
      </c>
      <c r="AC164" s="37" t="s">
        <v>7</v>
      </c>
      <c r="AD164" s="37" t="s">
        <v>7</v>
      </c>
    </row>
    <row r="165" spans="1:30" x14ac:dyDescent="0.3">
      <c r="A165" s="37">
        <f t="shared" ca="1" si="2"/>
        <v>544</v>
      </c>
      <c r="B165" s="37">
        <f t="shared" ca="1" si="3"/>
        <v>625</v>
      </c>
      <c r="C165" s="37">
        <v>69429</v>
      </c>
      <c r="D165" s="37" t="s">
        <v>581</v>
      </c>
      <c r="E165" s="37" t="s">
        <v>560</v>
      </c>
      <c r="F165" s="37" t="s">
        <v>11</v>
      </c>
      <c r="G165" s="37" t="s">
        <v>48</v>
      </c>
      <c r="H165" s="37" t="s">
        <v>81</v>
      </c>
      <c r="I165" s="37"/>
      <c r="J165" s="38">
        <v>42350.987164351849</v>
      </c>
      <c r="K165" s="37" t="s">
        <v>20</v>
      </c>
      <c r="L165" s="37" t="s">
        <v>561</v>
      </c>
      <c r="M165" s="38">
        <v>42268.520277777781</v>
      </c>
      <c r="N165" s="37" t="s">
        <v>315</v>
      </c>
      <c r="O165" s="37"/>
      <c r="P165" s="37"/>
      <c r="Q165" s="37" t="s">
        <v>6</v>
      </c>
      <c r="R165" s="37" t="s">
        <v>30</v>
      </c>
      <c r="S165" s="37" t="s">
        <v>13</v>
      </c>
      <c r="T165" s="37" t="s">
        <v>19</v>
      </c>
      <c r="U165" s="37"/>
      <c r="V165" s="37" t="s">
        <v>7</v>
      </c>
      <c r="W165" s="37" t="s">
        <v>10</v>
      </c>
      <c r="X165" s="37" t="s">
        <v>7</v>
      </c>
      <c r="Y165" s="37" t="s">
        <v>114</v>
      </c>
      <c r="Z165" s="37" t="s">
        <v>7</v>
      </c>
      <c r="AA165" s="37" t="s">
        <v>7</v>
      </c>
      <c r="AB165" s="37" t="s">
        <v>7</v>
      </c>
      <c r="AC165" s="37" t="s">
        <v>7</v>
      </c>
      <c r="AD165" s="37" t="s">
        <v>7</v>
      </c>
    </row>
    <row r="166" spans="1:30" x14ac:dyDescent="0.3">
      <c r="A166" s="37">
        <f t="shared" ca="1" si="2"/>
        <v>622</v>
      </c>
      <c r="B166" s="37">
        <f t="shared" ca="1" si="3"/>
        <v>623</v>
      </c>
      <c r="C166" s="37">
        <v>69629</v>
      </c>
      <c r="D166" s="37" t="s">
        <v>337</v>
      </c>
      <c r="E166" s="37" t="s">
        <v>567</v>
      </c>
      <c r="F166" s="37" t="s">
        <v>146</v>
      </c>
      <c r="G166" s="37" t="s">
        <v>48</v>
      </c>
      <c r="H166" s="37" t="s">
        <v>81</v>
      </c>
      <c r="I166" s="37"/>
      <c r="J166" s="38">
        <v>42271.473379629628</v>
      </c>
      <c r="K166" s="37" t="s">
        <v>20</v>
      </c>
      <c r="L166" s="37" t="s">
        <v>48</v>
      </c>
      <c r="M166" s="38">
        <v>42270.520289351851</v>
      </c>
      <c r="N166" s="37" t="s">
        <v>5</v>
      </c>
      <c r="O166" s="37"/>
      <c r="P166" s="37"/>
      <c r="Q166" s="37" t="s">
        <v>17</v>
      </c>
      <c r="R166" s="37" t="s">
        <v>30</v>
      </c>
      <c r="S166" s="37" t="s">
        <v>8</v>
      </c>
      <c r="T166" s="37" t="s">
        <v>38</v>
      </c>
      <c r="U166" s="37"/>
      <c r="V166" s="37" t="s">
        <v>7</v>
      </c>
      <c r="W166" s="37" t="s">
        <v>10</v>
      </c>
      <c r="X166" s="37" t="s">
        <v>7</v>
      </c>
      <c r="Y166" s="37" t="s">
        <v>114</v>
      </c>
      <c r="Z166" s="37" t="s">
        <v>7</v>
      </c>
      <c r="AA166" s="37" t="s">
        <v>7</v>
      </c>
      <c r="AB166" s="37" t="s">
        <v>7</v>
      </c>
      <c r="AC166" s="37" t="s">
        <v>7</v>
      </c>
      <c r="AD166" s="37" t="s">
        <v>7</v>
      </c>
    </row>
    <row r="167" spans="1:30" x14ac:dyDescent="0.3">
      <c r="A167" s="37">
        <f t="shared" ca="1" si="2"/>
        <v>622</v>
      </c>
      <c r="B167" s="37">
        <f t="shared" ca="1" si="3"/>
        <v>622</v>
      </c>
      <c r="C167" s="37">
        <v>69728</v>
      </c>
      <c r="D167" s="37" t="s">
        <v>332</v>
      </c>
      <c r="E167" s="37" t="s">
        <v>568</v>
      </c>
      <c r="F167" s="37" t="s">
        <v>11</v>
      </c>
      <c r="G167" s="37" t="s">
        <v>48</v>
      </c>
      <c r="H167" s="37" t="s">
        <v>81</v>
      </c>
      <c r="I167" s="37"/>
      <c r="J167" s="38">
        <v>42271.431354166663</v>
      </c>
      <c r="K167" s="37" t="s">
        <v>20</v>
      </c>
      <c r="L167" s="37" t="s">
        <v>48</v>
      </c>
      <c r="M167" s="38">
        <v>42271.431354166663</v>
      </c>
      <c r="N167" s="37" t="s">
        <v>315</v>
      </c>
      <c r="O167" s="37"/>
      <c r="P167" s="37"/>
      <c r="Q167" s="37" t="s">
        <v>6</v>
      </c>
      <c r="R167" s="37" t="s">
        <v>30</v>
      </c>
      <c r="S167" s="37" t="s">
        <v>24</v>
      </c>
      <c r="T167" s="37" t="s">
        <v>46</v>
      </c>
      <c r="U167" s="37"/>
      <c r="V167" s="37" t="s">
        <v>7</v>
      </c>
      <c r="W167" s="37" t="s">
        <v>10</v>
      </c>
      <c r="X167" s="37" t="s">
        <v>7</v>
      </c>
      <c r="Y167" s="37" t="s">
        <v>114</v>
      </c>
      <c r="Z167" s="37" t="s">
        <v>7</v>
      </c>
      <c r="AA167" s="37" t="s">
        <v>7</v>
      </c>
      <c r="AB167" s="37" t="s">
        <v>7</v>
      </c>
      <c r="AC167" s="37" t="s">
        <v>7</v>
      </c>
      <c r="AD167" s="37" t="s">
        <v>7</v>
      </c>
    </row>
    <row r="168" spans="1:30" x14ac:dyDescent="0.3">
      <c r="A168" s="37">
        <f t="shared" ca="1" si="2"/>
        <v>562</v>
      </c>
      <c r="B168" s="37">
        <f t="shared" ca="1" si="3"/>
        <v>617</v>
      </c>
      <c r="C168" s="37">
        <v>69940</v>
      </c>
      <c r="D168" s="37" t="s">
        <v>597</v>
      </c>
      <c r="E168" s="37" t="s">
        <v>570</v>
      </c>
      <c r="F168" s="37" t="s">
        <v>11</v>
      </c>
      <c r="G168" s="37" t="s">
        <v>48</v>
      </c>
      <c r="H168" s="37" t="s">
        <v>81</v>
      </c>
      <c r="I168" s="37"/>
      <c r="J168" s="38">
        <v>42332.230694444443</v>
      </c>
      <c r="K168" s="37" t="s">
        <v>20</v>
      </c>
      <c r="L168" s="37" t="s">
        <v>48</v>
      </c>
      <c r="M168" s="38">
        <v>42276.309189814812</v>
      </c>
      <c r="N168" s="37" t="s">
        <v>5</v>
      </c>
      <c r="O168" s="37"/>
      <c r="P168" s="37"/>
      <c r="Q168" s="37" t="s">
        <v>6</v>
      </c>
      <c r="R168" s="37" t="s">
        <v>30</v>
      </c>
      <c r="S168" s="37" t="s">
        <v>13</v>
      </c>
      <c r="T168" s="37" t="s">
        <v>35</v>
      </c>
      <c r="U168" s="37"/>
      <c r="V168" s="37" t="s">
        <v>7</v>
      </c>
      <c r="W168" s="37" t="s">
        <v>10</v>
      </c>
      <c r="X168" s="37" t="s">
        <v>7</v>
      </c>
      <c r="Y168" s="37" t="s">
        <v>114</v>
      </c>
      <c r="Z168" s="37" t="s">
        <v>7</v>
      </c>
      <c r="AA168" s="37" t="s">
        <v>7</v>
      </c>
      <c r="AB168" s="37" t="s">
        <v>7</v>
      </c>
      <c r="AC168" s="37" t="s">
        <v>7</v>
      </c>
      <c r="AD168" s="37" t="s">
        <v>7</v>
      </c>
    </row>
    <row r="169" spans="1:30" x14ac:dyDescent="0.3">
      <c r="A169" s="37">
        <f t="shared" ca="1" si="2"/>
        <v>614</v>
      </c>
      <c r="B169" s="37">
        <f t="shared" ca="1" si="3"/>
        <v>614</v>
      </c>
      <c r="C169" s="37">
        <v>70168</v>
      </c>
      <c r="D169" s="37" t="s">
        <v>376</v>
      </c>
      <c r="E169" s="37" t="s">
        <v>571</v>
      </c>
      <c r="F169" s="37" t="s">
        <v>11</v>
      </c>
      <c r="G169" s="37" t="s">
        <v>48</v>
      </c>
      <c r="H169" s="37" t="s">
        <v>81</v>
      </c>
      <c r="I169" s="37"/>
      <c r="J169" s="38">
        <v>42279.021666666667</v>
      </c>
      <c r="K169" s="37" t="s">
        <v>20</v>
      </c>
      <c r="L169" s="37" t="s">
        <v>83</v>
      </c>
      <c r="M169" s="38">
        <v>42279.021666666667</v>
      </c>
      <c r="N169" s="37" t="s">
        <v>572</v>
      </c>
      <c r="O169" s="37"/>
      <c r="P169" s="37"/>
      <c r="Q169" s="37" t="s">
        <v>6</v>
      </c>
      <c r="R169" s="37" t="s">
        <v>30</v>
      </c>
      <c r="S169" s="37" t="s">
        <v>13</v>
      </c>
      <c r="T169" s="37" t="s">
        <v>19</v>
      </c>
      <c r="U169" s="37"/>
      <c r="V169" s="37" t="s">
        <v>7</v>
      </c>
      <c r="W169" s="37" t="s">
        <v>10</v>
      </c>
      <c r="X169" s="37" t="s">
        <v>7</v>
      </c>
      <c r="Y169" s="37" t="s">
        <v>114</v>
      </c>
      <c r="Z169" s="37" t="s">
        <v>7</v>
      </c>
      <c r="AA169" s="37" t="s">
        <v>7</v>
      </c>
      <c r="AB169" s="37" t="s">
        <v>7</v>
      </c>
      <c r="AC169" s="37" t="s">
        <v>7</v>
      </c>
      <c r="AD169" s="37" t="s">
        <v>7</v>
      </c>
    </row>
    <row r="170" spans="1:30" x14ac:dyDescent="0.3">
      <c r="A170" s="37">
        <f t="shared" ca="1" si="2"/>
        <v>610</v>
      </c>
      <c r="B170" s="37">
        <f t="shared" ca="1" si="3"/>
        <v>610</v>
      </c>
      <c r="C170" s="37">
        <v>70318</v>
      </c>
      <c r="D170" s="37" t="s">
        <v>343</v>
      </c>
      <c r="E170" s="37" t="s">
        <v>574</v>
      </c>
      <c r="F170" s="37" t="s">
        <v>146</v>
      </c>
      <c r="G170" s="37" t="s">
        <v>48</v>
      </c>
      <c r="H170" s="37" t="s">
        <v>81</v>
      </c>
      <c r="I170" s="37"/>
      <c r="J170" s="38">
        <v>42283.020532407405</v>
      </c>
      <c r="K170" s="37" t="s">
        <v>20</v>
      </c>
      <c r="L170" s="37" t="s">
        <v>80</v>
      </c>
      <c r="M170" s="38">
        <v>42283.020532407405</v>
      </c>
      <c r="N170" s="37" t="s">
        <v>40</v>
      </c>
      <c r="O170" s="37"/>
      <c r="P170" s="37"/>
      <c r="Q170" s="37" t="s">
        <v>17</v>
      </c>
      <c r="R170" s="37" t="s">
        <v>30</v>
      </c>
      <c r="S170" s="37" t="s">
        <v>24</v>
      </c>
      <c r="T170" s="37" t="s">
        <v>47</v>
      </c>
      <c r="U170" s="37"/>
      <c r="V170" s="37" t="s">
        <v>7</v>
      </c>
      <c r="W170" s="37" t="s">
        <v>10</v>
      </c>
      <c r="X170" s="37" t="s">
        <v>7</v>
      </c>
      <c r="Y170" s="37" t="s">
        <v>114</v>
      </c>
      <c r="Z170" s="37" t="s">
        <v>7</v>
      </c>
      <c r="AA170" s="37" t="s">
        <v>7</v>
      </c>
      <c r="AB170" s="37" t="s">
        <v>7</v>
      </c>
      <c r="AC170" s="37" t="s">
        <v>7</v>
      </c>
      <c r="AD170" s="37" t="s">
        <v>7</v>
      </c>
    </row>
    <row r="171" spans="1:30" x14ac:dyDescent="0.3">
      <c r="A171" s="37">
        <f t="shared" ca="1" si="2"/>
        <v>593</v>
      </c>
      <c r="B171" s="37">
        <f t="shared" ca="1" si="3"/>
        <v>609</v>
      </c>
      <c r="C171" s="37">
        <v>70472</v>
      </c>
      <c r="D171" s="37" t="s">
        <v>332</v>
      </c>
      <c r="E171" s="37" t="s">
        <v>582</v>
      </c>
      <c r="F171" s="37" t="s">
        <v>11</v>
      </c>
      <c r="G171" s="37" t="s">
        <v>48</v>
      </c>
      <c r="H171" s="37" t="s">
        <v>81</v>
      </c>
      <c r="I171" s="37"/>
      <c r="J171" s="38">
        <v>42300.442164351851</v>
      </c>
      <c r="K171" s="37" t="s">
        <v>159</v>
      </c>
      <c r="L171" s="37" t="s">
        <v>80</v>
      </c>
      <c r="M171" s="38">
        <v>42284.522141203706</v>
      </c>
      <c r="N171" s="37" t="s">
        <v>5</v>
      </c>
      <c r="O171" s="37"/>
      <c r="P171" s="37"/>
      <c r="Q171" s="37" t="s">
        <v>6</v>
      </c>
      <c r="R171" s="37" t="s">
        <v>30</v>
      </c>
      <c r="S171" s="37" t="s">
        <v>24</v>
      </c>
      <c r="T171" s="37" t="s">
        <v>47</v>
      </c>
      <c r="U171" s="37"/>
      <c r="V171" s="37" t="s">
        <v>7</v>
      </c>
      <c r="W171" s="37" t="s">
        <v>10</v>
      </c>
      <c r="X171" s="37" t="s">
        <v>7</v>
      </c>
      <c r="Y171" s="37" t="s">
        <v>114</v>
      </c>
      <c r="Z171" s="37" t="s">
        <v>7</v>
      </c>
      <c r="AA171" s="37" t="s">
        <v>7</v>
      </c>
      <c r="AB171" s="37" t="s">
        <v>7</v>
      </c>
      <c r="AC171" s="37" t="s">
        <v>7</v>
      </c>
      <c r="AD171" s="37" t="s">
        <v>7</v>
      </c>
    </row>
    <row r="172" spans="1:30" x14ac:dyDescent="0.3">
      <c r="A172" s="37">
        <f t="shared" ca="1" si="2"/>
        <v>601</v>
      </c>
      <c r="B172" s="37">
        <f t="shared" ca="1" si="3"/>
        <v>601</v>
      </c>
      <c r="C172" s="37">
        <v>70931</v>
      </c>
      <c r="D172" s="37" t="s">
        <v>342</v>
      </c>
      <c r="E172" s="37" t="s">
        <v>575</v>
      </c>
      <c r="F172" s="37" t="s">
        <v>11</v>
      </c>
      <c r="G172" s="37" t="s">
        <v>48</v>
      </c>
      <c r="H172" s="37" t="s">
        <v>81</v>
      </c>
      <c r="I172" s="37"/>
      <c r="J172" s="38">
        <v>42292.337476851855</v>
      </c>
      <c r="K172" s="37" t="s">
        <v>20</v>
      </c>
      <c r="L172" s="37" t="s">
        <v>80</v>
      </c>
      <c r="M172" s="38">
        <v>42292.337476851855</v>
      </c>
      <c r="N172" s="37" t="s">
        <v>16</v>
      </c>
      <c r="O172" s="37"/>
      <c r="P172" s="37"/>
      <c r="Q172" s="37" t="s">
        <v>6</v>
      </c>
      <c r="R172" s="37" t="s">
        <v>30</v>
      </c>
      <c r="S172" s="37" t="s">
        <v>8</v>
      </c>
      <c r="T172" s="37" t="s">
        <v>153</v>
      </c>
      <c r="U172" s="37"/>
      <c r="V172" s="37" t="s">
        <v>7</v>
      </c>
      <c r="W172" s="37" t="s">
        <v>10</v>
      </c>
      <c r="X172" s="37" t="s">
        <v>7</v>
      </c>
      <c r="Y172" s="37" t="s">
        <v>114</v>
      </c>
      <c r="Z172" s="37" t="s">
        <v>7</v>
      </c>
      <c r="AA172" s="37" t="s">
        <v>7</v>
      </c>
      <c r="AB172" s="37" t="s">
        <v>7</v>
      </c>
      <c r="AC172" s="37" t="s">
        <v>7</v>
      </c>
      <c r="AD172" s="37" t="s">
        <v>7</v>
      </c>
    </row>
    <row r="173" spans="1:30" x14ac:dyDescent="0.3">
      <c r="A173" s="37">
        <f t="shared" ca="1" si="2"/>
        <v>597</v>
      </c>
      <c r="B173" s="37">
        <f t="shared" ca="1" si="3"/>
        <v>600</v>
      </c>
      <c r="C173" s="37">
        <v>71033</v>
      </c>
      <c r="D173" s="37" t="s">
        <v>337</v>
      </c>
      <c r="E173" s="37" t="s">
        <v>576</v>
      </c>
      <c r="F173" s="37" t="s">
        <v>146</v>
      </c>
      <c r="G173" s="37" t="s">
        <v>48</v>
      </c>
      <c r="H173" s="37" t="s">
        <v>81</v>
      </c>
      <c r="I173" s="37"/>
      <c r="J173" s="38">
        <v>42296.358773148146</v>
      </c>
      <c r="K173" s="37" t="s">
        <v>20</v>
      </c>
      <c r="L173" s="37" t="s">
        <v>48</v>
      </c>
      <c r="M173" s="38">
        <v>42293.520925925928</v>
      </c>
      <c r="N173" s="37" t="s">
        <v>84</v>
      </c>
      <c r="O173" s="37"/>
      <c r="P173" s="37"/>
      <c r="Q173" s="37" t="s">
        <v>17</v>
      </c>
      <c r="R173" s="37" t="s">
        <v>30</v>
      </c>
      <c r="S173" s="37" t="s">
        <v>13</v>
      </c>
      <c r="T173" s="37" t="s">
        <v>19</v>
      </c>
      <c r="U173" s="37"/>
      <c r="V173" s="37" t="s">
        <v>7</v>
      </c>
      <c r="W173" s="37" t="s">
        <v>10</v>
      </c>
      <c r="X173" s="37" t="s">
        <v>7</v>
      </c>
      <c r="Y173" s="37" t="s">
        <v>114</v>
      </c>
      <c r="Z173" s="37" t="s">
        <v>7</v>
      </c>
      <c r="AA173" s="37" t="s">
        <v>7</v>
      </c>
      <c r="AB173" s="37" t="s">
        <v>7</v>
      </c>
      <c r="AC173" s="37" t="s">
        <v>7</v>
      </c>
      <c r="AD173" s="37" t="s">
        <v>7</v>
      </c>
    </row>
    <row r="174" spans="1:30" x14ac:dyDescent="0.3">
      <c r="A174" s="37">
        <f t="shared" ca="1" si="2"/>
        <v>582</v>
      </c>
      <c r="B174" s="37">
        <f t="shared" ca="1" si="3"/>
        <v>596</v>
      </c>
      <c r="C174" s="37">
        <v>71220</v>
      </c>
      <c r="D174" s="37" t="s">
        <v>339</v>
      </c>
      <c r="E174" s="37" t="s">
        <v>577</v>
      </c>
      <c r="F174" s="37" t="s">
        <v>146</v>
      </c>
      <c r="G174" s="37" t="s">
        <v>48</v>
      </c>
      <c r="H174" s="37" t="s">
        <v>81</v>
      </c>
      <c r="I174" s="37"/>
      <c r="J174" s="38">
        <v>42312.400648148148</v>
      </c>
      <c r="K174" s="37" t="s">
        <v>20</v>
      </c>
      <c r="L174" s="37" t="s">
        <v>48</v>
      </c>
      <c r="M174" s="38">
        <v>42297.021111111113</v>
      </c>
      <c r="N174" s="37" t="s">
        <v>43</v>
      </c>
      <c r="O174" s="37"/>
      <c r="P174" s="37"/>
      <c r="Q174" s="37" t="s">
        <v>17</v>
      </c>
      <c r="R174" s="37" t="s">
        <v>30</v>
      </c>
      <c r="S174" s="37" t="s">
        <v>24</v>
      </c>
      <c r="T174" s="37" t="s">
        <v>46</v>
      </c>
      <c r="U174" s="37"/>
      <c r="V174" s="37" t="s">
        <v>7</v>
      </c>
      <c r="W174" s="37" t="s">
        <v>10</v>
      </c>
      <c r="X174" s="37" t="s">
        <v>7</v>
      </c>
      <c r="Y174" s="37" t="s">
        <v>114</v>
      </c>
      <c r="Z174" s="37" t="s">
        <v>7</v>
      </c>
      <c r="AA174" s="37" t="s">
        <v>7</v>
      </c>
      <c r="AB174" s="37" t="s">
        <v>7</v>
      </c>
      <c r="AC174" s="37" t="s">
        <v>7</v>
      </c>
      <c r="AD174" s="37" t="s">
        <v>7</v>
      </c>
    </row>
    <row r="175" spans="1:30" x14ac:dyDescent="0.3">
      <c r="A175" s="37">
        <f t="shared" ca="1" si="2"/>
        <v>581</v>
      </c>
      <c r="B175" s="37">
        <f t="shared" ca="1" si="3"/>
        <v>593</v>
      </c>
      <c r="C175" s="37">
        <v>71424</v>
      </c>
      <c r="D175" s="37" t="s">
        <v>331</v>
      </c>
      <c r="E175" s="37" t="s">
        <v>591</v>
      </c>
      <c r="F175" s="37" t="s">
        <v>11</v>
      </c>
      <c r="G175" s="37" t="s">
        <v>48</v>
      </c>
      <c r="H175" s="37" t="s">
        <v>81</v>
      </c>
      <c r="I175" s="37"/>
      <c r="J175" s="38">
        <v>42313.323009259257</v>
      </c>
      <c r="K175" s="37" t="s">
        <v>20</v>
      </c>
      <c r="L175" s="37" t="s">
        <v>48</v>
      </c>
      <c r="M175" s="38">
        <v>42300.021087962959</v>
      </c>
      <c r="N175" s="37" t="s">
        <v>5</v>
      </c>
      <c r="O175" s="37"/>
      <c r="P175" s="37" t="s">
        <v>366</v>
      </c>
      <c r="Q175" s="37" t="s">
        <v>6</v>
      </c>
      <c r="R175" s="37" t="s">
        <v>30</v>
      </c>
      <c r="S175" s="37" t="s">
        <v>13</v>
      </c>
      <c r="T175" s="37" t="s">
        <v>19</v>
      </c>
      <c r="U175" s="37"/>
      <c r="V175" s="37" t="s">
        <v>7</v>
      </c>
      <c r="W175" s="37" t="s">
        <v>10</v>
      </c>
      <c r="X175" s="37" t="s">
        <v>7</v>
      </c>
      <c r="Y175" s="37" t="s">
        <v>114</v>
      </c>
      <c r="Z175" s="37" t="s">
        <v>7</v>
      </c>
      <c r="AA175" s="37" t="s">
        <v>7</v>
      </c>
      <c r="AB175" s="37" t="s">
        <v>7</v>
      </c>
      <c r="AC175" s="37" t="s">
        <v>7</v>
      </c>
      <c r="AD175" s="37" t="s">
        <v>7</v>
      </c>
    </row>
    <row r="176" spans="1:30" x14ac:dyDescent="0.3">
      <c r="A176" s="37">
        <f t="shared" ca="1" si="2"/>
        <v>590</v>
      </c>
      <c r="B176" s="37">
        <f t="shared" ca="1" si="3"/>
        <v>590</v>
      </c>
      <c r="C176" s="37">
        <v>71532</v>
      </c>
      <c r="D176" s="37" t="s">
        <v>376</v>
      </c>
      <c r="E176" s="37" t="s">
        <v>584</v>
      </c>
      <c r="F176" s="37" t="s">
        <v>11</v>
      </c>
      <c r="G176" s="37" t="s">
        <v>48</v>
      </c>
      <c r="H176" s="37" t="s">
        <v>81</v>
      </c>
      <c r="I176" s="37"/>
      <c r="J176" s="38">
        <v>42303.564652777779</v>
      </c>
      <c r="K176" s="37" t="s">
        <v>20</v>
      </c>
      <c r="L176" s="37" t="s">
        <v>48</v>
      </c>
      <c r="M176" s="38">
        <v>42303.521296296298</v>
      </c>
      <c r="N176" s="37" t="s">
        <v>5</v>
      </c>
      <c r="O176" s="37"/>
      <c r="P176" s="37"/>
      <c r="Q176" s="37" t="s">
        <v>6</v>
      </c>
      <c r="R176" s="37" t="s">
        <v>30</v>
      </c>
      <c r="S176" s="37" t="s">
        <v>13</v>
      </c>
      <c r="T176" s="37" t="s">
        <v>35</v>
      </c>
      <c r="U176" s="37"/>
      <c r="V176" s="37" t="s">
        <v>7</v>
      </c>
      <c r="W176" s="37" t="s">
        <v>10</v>
      </c>
      <c r="X176" s="37" t="s">
        <v>7</v>
      </c>
      <c r="Y176" s="37" t="s">
        <v>114</v>
      </c>
      <c r="Z176" s="37" t="s">
        <v>7</v>
      </c>
      <c r="AA176" s="37" t="s">
        <v>7</v>
      </c>
      <c r="AB176" s="37" t="s">
        <v>7</v>
      </c>
      <c r="AC176" s="37" t="s">
        <v>7</v>
      </c>
      <c r="AD176" s="37" t="s">
        <v>7</v>
      </c>
    </row>
    <row r="177" spans="1:30" x14ac:dyDescent="0.3">
      <c r="A177" s="37">
        <f t="shared" ca="1" si="2"/>
        <v>554</v>
      </c>
      <c r="B177" s="37">
        <f t="shared" ca="1" si="3"/>
        <v>587</v>
      </c>
      <c r="C177" s="37">
        <v>71742</v>
      </c>
      <c r="D177" s="37" t="s">
        <v>324</v>
      </c>
      <c r="E177" s="37" t="s">
        <v>586</v>
      </c>
      <c r="F177" s="37" t="s">
        <v>11</v>
      </c>
      <c r="G177" s="37" t="s">
        <v>48</v>
      </c>
      <c r="H177" s="37" t="s">
        <v>81</v>
      </c>
      <c r="I177" s="37"/>
      <c r="J177" s="38">
        <v>42340.33222222222</v>
      </c>
      <c r="K177" s="37" t="s">
        <v>20</v>
      </c>
      <c r="L177" s="37" t="s">
        <v>48</v>
      </c>
      <c r="M177" s="38">
        <v>42306.021296296298</v>
      </c>
      <c r="N177" s="37" t="s">
        <v>116</v>
      </c>
      <c r="O177" s="37"/>
      <c r="P177" s="37"/>
      <c r="Q177" s="37" t="s">
        <v>6</v>
      </c>
      <c r="R177" s="37" t="s">
        <v>30</v>
      </c>
      <c r="S177" s="37" t="s">
        <v>13</v>
      </c>
      <c r="T177" s="37" t="s">
        <v>587</v>
      </c>
      <c r="U177" s="37"/>
      <c r="V177" s="37" t="s">
        <v>7</v>
      </c>
      <c r="W177" s="37" t="s">
        <v>10</v>
      </c>
      <c r="X177" s="37" t="s">
        <v>7</v>
      </c>
      <c r="Y177" s="37" t="s">
        <v>114</v>
      </c>
      <c r="Z177" s="37" t="s">
        <v>7</v>
      </c>
      <c r="AA177" s="37" t="s">
        <v>7</v>
      </c>
      <c r="AB177" s="37" t="s">
        <v>7</v>
      </c>
      <c r="AC177" s="37" t="s">
        <v>7</v>
      </c>
      <c r="AD177" s="37" t="s">
        <v>7</v>
      </c>
    </row>
    <row r="178" spans="1:30" x14ac:dyDescent="0.3">
      <c r="A178" s="37">
        <f t="shared" ca="1" si="2"/>
        <v>582</v>
      </c>
      <c r="B178" s="37">
        <f t="shared" ca="1" si="3"/>
        <v>587</v>
      </c>
      <c r="C178" s="37">
        <v>71816</v>
      </c>
      <c r="D178" s="37" t="s">
        <v>331</v>
      </c>
      <c r="E178" s="37" t="s">
        <v>588</v>
      </c>
      <c r="F178" s="37" t="s">
        <v>11</v>
      </c>
      <c r="G178" s="37" t="s">
        <v>48</v>
      </c>
      <c r="H178" s="37" t="s">
        <v>81</v>
      </c>
      <c r="I178" s="37"/>
      <c r="J178" s="38">
        <v>42312.316736111112</v>
      </c>
      <c r="K178" s="37" t="s">
        <v>20</v>
      </c>
      <c r="L178" s="37" t="s">
        <v>48</v>
      </c>
      <c r="M178" s="38">
        <v>42306.521134259259</v>
      </c>
      <c r="N178" s="37" t="s">
        <v>5</v>
      </c>
      <c r="O178" s="37"/>
      <c r="P178" s="37"/>
      <c r="Q178" s="37" t="s">
        <v>6</v>
      </c>
      <c r="R178" s="37" t="s">
        <v>30</v>
      </c>
      <c r="S178" s="37" t="s">
        <v>13</v>
      </c>
      <c r="T178" s="37" t="s">
        <v>19</v>
      </c>
      <c r="U178" s="37"/>
      <c r="V178" s="37" t="s">
        <v>7</v>
      </c>
      <c r="W178" s="37" t="s">
        <v>10</v>
      </c>
      <c r="X178" s="37" t="s">
        <v>7</v>
      </c>
      <c r="Y178" s="37" t="s">
        <v>114</v>
      </c>
      <c r="Z178" s="37" t="s">
        <v>7</v>
      </c>
      <c r="AA178" s="37" t="s">
        <v>7</v>
      </c>
      <c r="AB178" s="37" t="s">
        <v>7</v>
      </c>
      <c r="AC178" s="37" t="s">
        <v>7</v>
      </c>
      <c r="AD178" s="37" t="s">
        <v>7</v>
      </c>
    </row>
    <row r="179" spans="1:30" x14ac:dyDescent="0.3">
      <c r="A179" s="37">
        <f t="shared" ca="1" si="2"/>
        <v>583</v>
      </c>
      <c r="B179" s="37">
        <f t="shared" ca="1" si="3"/>
        <v>586</v>
      </c>
      <c r="C179" s="37">
        <v>71840</v>
      </c>
      <c r="D179" s="37" t="s">
        <v>332</v>
      </c>
      <c r="E179" s="37" t="s">
        <v>589</v>
      </c>
      <c r="F179" s="37" t="s">
        <v>11</v>
      </c>
      <c r="G179" s="37" t="s">
        <v>48</v>
      </c>
      <c r="H179" s="37" t="s">
        <v>81</v>
      </c>
      <c r="I179" s="37"/>
      <c r="J179" s="38">
        <v>42311.371898148151</v>
      </c>
      <c r="K179" s="37" t="s">
        <v>20</v>
      </c>
      <c r="L179" s="37" t="s">
        <v>48</v>
      </c>
      <c r="M179" s="38">
        <v>42307.021238425928</v>
      </c>
      <c r="N179" s="37" t="s">
        <v>5</v>
      </c>
      <c r="O179" s="37"/>
      <c r="P179" s="37"/>
      <c r="Q179" s="37" t="s">
        <v>6</v>
      </c>
      <c r="R179" s="37" t="s">
        <v>30</v>
      </c>
      <c r="S179" s="37" t="s">
        <v>24</v>
      </c>
      <c r="T179" s="37" t="s">
        <v>47</v>
      </c>
      <c r="U179" s="37"/>
      <c r="V179" s="37" t="s">
        <v>7</v>
      </c>
      <c r="W179" s="37" t="s">
        <v>10</v>
      </c>
      <c r="X179" s="37" t="s">
        <v>44</v>
      </c>
      <c r="Y179" s="37" t="s">
        <v>114</v>
      </c>
      <c r="Z179" s="37" t="s">
        <v>7</v>
      </c>
      <c r="AA179" s="37" t="s">
        <v>7</v>
      </c>
      <c r="AB179" s="37" t="s">
        <v>7</v>
      </c>
      <c r="AC179" s="37" t="s">
        <v>7</v>
      </c>
      <c r="AD179" s="37" t="s">
        <v>7</v>
      </c>
    </row>
    <row r="180" spans="1:30" x14ac:dyDescent="0.3">
      <c r="A180" s="37">
        <f t="shared" ca="1" si="2"/>
        <v>569</v>
      </c>
      <c r="B180" s="37">
        <f t="shared" ca="1" si="3"/>
        <v>569</v>
      </c>
      <c r="C180" s="37">
        <v>72856</v>
      </c>
      <c r="D180" s="37" t="s">
        <v>332</v>
      </c>
      <c r="E180" s="37" t="s">
        <v>598</v>
      </c>
      <c r="F180" s="37" t="s">
        <v>11</v>
      </c>
      <c r="G180" s="37" t="s">
        <v>48</v>
      </c>
      <c r="H180" s="37" t="s">
        <v>81</v>
      </c>
      <c r="I180" s="37"/>
      <c r="J180" s="38">
        <v>42325.658090277779</v>
      </c>
      <c r="K180" s="37" t="s">
        <v>20</v>
      </c>
      <c r="L180" s="37" t="s">
        <v>569</v>
      </c>
      <c r="M180" s="38">
        <v>42325.522789351853</v>
      </c>
      <c r="N180" s="37" t="s">
        <v>5</v>
      </c>
      <c r="O180" s="37"/>
      <c r="P180" s="37" t="s">
        <v>53</v>
      </c>
      <c r="Q180" s="37" t="s">
        <v>6</v>
      </c>
      <c r="R180" s="37" t="s">
        <v>30</v>
      </c>
      <c r="S180" s="37" t="s">
        <v>24</v>
      </c>
      <c r="T180" s="37" t="s">
        <v>46</v>
      </c>
      <c r="U180" s="37"/>
      <c r="V180" s="37" t="s">
        <v>7</v>
      </c>
      <c r="W180" s="37" t="s">
        <v>10</v>
      </c>
      <c r="X180" s="37" t="s">
        <v>7</v>
      </c>
      <c r="Y180" s="37" t="s">
        <v>114</v>
      </c>
      <c r="Z180" s="37" t="s">
        <v>7</v>
      </c>
      <c r="AA180" s="37" t="s">
        <v>309</v>
      </c>
      <c r="AB180" s="37" t="s">
        <v>7</v>
      </c>
      <c r="AC180" s="37" t="s">
        <v>7</v>
      </c>
      <c r="AD180" s="37" t="s">
        <v>7</v>
      </c>
    </row>
    <row r="181" spans="1:30" x14ac:dyDescent="0.3">
      <c r="A181" s="37">
        <f t="shared" ca="1" si="2"/>
        <v>566</v>
      </c>
      <c r="B181" s="37">
        <f t="shared" ca="1" si="3"/>
        <v>566</v>
      </c>
      <c r="C181" s="37">
        <v>73080</v>
      </c>
      <c r="D181" s="37" t="s">
        <v>376</v>
      </c>
      <c r="E181" s="37" t="s">
        <v>599</v>
      </c>
      <c r="F181" s="37" t="s">
        <v>146</v>
      </c>
      <c r="G181" s="37" t="s">
        <v>48</v>
      </c>
      <c r="H181" s="37" t="s">
        <v>81</v>
      </c>
      <c r="I181" s="37"/>
      <c r="J181" s="38">
        <v>42328.522164351853</v>
      </c>
      <c r="K181" s="37" t="s">
        <v>20</v>
      </c>
      <c r="L181" s="37" t="s">
        <v>3</v>
      </c>
      <c r="M181" s="38">
        <v>42328.522164351853</v>
      </c>
      <c r="N181" s="37" t="s">
        <v>102</v>
      </c>
      <c r="O181" s="37"/>
      <c r="P181" s="37"/>
      <c r="Q181" s="37" t="s">
        <v>12</v>
      </c>
      <c r="R181" s="37" t="s">
        <v>30</v>
      </c>
      <c r="S181" s="37" t="s">
        <v>13</v>
      </c>
      <c r="T181" s="37" t="s">
        <v>19</v>
      </c>
      <c r="U181" s="37"/>
      <c r="V181" s="37" t="s">
        <v>7</v>
      </c>
      <c r="W181" s="37" t="s">
        <v>10</v>
      </c>
      <c r="X181" s="37" t="s">
        <v>7</v>
      </c>
      <c r="Y181" s="37" t="s">
        <v>114</v>
      </c>
      <c r="Z181" s="37" t="s">
        <v>7</v>
      </c>
      <c r="AA181" s="37" t="s">
        <v>309</v>
      </c>
      <c r="AB181" s="37" t="s">
        <v>7</v>
      </c>
      <c r="AC181" s="37" t="s">
        <v>7</v>
      </c>
      <c r="AD181" s="37" t="s">
        <v>7</v>
      </c>
    </row>
    <row r="182" spans="1:30" x14ac:dyDescent="0.3">
      <c r="A182" s="37">
        <f t="shared" ca="1" si="2"/>
        <v>551</v>
      </c>
      <c r="B182" s="37">
        <f t="shared" ca="1" si="3"/>
        <v>563</v>
      </c>
      <c r="C182" s="37">
        <v>73111</v>
      </c>
      <c r="D182" s="37" t="s">
        <v>332</v>
      </c>
      <c r="E182" s="37" t="s">
        <v>606</v>
      </c>
      <c r="F182" s="37" t="s">
        <v>11</v>
      </c>
      <c r="G182" s="37" t="s">
        <v>48</v>
      </c>
      <c r="H182" s="37" t="s">
        <v>81</v>
      </c>
      <c r="I182" s="37"/>
      <c r="J182" s="38">
        <v>42343.288784722223</v>
      </c>
      <c r="K182" s="37" t="s">
        <v>20</v>
      </c>
      <c r="L182" s="37" t="s">
        <v>48</v>
      </c>
      <c r="M182" s="38">
        <v>42331.021990740737</v>
      </c>
      <c r="N182" s="37" t="s">
        <v>600</v>
      </c>
      <c r="O182" s="37"/>
      <c r="P182" s="37"/>
      <c r="Q182" s="37" t="s">
        <v>6</v>
      </c>
      <c r="R182" s="37" t="s">
        <v>30</v>
      </c>
      <c r="S182" s="37" t="s">
        <v>24</v>
      </c>
      <c r="T182" s="37" t="s">
        <v>47</v>
      </c>
      <c r="U182" s="37"/>
      <c r="V182" s="37" t="s">
        <v>7</v>
      </c>
      <c r="W182" s="37" t="s">
        <v>10</v>
      </c>
      <c r="X182" s="37" t="s">
        <v>7</v>
      </c>
      <c r="Y182" s="37" t="s">
        <v>114</v>
      </c>
      <c r="Z182" s="37" t="s">
        <v>7</v>
      </c>
      <c r="AA182" s="37" t="s">
        <v>7</v>
      </c>
      <c r="AB182" s="37" t="s">
        <v>7</v>
      </c>
      <c r="AC182" s="37" t="s">
        <v>7</v>
      </c>
      <c r="AD182" s="37" t="s">
        <v>7</v>
      </c>
    </row>
    <row r="183" spans="1:30" x14ac:dyDescent="0.3">
      <c r="A183" s="37">
        <f t="shared" ca="1" si="2"/>
        <v>562</v>
      </c>
      <c r="B183" s="37">
        <f t="shared" ca="1" si="3"/>
        <v>562</v>
      </c>
      <c r="C183" s="37">
        <v>73228</v>
      </c>
      <c r="D183" s="37" t="s">
        <v>332</v>
      </c>
      <c r="E183" s="37" t="s">
        <v>607</v>
      </c>
      <c r="F183" s="37" t="s">
        <v>146</v>
      </c>
      <c r="G183" s="37" t="s">
        <v>48</v>
      </c>
      <c r="H183" s="37" t="s">
        <v>81</v>
      </c>
      <c r="I183" s="37"/>
      <c r="J183" s="38">
        <v>42332.559247685182</v>
      </c>
      <c r="K183" s="37" t="s">
        <v>20</v>
      </c>
      <c r="L183" s="37" t="s">
        <v>48</v>
      </c>
      <c r="M183" s="38">
        <v>42332.521585648145</v>
      </c>
      <c r="N183" s="37" t="s">
        <v>50</v>
      </c>
      <c r="O183" s="37"/>
      <c r="P183" s="37"/>
      <c r="Q183" s="37" t="s">
        <v>17</v>
      </c>
      <c r="R183" s="37" t="s">
        <v>30</v>
      </c>
      <c r="S183" s="37" t="s">
        <v>24</v>
      </c>
      <c r="T183" s="37" t="s">
        <v>47</v>
      </c>
      <c r="U183" s="37"/>
      <c r="V183" s="37" t="s">
        <v>7</v>
      </c>
      <c r="W183" s="37" t="s">
        <v>10</v>
      </c>
      <c r="X183" s="37" t="s">
        <v>7</v>
      </c>
      <c r="Y183" s="37" t="s">
        <v>114</v>
      </c>
      <c r="Z183" s="37" t="s">
        <v>7</v>
      </c>
      <c r="AA183" s="37" t="s">
        <v>7</v>
      </c>
      <c r="AB183" s="37" t="s">
        <v>7</v>
      </c>
      <c r="AC183" s="37" t="s">
        <v>7</v>
      </c>
      <c r="AD183" s="37" t="s">
        <v>7</v>
      </c>
    </row>
    <row r="184" spans="1:30" x14ac:dyDescent="0.3">
      <c r="A184" s="37">
        <f t="shared" ca="1" si="2"/>
        <v>555</v>
      </c>
      <c r="B184" s="37">
        <f t="shared" ca="1" si="3"/>
        <v>561</v>
      </c>
      <c r="C184" s="37">
        <v>73297</v>
      </c>
      <c r="D184" s="37" t="s">
        <v>376</v>
      </c>
      <c r="E184" s="37" t="s">
        <v>608</v>
      </c>
      <c r="F184" s="37" t="s">
        <v>146</v>
      </c>
      <c r="G184" s="37" t="s">
        <v>48</v>
      </c>
      <c r="H184" s="37" t="s">
        <v>81</v>
      </c>
      <c r="I184" s="37"/>
      <c r="J184" s="38">
        <v>42339.517962962964</v>
      </c>
      <c r="K184" s="37" t="s">
        <v>20</v>
      </c>
      <c r="L184" s="37" t="s">
        <v>569</v>
      </c>
      <c r="M184" s="38">
        <v>42333.521666666667</v>
      </c>
      <c r="N184" s="37" t="s">
        <v>84</v>
      </c>
      <c r="O184" s="37"/>
      <c r="P184" s="37"/>
      <c r="Q184" s="37" t="s">
        <v>12</v>
      </c>
      <c r="R184" s="37" t="s">
        <v>30</v>
      </c>
      <c r="S184" s="37" t="s">
        <v>8</v>
      </c>
      <c r="T184" s="37" t="s">
        <v>153</v>
      </c>
      <c r="U184" s="37"/>
      <c r="V184" s="37" t="s">
        <v>7</v>
      </c>
      <c r="W184" s="37" t="s">
        <v>10</v>
      </c>
      <c r="X184" s="37" t="s">
        <v>7</v>
      </c>
      <c r="Y184" s="37" t="s">
        <v>114</v>
      </c>
      <c r="Z184" s="37" t="s">
        <v>7</v>
      </c>
      <c r="AA184" s="37" t="s">
        <v>309</v>
      </c>
      <c r="AB184" s="37" t="s">
        <v>7</v>
      </c>
      <c r="AC184" s="37" t="s">
        <v>7</v>
      </c>
      <c r="AD184" s="37" t="s">
        <v>7</v>
      </c>
    </row>
    <row r="185" spans="1:30" x14ac:dyDescent="0.3">
      <c r="A185" s="37">
        <f t="shared" ca="1" si="2"/>
        <v>554</v>
      </c>
      <c r="B185" s="37">
        <f t="shared" ca="1" si="3"/>
        <v>554</v>
      </c>
      <c r="C185" s="37">
        <v>73566</v>
      </c>
      <c r="D185" s="37" t="s">
        <v>376</v>
      </c>
      <c r="E185" s="37" t="s">
        <v>609</v>
      </c>
      <c r="F185" s="37" t="s">
        <v>146</v>
      </c>
      <c r="G185" s="37" t="s">
        <v>48</v>
      </c>
      <c r="H185" s="37" t="s">
        <v>81</v>
      </c>
      <c r="I185" s="37"/>
      <c r="J185" s="38">
        <v>42340.521747685183</v>
      </c>
      <c r="K185" s="37" t="s">
        <v>20</v>
      </c>
      <c r="L185" s="37" t="s">
        <v>569</v>
      </c>
      <c r="M185" s="38">
        <v>42340.521747685183</v>
      </c>
      <c r="N185" s="37" t="s">
        <v>120</v>
      </c>
      <c r="O185" s="37"/>
      <c r="P185" s="37"/>
      <c r="Q185" s="37" t="s">
        <v>17</v>
      </c>
      <c r="R185" s="37" t="s">
        <v>30</v>
      </c>
      <c r="S185" s="37" t="s">
        <v>8</v>
      </c>
      <c r="T185" s="37" t="s">
        <v>479</v>
      </c>
      <c r="U185" s="37"/>
      <c r="V185" s="37" t="s">
        <v>7</v>
      </c>
      <c r="W185" s="37" t="s">
        <v>10</v>
      </c>
      <c r="X185" s="37" t="s">
        <v>7</v>
      </c>
      <c r="Y185" s="37" t="s">
        <v>114</v>
      </c>
      <c r="Z185" s="37" t="s">
        <v>7</v>
      </c>
      <c r="AA185" s="37" t="s">
        <v>309</v>
      </c>
      <c r="AB185" s="37" t="s">
        <v>7</v>
      </c>
      <c r="AC185" s="37" t="s">
        <v>7</v>
      </c>
      <c r="AD185" s="37" t="s">
        <v>7</v>
      </c>
    </row>
    <row r="186" spans="1:30" x14ac:dyDescent="0.3">
      <c r="A186" s="37">
        <f t="shared" ca="1" si="2"/>
        <v>554</v>
      </c>
      <c r="B186" s="37">
        <f t="shared" ca="1" si="3"/>
        <v>554</v>
      </c>
      <c r="C186" s="37">
        <v>73568</v>
      </c>
      <c r="D186" s="37" t="s">
        <v>376</v>
      </c>
      <c r="E186" s="37" t="s">
        <v>610</v>
      </c>
      <c r="F186" s="37" t="s">
        <v>146</v>
      </c>
      <c r="G186" s="37" t="s">
        <v>48</v>
      </c>
      <c r="H186" s="37" t="s">
        <v>81</v>
      </c>
      <c r="I186" s="37"/>
      <c r="J186" s="38">
        <v>42340.522060185183</v>
      </c>
      <c r="K186" s="37" t="s">
        <v>20</v>
      </c>
      <c r="L186" s="37" t="s">
        <v>48</v>
      </c>
      <c r="M186" s="38">
        <v>42340.522060185183</v>
      </c>
      <c r="N186" s="37" t="s">
        <v>50</v>
      </c>
      <c r="O186" s="37"/>
      <c r="P186" s="37"/>
      <c r="Q186" s="37" t="s">
        <v>17</v>
      </c>
      <c r="R186" s="37" t="s">
        <v>30</v>
      </c>
      <c r="S186" s="37" t="s">
        <v>13</v>
      </c>
      <c r="T186" s="37" t="s">
        <v>19</v>
      </c>
      <c r="U186" s="37"/>
      <c r="V186" s="37" t="s">
        <v>7</v>
      </c>
      <c r="W186" s="37" t="s">
        <v>10</v>
      </c>
      <c r="X186" s="37" t="s">
        <v>7</v>
      </c>
      <c r="Y186" s="37" t="s">
        <v>114</v>
      </c>
      <c r="Z186" s="37" t="s">
        <v>7</v>
      </c>
      <c r="AA186" s="37" t="s">
        <v>7</v>
      </c>
      <c r="AB186" s="37" t="s">
        <v>7</v>
      </c>
      <c r="AC186" s="37" t="s">
        <v>7</v>
      </c>
      <c r="AD186" s="37" t="s">
        <v>7</v>
      </c>
    </row>
    <row r="187" spans="1:30" x14ac:dyDescent="0.3">
      <c r="A187" s="37">
        <f t="shared" ca="1" si="2"/>
        <v>554</v>
      </c>
      <c r="B187" s="37">
        <f t="shared" ca="1" si="3"/>
        <v>554</v>
      </c>
      <c r="C187" s="37">
        <v>73570</v>
      </c>
      <c r="D187" s="37" t="s">
        <v>376</v>
      </c>
      <c r="E187" s="37" t="s">
        <v>611</v>
      </c>
      <c r="F187" s="37" t="s">
        <v>146</v>
      </c>
      <c r="G187" s="37" t="s">
        <v>48</v>
      </c>
      <c r="H187" s="37" t="s">
        <v>81</v>
      </c>
      <c r="I187" s="37" t="s">
        <v>612</v>
      </c>
      <c r="J187" s="38">
        <v>42340.522407407407</v>
      </c>
      <c r="K187" s="37" t="s">
        <v>20</v>
      </c>
      <c r="L187" s="37" t="s">
        <v>48</v>
      </c>
      <c r="M187" s="38">
        <v>42340.522407407407</v>
      </c>
      <c r="N187" s="37" t="s">
        <v>84</v>
      </c>
      <c r="O187" s="37"/>
      <c r="P187" s="37"/>
      <c r="Q187" s="37" t="s">
        <v>17</v>
      </c>
      <c r="R187" s="37" t="s">
        <v>30</v>
      </c>
      <c r="S187" s="37" t="s">
        <v>13</v>
      </c>
      <c r="T187" s="37" t="s">
        <v>19</v>
      </c>
      <c r="U187" s="37"/>
      <c r="V187" s="37" t="s">
        <v>7</v>
      </c>
      <c r="W187" s="37" t="s">
        <v>10</v>
      </c>
      <c r="X187" s="37" t="s">
        <v>7</v>
      </c>
      <c r="Y187" s="37" t="s">
        <v>114</v>
      </c>
      <c r="Z187" s="37" t="s">
        <v>7</v>
      </c>
      <c r="AA187" s="37" t="s">
        <v>7</v>
      </c>
      <c r="AB187" s="37" t="s">
        <v>7</v>
      </c>
      <c r="AC187" s="37" t="s">
        <v>7</v>
      </c>
      <c r="AD187" s="37" t="s">
        <v>7</v>
      </c>
    </row>
    <row r="188" spans="1:30" x14ac:dyDescent="0.3">
      <c r="A188" s="37">
        <f t="shared" ca="1" si="2"/>
        <v>549</v>
      </c>
      <c r="B188" s="37">
        <f t="shared" ca="1" si="3"/>
        <v>552</v>
      </c>
      <c r="C188" s="37">
        <v>73705</v>
      </c>
      <c r="D188" s="37" t="s">
        <v>376</v>
      </c>
      <c r="E188" s="37" t="s">
        <v>613</v>
      </c>
      <c r="F188" s="37" t="s">
        <v>11</v>
      </c>
      <c r="G188" s="37" t="s">
        <v>48</v>
      </c>
      <c r="H188" s="37" t="s">
        <v>81</v>
      </c>
      <c r="I188" s="37"/>
      <c r="J188" s="38">
        <v>42345.441168981481</v>
      </c>
      <c r="K188" s="37" t="s">
        <v>20</v>
      </c>
      <c r="L188" s="37" t="s">
        <v>48</v>
      </c>
      <c r="M188" s="38">
        <v>42342.521793981483</v>
      </c>
      <c r="N188" s="37" t="s">
        <v>600</v>
      </c>
      <c r="O188" s="37"/>
      <c r="P188" s="37"/>
      <c r="Q188" s="37" t="s">
        <v>6</v>
      </c>
      <c r="R188" s="37" t="s">
        <v>30</v>
      </c>
      <c r="S188" s="37" t="s">
        <v>13</v>
      </c>
      <c r="T188" s="37" t="s">
        <v>19</v>
      </c>
      <c r="U188" s="37"/>
      <c r="V188" s="37" t="s">
        <v>7</v>
      </c>
      <c r="W188" s="37" t="s">
        <v>10</v>
      </c>
      <c r="X188" s="37" t="s">
        <v>7</v>
      </c>
      <c r="Y188" s="37" t="s">
        <v>114</v>
      </c>
      <c r="Z188" s="37" t="s">
        <v>7</v>
      </c>
      <c r="AA188" s="37" t="s">
        <v>309</v>
      </c>
      <c r="AB188" s="37" t="s">
        <v>7</v>
      </c>
      <c r="AC188" s="37" t="s">
        <v>7</v>
      </c>
      <c r="AD188" s="37" t="s">
        <v>7</v>
      </c>
    </row>
    <row r="189" spans="1:30" x14ac:dyDescent="0.3">
      <c r="A189" s="37">
        <f t="shared" ca="1" si="2"/>
        <v>547</v>
      </c>
      <c r="B189" s="37">
        <f t="shared" ca="1" si="3"/>
        <v>547</v>
      </c>
      <c r="C189" s="37">
        <v>73892</v>
      </c>
      <c r="D189" s="37" t="s">
        <v>332</v>
      </c>
      <c r="E189" s="37" t="s">
        <v>614</v>
      </c>
      <c r="F189" s="37" t="s">
        <v>11</v>
      </c>
      <c r="G189" s="37" t="s">
        <v>48</v>
      </c>
      <c r="H189" s="37" t="s">
        <v>81</v>
      </c>
      <c r="I189" s="37"/>
      <c r="J189" s="38">
        <v>42347.593773148146</v>
      </c>
      <c r="K189" s="37" t="s">
        <v>20</v>
      </c>
      <c r="L189" s="37" t="s">
        <v>48</v>
      </c>
      <c r="M189" s="38">
        <v>42347.022731481484</v>
      </c>
      <c r="N189" s="37" t="s">
        <v>600</v>
      </c>
      <c r="O189" s="37"/>
      <c r="P189" s="37"/>
      <c r="Q189" s="37" t="s">
        <v>6</v>
      </c>
      <c r="R189" s="37" t="s">
        <v>30</v>
      </c>
      <c r="S189" s="37" t="s">
        <v>24</v>
      </c>
      <c r="T189" s="37" t="s">
        <v>46</v>
      </c>
      <c r="U189" s="37"/>
      <c r="V189" s="37" t="s">
        <v>7</v>
      </c>
      <c r="W189" s="37" t="s">
        <v>10</v>
      </c>
      <c r="X189" s="37" t="s">
        <v>7</v>
      </c>
      <c r="Y189" s="37" t="s">
        <v>114</v>
      </c>
      <c r="Z189" s="37" t="s">
        <v>7</v>
      </c>
      <c r="AA189" s="37" t="s">
        <v>7</v>
      </c>
      <c r="AB189" s="37" t="s">
        <v>7</v>
      </c>
      <c r="AC189" s="37" t="s">
        <v>7</v>
      </c>
      <c r="AD189" s="37" t="s">
        <v>7</v>
      </c>
    </row>
    <row r="190" spans="1:30" x14ac:dyDescent="0.3">
      <c r="A190" s="37">
        <f t="shared" ca="1" si="2"/>
        <v>42286</v>
      </c>
      <c r="B190" s="37">
        <f t="shared" ca="1" si="3"/>
        <v>42286</v>
      </c>
      <c r="C190" s="37"/>
      <c r="D190" s="37"/>
      <c r="E190" s="37"/>
      <c r="F190" s="37"/>
      <c r="G190" s="37"/>
      <c r="H190" s="37"/>
      <c r="I190" s="37"/>
      <c r="J190" s="38"/>
      <c r="K190" s="37"/>
      <c r="L190" s="37"/>
      <c r="M190" s="38"/>
      <c r="N190" s="37"/>
      <c r="O190" s="37"/>
      <c r="P190" s="37"/>
      <c r="Q190" s="37"/>
      <c r="R190" s="37"/>
      <c r="S190" s="37"/>
      <c r="T190" s="37"/>
      <c r="U190" s="37"/>
      <c r="V190" s="37"/>
      <c r="W190" s="37"/>
      <c r="X190" s="37"/>
      <c r="Y190" s="37"/>
      <c r="Z190" s="37"/>
      <c r="AA190" s="37"/>
      <c r="AB190" s="37"/>
      <c r="AC190" s="37"/>
      <c r="AD190" s="37"/>
    </row>
    <row r="191" spans="1:30" x14ac:dyDescent="0.3">
      <c r="A191" s="37">
        <f t="shared" ca="1" si="2"/>
        <v>42286</v>
      </c>
      <c r="B191" s="37">
        <f t="shared" ca="1" si="3"/>
        <v>42286</v>
      </c>
      <c r="C191" s="37"/>
      <c r="D191" s="37"/>
      <c r="E191" s="37"/>
      <c r="F191" s="37"/>
      <c r="G191" s="37"/>
      <c r="H191" s="37"/>
      <c r="I191" s="37"/>
      <c r="J191" s="38"/>
      <c r="K191" s="37"/>
      <c r="L191" s="37"/>
      <c r="M191" s="38"/>
      <c r="N191" s="37"/>
      <c r="O191" s="37"/>
      <c r="P191" s="37"/>
      <c r="Q191" s="37"/>
      <c r="R191" s="37"/>
      <c r="S191" s="37"/>
      <c r="T191" s="37"/>
      <c r="U191" s="37"/>
      <c r="V191" s="37"/>
      <c r="W191" s="37"/>
      <c r="X191" s="37"/>
      <c r="Y191" s="37"/>
      <c r="Z191" s="37"/>
      <c r="AA191" s="37"/>
      <c r="AB191" s="37"/>
      <c r="AC191" s="37"/>
      <c r="AD191" s="37"/>
    </row>
    <row r="192" spans="1:30" x14ac:dyDescent="0.3">
      <c r="A192" s="37">
        <f t="shared" ca="1" si="2"/>
        <v>42286</v>
      </c>
      <c r="B192" s="37">
        <f t="shared" ca="1" si="3"/>
        <v>42286</v>
      </c>
      <c r="C192" s="37"/>
      <c r="D192" s="37"/>
      <c r="E192" s="37"/>
      <c r="F192" s="37"/>
      <c r="G192" s="37"/>
      <c r="H192" s="37"/>
      <c r="I192" s="37"/>
      <c r="J192" s="38"/>
      <c r="K192" s="37"/>
      <c r="L192" s="37"/>
      <c r="M192" s="38"/>
      <c r="N192" s="37"/>
      <c r="O192" s="37"/>
      <c r="P192" s="37"/>
      <c r="Q192" s="37"/>
      <c r="R192" s="37"/>
      <c r="S192" s="37"/>
      <c r="T192" s="37"/>
      <c r="U192" s="37"/>
      <c r="V192" s="37"/>
      <c r="W192" s="37"/>
      <c r="X192" s="37"/>
      <c r="Y192" s="37"/>
      <c r="Z192" s="37"/>
      <c r="AA192" s="37"/>
      <c r="AB192" s="37"/>
      <c r="AC192" s="37"/>
      <c r="AD192" s="37"/>
    </row>
    <row r="193" spans="1:30" x14ac:dyDescent="0.3">
      <c r="A193" s="37">
        <f t="shared" ca="1" si="2"/>
        <v>42286</v>
      </c>
      <c r="B193" s="37">
        <f t="shared" ca="1" si="3"/>
        <v>42286</v>
      </c>
      <c r="C193" s="37"/>
      <c r="D193" s="37"/>
      <c r="E193" s="37"/>
      <c r="F193" s="37"/>
      <c r="G193" s="37"/>
      <c r="H193" s="37"/>
      <c r="I193" s="37"/>
      <c r="J193" s="38"/>
      <c r="K193" s="37"/>
      <c r="L193" s="37"/>
      <c r="M193" s="38"/>
      <c r="N193" s="37"/>
      <c r="O193" s="37"/>
      <c r="P193" s="37"/>
      <c r="Q193" s="37"/>
      <c r="R193" s="37"/>
      <c r="S193" s="37"/>
      <c r="T193" s="37"/>
      <c r="U193" s="37"/>
      <c r="V193" s="37"/>
      <c r="W193" s="37"/>
      <c r="X193" s="37"/>
      <c r="Y193" s="37"/>
      <c r="Z193" s="37"/>
      <c r="AA193" s="37"/>
      <c r="AB193" s="37"/>
      <c r="AC193" s="37"/>
      <c r="AD193" s="37"/>
    </row>
    <row r="194" spans="1:30" x14ac:dyDescent="0.3">
      <c r="A194" s="37">
        <f t="shared" ca="1" si="2"/>
        <v>42286</v>
      </c>
      <c r="B194" s="37">
        <f t="shared" ca="1" si="3"/>
        <v>42286</v>
      </c>
      <c r="C194" s="37"/>
      <c r="D194" s="37"/>
      <c r="E194" s="37"/>
      <c r="F194" s="37"/>
      <c r="G194" s="37"/>
      <c r="H194" s="37"/>
      <c r="I194" s="37"/>
      <c r="J194" s="38"/>
      <c r="K194" s="37"/>
      <c r="L194" s="37"/>
      <c r="M194" s="38"/>
      <c r="N194" s="37"/>
      <c r="O194" s="37"/>
      <c r="P194" s="37"/>
      <c r="Q194" s="37"/>
      <c r="R194" s="37"/>
      <c r="S194" s="37"/>
      <c r="T194" s="37"/>
      <c r="U194" s="37"/>
      <c r="V194" s="37"/>
      <c r="W194" s="37"/>
      <c r="X194" s="37"/>
      <c r="Y194" s="37"/>
      <c r="Z194" s="37"/>
      <c r="AA194" s="37"/>
      <c r="AB194" s="37"/>
      <c r="AC194" s="37"/>
      <c r="AD194" s="37"/>
    </row>
    <row r="200" spans="1:30" x14ac:dyDescent="0.3">
      <c r="A200" s="10">
        <f>COUNTA(C18:C190)+(A201-1)</f>
        <v>189</v>
      </c>
      <c r="B200" s="6" t="s">
        <v>123</v>
      </c>
    </row>
    <row r="201" spans="1:30" x14ac:dyDescent="0.3">
      <c r="A201" s="10">
        <v>18</v>
      </c>
      <c r="B201" s="6" t="s">
        <v>124</v>
      </c>
    </row>
    <row r="202" spans="1:30" x14ac:dyDescent="0.3">
      <c r="A202" s="10" t="s">
        <v>125</v>
      </c>
      <c r="B202" s="6" t="s">
        <v>59</v>
      </c>
    </row>
    <row r="203" spans="1:30" x14ac:dyDescent="0.3">
      <c r="A203" s="10" t="s">
        <v>126</v>
      </c>
      <c r="B203" s="6" t="s">
        <v>72</v>
      </c>
    </row>
    <row r="204" spans="1:30" x14ac:dyDescent="0.3">
      <c r="A204" s="10" t="s">
        <v>127</v>
      </c>
      <c r="B204" s="6" t="s">
        <v>65</v>
      </c>
    </row>
    <row r="205" spans="1:30" x14ac:dyDescent="0.3">
      <c r="A205" s="10" t="s">
        <v>128</v>
      </c>
      <c r="B205" s="6" t="s">
        <v>129</v>
      </c>
    </row>
    <row r="206" spans="1:30" x14ac:dyDescent="0.3">
      <c r="A206" s="10" t="s">
        <v>130</v>
      </c>
      <c r="B206" s="6" t="s">
        <v>131</v>
      </c>
    </row>
    <row r="207" spans="1:30" x14ac:dyDescent="0.3">
      <c r="A207" s="10" t="s">
        <v>132</v>
      </c>
      <c r="B207" s="6" t="s">
        <v>133</v>
      </c>
    </row>
    <row r="208" spans="1:30" x14ac:dyDescent="0.3">
      <c r="A208" s="10" t="s">
        <v>134</v>
      </c>
      <c r="B208" s="6" t="s">
        <v>135</v>
      </c>
    </row>
    <row r="209" spans="1:2" x14ac:dyDescent="0.3">
      <c r="A209" s="10" t="s">
        <v>136</v>
      </c>
      <c r="B209" s="6" t="s">
        <v>137</v>
      </c>
    </row>
    <row r="210" spans="1:2" x14ac:dyDescent="0.3">
      <c r="A210" s="10" t="s">
        <v>140</v>
      </c>
      <c r="B210" s="10" t="s">
        <v>141</v>
      </c>
    </row>
    <row r="211" spans="1:2" x14ac:dyDescent="0.3">
      <c r="A211" s="10" t="s">
        <v>142</v>
      </c>
      <c r="B211" s="10" t="s">
        <v>143</v>
      </c>
    </row>
  </sheetData>
  <autoFilter ref="A17:AD195"/>
  <conditionalFormatting sqref="C90:C91">
    <cfRule type="expression" dxfId="51" priority="1">
      <formula>IF(V90="---",IF(Z90="---",1,0),0)</formula>
    </cfRule>
    <cfRule type="expression" dxfId="50" priority="2">
      <formula>IF(FIND("Denied",V90),1,0)</formula>
    </cfRule>
    <cfRule type="expression" dxfId="49" priority="3">
      <formula>IF(FIND("Request",V90),1,0)</formula>
    </cfRule>
    <cfRule type="expression" dxfId="48" priority="4">
      <formula>IF(FIND("Approve",V90),1,0)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E29"/>
  <sheetViews>
    <sheetView workbookViewId="0">
      <selection activeCell="G22" sqref="G22"/>
    </sheetView>
  </sheetViews>
  <sheetFormatPr defaultRowHeight="14.4" x14ac:dyDescent="0.3"/>
  <sheetData>
    <row r="1" spans="2:5" x14ac:dyDescent="0.3">
      <c r="B1" t="s">
        <v>645</v>
      </c>
      <c r="C1" s="37" t="s">
        <v>145</v>
      </c>
      <c r="D1" s="37" t="s">
        <v>57</v>
      </c>
      <c r="E1" s="37" t="s">
        <v>58</v>
      </c>
    </row>
    <row r="2" spans="2:5" x14ac:dyDescent="0.3">
      <c r="B2" t="s">
        <v>195</v>
      </c>
      <c r="C2" s="42">
        <v>53649</v>
      </c>
      <c r="D2" s="37" t="s">
        <v>335</v>
      </c>
      <c r="E2" s="37" t="s">
        <v>350</v>
      </c>
    </row>
    <row r="3" spans="2:5" x14ac:dyDescent="0.3">
      <c r="B3" t="s">
        <v>195</v>
      </c>
      <c r="C3" s="42">
        <v>57076</v>
      </c>
      <c r="D3" s="37" t="s">
        <v>342</v>
      </c>
      <c r="E3" s="37" t="s">
        <v>353</v>
      </c>
    </row>
    <row r="4" spans="2:5" x14ac:dyDescent="0.3">
      <c r="B4" t="s">
        <v>195</v>
      </c>
      <c r="C4" s="42">
        <v>58914</v>
      </c>
      <c r="D4" s="37" t="s">
        <v>382</v>
      </c>
      <c r="E4" s="37" t="s">
        <v>562</v>
      </c>
    </row>
    <row r="5" spans="2:5" x14ac:dyDescent="0.3">
      <c r="B5" t="s">
        <v>195</v>
      </c>
      <c r="C5" s="42">
        <v>61914</v>
      </c>
      <c r="D5" s="37" t="s">
        <v>342</v>
      </c>
      <c r="E5" s="37" t="s">
        <v>377</v>
      </c>
    </row>
    <row r="6" spans="2:5" x14ac:dyDescent="0.3">
      <c r="B6" t="s">
        <v>195</v>
      </c>
      <c r="C6" s="42">
        <v>62225</v>
      </c>
      <c r="D6" s="37" t="s">
        <v>337</v>
      </c>
      <c r="E6" s="37" t="s">
        <v>624</v>
      </c>
    </row>
    <row r="7" spans="2:5" x14ac:dyDescent="0.3">
      <c r="B7" t="s">
        <v>195</v>
      </c>
      <c r="C7" s="42">
        <v>62849</v>
      </c>
      <c r="D7" s="37" t="s">
        <v>338</v>
      </c>
      <c r="E7" s="37" t="s">
        <v>358</v>
      </c>
    </row>
    <row r="8" spans="2:5" x14ac:dyDescent="0.3">
      <c r="B8" t="s">
        <v>195</v>
      </c>
      <c r="C8" s="42">
        <v>64224</v>
      </c>
      <c r="D8" s="37" t="s">
        <v>376</v>
      </c>
      <c r="E8" s="37" t="s">
        <v>360</v>
      </c>
    </row>
    <row r="9" spans="2:5" x14ac:dyDescent="0.3">
      <c r="B9" t="s">
        <v>195</v>
      </c>
      <c r="C9" s="42">
        <v>65355</v>
      </c>
      <c r="D9" s="37" t="s">
        <v>376</v>
      </c>
      <c r="E9" s="37" t="s">
        <v>361</v>
      </c>
    </row>
    <row r="10" spans="2:5" x14ac:dyDescent="0.3">
      <c r="B10" t="s">
        <v>195</v>
      </c>
      <c r="C10" s="42">
        <v>67215</v>
      </c>
      <c r="D10" s="37" t="s">
        <v>376</v>
      </c>
      <c r="E10" s="37" t="s">
        <v>601</v>
      </c>
    </row>
    <row r="11" spans="2:5" x14ac:dyDescent="0.3">
      <c r="B11" t="s">
        <v>195</v>
      </c>
      <c r="C11" s="42">
        <v>71342</v>
      </c>
      <c r="D11" s="37" t="s">
        <v>336</v>
      </c>
      <c r="E11" s="37" t="s">
        <v>579</v>
      </c>
    </row>
    <row r="12" spans="2:5" x14ac:dyDescent="0.3">
      <c r="B12" t="s">
        <v>195</v>
      </c>
      <c r="C12" s="42">
        <v>71879</v>
      </c>
      <c r="D12" s="37" t="s">
        <v>596</v>
      </c>
      <c r="E12" s="37" t="s">
        <v>585</v>
      </c>
    </row>
    <row r="13" spans="2:5" x14ac:dyDescent="0.3">
      <c r="B13" t="s">
        <v>195</v>
      </c>
      <c r="C13" s="42">
        <v>73043</v>
      </c>
      <c r="D13" s="37" t="s">
        <v>339</v>
      </c>
      <c r="E13" s="37" t="s">
        <v>633</v>
      </c>
    </row>
    <row r="14" spans="2:5" x14ac:dyDescent="0.3">
      <c r="B14" t="s">
        <v>195</v>
      </c>
      <c r="C14" s="42">
        <v>73599</v>
      </c>
      <c r="D14" s="37" t="s">
        <v>564</v>
      </c>
      <c r="E14" s="37" t="s">
        <v>602</v>
      </c>
    </row>
    <row r="15" spans="2:5" x14ac:dyDescent="0.3">
      <c r="B15" t="s">
        <v>195</v>
      </c>
      <c r="C15" s="42">
        <v>73964</v>
      </c>
      <c r="D15" s="37" t="s">
        <v>632</v>
      </c>
      <c r="E15" s="37" t="s">
        <v>635</v>
      </c>
    </row>
    <row r="16" spans="2:5" x14ac:dyDescent="0.3">
      <c r="B16" t="s">
        <v>195</v>
      </c>
      <c r="C16" s="42">
        <v>74173</v>
      </c>
      <c r="D16" s="37" t="s">
        <v>376</v>
      </c>
      <c r="E16" s="37" t="s">
        <v>617</v>
      </c>
    </row>
    <row r="17" spans="2:5" x14ac:dyDescent="0.3">
      <c r="B17" t="s">
        <v>195</v>
      </c>
      <c r="C17" s="42">
        <v>74305</v>
      </c>
      <c r="D17" s="37" t="s">
        <v>376</v>
      </c>
      <c r="E17" s="37" t="s">
        <v>618</v>
      </c>
    </row>
    <row r="18" spans="2:5" x14ac:dyDescent="0.3">
      <c r="B18" t="s">
        <v>195</v>
      </c>
      <c r="C18" s="42">
        <v>74748</v>
      </c>
      <c r="D18" s="37" t="s">
        <v>620</v>
      </c>
      <c r="E18" s="37" t="s">
        <v>619</v>
      </c>
    </row>
    <row r="19" spans="2:5" x14ac:dyDescent="0.3">
      <c r="B19" t="s">
        <v>195</v>
      </c>
      <c r="C19" s="42">
        <v>74824</v>
      </c>
      <c r="D19" s="37" t="s">
        <v>376</v>
      </c>
      <c r="E19" s="37" t="s">
        <v>643</v>
      </c>
    </row>
    <row r="20" spans="2:5" x14ac:dyDescent="0.3">
      <c r="B20" t="s">
        <v>195</v>
      </c>
      <c r="C20" s="42">
        <v>74874</v>
      </c>
      <c r="D20" s="37" t="s">
        <v>338</v>
      </c>
      <c r="E20" s="37" t="s">
        <v>625</v>
      </c>
    </row>
    <row r="21" spans="2:5" x14ac:dyDescent="0.3">
      <c r="B21" t="s">
        <v>195</v>
      </c>
      <c r="C21" s="42">
        <v>74894</v>
      </c>
      <c r="D21" s="37" t="s">
        <v>627</v>
      </c>
      <c r="E21" s="37" t="s">
        <v>626</v>
      </c>
    </row>
    <row r="22" spans="2:5" x14ac:dyDescent="0.3">
      <c r="C22" s="42">
        <v>75031</v>
      </c>
      <c r="D22" s="37" t="s">
        <v>337</v>
      </c>
      <c r="E22" s="37" t="s">
        <v>629</v>
      </c>
    </row>
    <row r="23" spans="2:5" x14ac:dyDescent="0.3">
      <c r="B23" t="s">
        <v>195</v>
      </c>
      <c r="C23" s="42">
        <v>75099</v>
      </c>
      <c r="D23" s="37" t="s">
        <v>332</v>
      </c>
      <c r="E23" s="37" t="s">
        <v>631</v>
      </c>
    </row>
    <row r="24" spans="2:5" x14ac:dyDescent="0.3">
      <c r="B24" t="s">
        <v>195</v>
      </c>
      <c r="C24" s="42">
        <v>75307</v>
      </c>
      <c r="D24" s="37" t="s">
        <v>564</v>
      </c>
      <c r="E24" s="37" t="s">
        <v>636</v>
      </c>
    </row>
    <row r="25" spans="2:5" x14ac:dyDescent="0.3">
      <c r="B25" t="s">
        <v>195</v>
      </c>
      <c r="C25" s="42">
        <v>75390</v>
      </c>
      <c r="D25" s="37" t="s">
        <v>337</v>
      </c>
      <c r="E25" s="37" t="s">
        <v>637</v>
      </c>
    </row>
    <row r="26" spans="2:5" x14ac:dyDescent="0.3">
      <c r="B26" t="s">
        <v>195</v>
      </c>
      <c r="C26" s="42">
        <v>75396</v>
      </c>
      <c r="D26" s="37" t="s">
        <v>332</v>
      </c>
      <c r="E26" s="37" t="s">
        <v>639</v>
      </c>
    </row>
    <row r="27" spans="2:5" x14ac:dyDescent="0.3">
      <c r="B27" t="s">
        <v>195</v>
      </c>
      <c r="C27" s="42">
        <v>75420</v>
      </c>
      <c r="D27" s="37" t="s">
        <v>343</v>
      </c>
      <c r="E27" s="37" t="s">
        <v>640</v>
      </c>
    </row>
    <row r="28" spans="2:5" x14ac:dyDescent="0.3">
      <c r="B28" t="s">
        <v>195</v>
      </c>
      <c r="C28" s="42">
        <v>75566</v>
      </c>
      <c r="D28" s="37" t="s">
        <v>343</v>
      </c>
      <c r="E28" s="37" t="s">
        <v>641</v>
      </c>
    </row>
    <row r="29" spans="2:5" x14ac:dyDescent="0.3">
      <c r="B29" t="s">
        <v>195</v>
      </c>
      <c r="C29" s="42">
        <v>75627</v>
      </c>
      <c r="D29" s="37" t="s">
        <v>337</v>
      </c>
      <c r="E29" s="37" t="s">
        <v>644</v>
      </c>
    </row>
  </sheetData>
  <autoFilter ref="B1:B29"/>
  <hyperlinks>
    <hyperlink ref="D5" r:id="rId1" display="matt.dumm@hpe.com"/>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3392AFF2-1F99-43C0-A43A-17E9F995279D}">
            <xm:f>IF(RedZone!V2="---",IF(RedZone!Z2="---",1,0),0)</xm:f>
            <x14:dxf>
              <fill>
                <patternFill>
                  <bgColor rgb="FFFF0000"/>
                </patternFill>
              </fill>
            </x14:dxf>
          </x14:cfRule>
          <x14:cfRule type="expression" priority="2" id="{180007BD-14B4-4CA6-BC37-568B905B8A42}">
            <xm:f>IF(FIND("Denied",RedZone!V2),1,0)</xm:f>
            <x14:dxf>
              <fill>
                <patternFill>
                  <bgColor rgb="FFFFFF00"/>
                </patternFill>
              </fill>
            </x14:dxf>
          </x14:cfRule>
          <x14:cfRule type="expression" priority="3" id="{3247F58C-5281-4E73-87A4-D47B2AF8DF0B}">
            <xm:f>IF(FIND("Request",RedZone!V2),1,0)</xm:f>
            <x14:dxf>
              <fill>
                <patternFill>
                  <bgColor rgb="FF92D050"/>
                </patternFill>
              </fill>
            </x14:dxf>
          </x14:cfRule>
          <x14:cfRule type="expression" priority="4" stopIfTrue="1" id="{D545B482-B978-49A8-8C48-EAE94CACA974}">
            <xm:f>IF(FIND("Director",RedZone!V2,11),1,0)</xm:f>
            <x14:dxf>
              <fill>
                <patternFill>
                  <bgColor rgb="FF66F725"/>
                </patternFill>
              </fill>
            </x14:dxf>
          </x14:cfRule>
          <x14:cfRule type="expression" priority="5" id="{C0153889-4D18-4C23-83ED-6653C5EB30DB}">
            <xm:f>IF(FIND("Approve",RedZone!V2),1,0)</xm:f>
            <x14:dxf>
              <fill>
                <patternFill>
                  <bgColor rgb="FF00B050"/>
                </patternFill>
              </fill>
            </x14:dxf>
          </x14:cfRule>
          <xm:sqref>C2:C29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5"/>
  <sheetViews>
    <sheetView topLeftCell="B1" zoomScale="60" zoomScaleNormal="60" zoomScalePageLayoutView="80" workbookViewId="0">
      <selection activeCell="E43" sqref="E43"/>
    </sheetView>
  </sheetViews>
  <sheetFormatPr defaultRowHeight="14.4" x14ac:dyDescent="0.3"/>
  <cols>
    <col min="1" max="1" width="17.77734375" customWidth="1"/>
    <col min="2" max="2" width="4.109375" customWidth="1"/>
    <col min="3" max="3" width="10.109375" customWidth="1"/>
    <col min="4" max="4" width="26.88671875" customWidth="1"/>
    <col min="5" max="5" width="118.88671875" customWidth="1"/>
    <col min="7" max="7" width="11.6640625" customWidth="1"/>
    <col min="8" max="9" width="8.88671875" customWidth="1"/>
    <col min="10" max="10" width="15.6640625" customWidth="1"/>
    <col min="11" max="12" width="8.88671875" customWidth="1"/>
    <col min="13" max="13" width="15.6640625" customWidth="1"/>
    <col min="14" max="18" width="8.88671875" customWidth="1"/>
    <col min="19" max="19" width="14.77734375" customWidth="1"/>
    <col min="20" max="20" width="20.33203125" customWidth="1"/>
    <col min="21" max="21" width="10.109375" customWidth="1"/>
    <col min="22" max="22" width="23.5546875" customWidth="1"/>
    <col min="23" max="24" width="8.88671875" customWidth="1"/>
    <col min="25" max="25" width="13.6640625" customWidth="1"/>
    <col min="26" max="26" width="23.33203125" customWidth="1"/>
  </cols>
  <sheetData>
    <row r="1" spans="1:14" x14ac:dyDescent="0.3">
      <c r="A1" s="8" t="s">
        <v>111</v>
      </c>
      <c r="B1" s="9">
        <f ca="1">COUNTIF(INDIRECT(A74&amp;A66):INDIRECT(A74&amp;A65),INDIRECT("c"&amp;ROW()))</f>
        <v>23</v>
      </c>
      <c r="C1" s="8" t="s">
        <v>80</v>
      </c>
      <c r="D1" s="8" t="s">
        <v>161</v>
      </c>
      <c r="E1" s="8"/>
    </row>
    <row r="2" spans="1:14" x14ac:dyDescent="0.3">
      <c r="A2" s="8"/>
      <c r="B2" s="8"/>
      <c r="C2" s="8"/>
      <c r="D2" s="8"/>
      <c r="E2" s="8"/>
    </row>
    <row r="3" spans="1:14" ht="42" customHeight="1" x14ac:dyDescent="0.3">
      <c r="A3" s="11" t="s">
        <v>59</v>
      </c>
      <c r="B3" s="8"/>
      <c r="C3" s="8"/>
      <c r="D3" s="25" t="s">
        <v>177</v>
      </c>
      <c r="E3" s="8"/>
    </row>
    <row r="4" spans="1:14" x14ac:dyDescent="0.3">
      <c r="A4" s="8" t="s">
        <v>104</v>
      </c>
      <c r="B4" s="8">
        <f ca="1">COUNTIF(INDIRECT(A67&amp;A66):INDIRECT(A67&amp;A65),INDIRECT("a"&amp;ROW()))</f>
        <v>0</v>
      </c>
      <c r="C4" s="8"/>
      <c r="D4" s="12" t="s">
        <v>107</v>
      </c>
      <c r="E4" s="13">
        <f ca="1">COUNTIFS(INDIRECT(A70&amp;A66):INDIRECT(A70&amp;A65),"---",INDIRECT(A73&amp;A66):INDIRECT(A73&amp;A65),"---")</f>
        <v>0</v>
      </c>
    </row>
    <row r="5" spans="1:14" x14ac:dyDescent="0.3">
      <c r="A5" s="8" t="s">
        <v>105</v>
      </c>
      <c r="B5" s="8">
        <f ca="1">COUNTIF(INDIRECT(A67&amp;A66):INDIRECT(A67&amp;A65),INDIRECT("a"&amp;ROW()))</f>
        <v>14</v>
      </c>
      <c r="C5" s="8"/>
      <c r="D5" s="14" t="s">
        <v>49</v>
      </c>
      <c r="E5" s="13">
        <f ca="1">COUNTIFS(INDIRECT(A70&amp;A66):INDIRECT(A70&amp;A65),INDIRECT("d"&amp;ROW()),INDIRECT(A73&amp;A66):INDIRECT(A73&amp;A65),"---")</f>
        <v>3</v>
      </c>
    </row>
    <row r="6" spans="1:14" s="37" customFormat="1" x14ac:dyDescent="0.3">
      <c r="A6" s="8" t="s">
        <v>106</v>
      </c>
      <c r="B6" s="8">
        <f ca="1">COUNTIF(INDIRECT(A67&amp;A66):INDIRECT(A67&amp;A65),INDIRECT("a"&amp;ROW()))</f>
        <v>9</v>
      </c>
      <c r="C6" s="8"/>
      <c r="D6" s="41" t="s">
        <v>302</v>
      </c>
      <c r="E6" s="13">
        <f ca="1">COUNTIFS(INDIRECT(A70&amp;A66):INDIRECT(A70&amp;A65),INDIRECT("d"&amp;ROW()),INDIRECT(A73&amp;A66):INDIRECT(A73&amp;A65),"---")</f>
        <v>2</v>
      </c>
    </row>
    <row r="7" spans="1:14" x14ac:dyDescent="0.3">
      <c r="C7" s="8"/>
      <c r="D7" s="15" t="s">
        <v>9</v>
      </c>
      <c r="E7" s="13">
        <f ca="1">COUNTIFS(INDIRECT(A70&amp;A66):INDIRECT(A70&amp;A65),INDIRECT("d"&amp;ROW()),INDIRECT(A73&amp;A66):INDIRECT(A73&amp;A65),"---")</f>
        <v>18</v>
      </c>
    </row>
    <row r="8" spans="1:14" x14ac:dyDescent="0.3">
      <c r="A8" s="11" t="s">
        <v>109</v>
      </c>
      <c r="B8" s="16">
        <f ca="1">COUNTIF(INDIRECT(A71&amp;A66):INDIRECT(A71&amp;A65),"&lt;2")</f>
        <v>0</v>
      </c>
      <c r="C8" s="8"/>
      <c r="D8" s="17" t="s">
        <v>55</v>
      </c>
      <c r="E8" s="13">
        <f ca="1">COUNTIFS(INDIRECT(A70&amp;A66):INDIRECT(A70&amp;A65),INDIRECT("d"&amp;ROW()),INDIRECT(A73&amp;A66):INDIRECT(A73&amp;A65),"---")</f>
        <v>0</v>
      </c>
    </row>
    <row r="9" spans="1:14" x14ac:dyDescent="0.3">
      <c r="A9" s="8" t="s">
        <v>110</v>
      </c>
      <c r="B9" s="8">
        <f ca="1">COUNTIF(INDIRECT(A72&amp;A66):INDIRECT(A72&amp;A65),"&gt;3")</f>
        <v>38</v>
      </c>
      <c r="C9" s="8"/>
      <c r="D9" s="11" t="s">
        <v>108</v>
      </c>
      <c r="E9" s="18">
        <f ca="1">COUNTIF(INDIRECT(A73&amp;A66):INDIRECT(A73&amp;A65),"Astra*")</f>
        <v>0</v>
      </c>
    </row>
    <row r="10" spans="1:14" x14ac:dyDescent="0.3">
      <c r="A10" s="8"/>
      <c r="B10" s="8"/>
      <c r="C10" s="8"/>
      <c r="D10" s="8"/>
      <c r="E10" s="8">
        <f ca="1">SUM(E4:E9)</f>
        <v>23</v>
      </c>
    </row>
    <row r="11" spans="1:14" x14ac:dyDescent="0.3">
      <c r="A11" s="11" t="s">
        <v>112</v>
      </c>
      <c r="B11" s="8"/>
      <c r="C11" s="8"/>
      <c r="D11" s="11" t="s">
        <v>73</v>
      </c>
      <c r="E11" s="8"/>
    </row>
    <row r="12" spans="1:14" x14ac:dyDescent="0.3">
      <c r="A12" s="8" t="s">
        <v>80</v>
      </c>
      <c r="B12" s="8">
        <f ca="1">COUNTIF(INDIRECT(A69&amp;A66):INDIRECT(A69&amp;A65),INDIRECT("a"&amp;ROW()))</f>
        <v>8</v>
      </c>
      <c r="C12" s="8"/>
      <c r="D12" s="8" t="s">
        <v>13</v>
      </c>
      <c r="E12" s="13">
        <f ca="1">COUNTIF(INDIRECT(A68&amp;A66):INDIRECT(A68&amp;A65),INDIRECT("d"&amp;ROW()))</f>
        <v>14</v>
      </c>
    </row>
    <row r="13" spans="1:14" x14ac:dyDescent="0.3">
      <c r="A13" s="8" t="s">
        <v>83</v>
      </c>
      <c r="B13" s="8">
        <f ca="1">COUNTIF(INDIRECT(A69&amp;A66):INDIRECT(A69&amp;A65),INDIRECT("a"&amp;ROW()))</f>
        <v>4</v>
      </c>
      <c r="C13" s="8"/>
      <c r="D13" s="8" t="s">
        <v>8</v>
      </c>
      <c r="E13" s="13">
        <f ca="1">COUNTIF(INDIRECT(A68&amp;A66):INDIRECT(A68&amp;A65),INDIRECT("d"&amp;ROW()))</f>
        <v>6</v>
      </c>
    </row>
    <row r="14" spans="1:14" x14ac:dyDescent="0.3">
      <c r="A14" s="8" t="s">
        <v>3</v>
      </c>
      <c r="B14" s="8">
        <f ca="1">COUNTIF(INDIRECT(A69&amp;A66):INDIRECT(A69&amp;A65),INDIRECT("a"&amp;ROW()))</f>
        <v>10</v>
      </c>
      <c r="C14" s="8"/>
      <c r="D14" s="8" t="s">
        <v>24</v>
      </c>
      <c r="E14" s="13">
        <f ca="1">COUNTIF(INDIRECT(A68&amp;A66):INDIRECT(A68&amp;A65),INDIRECT("d"&amp;ROW()))</f>
        <v>3</v>
      </c>
    </row>
    <row r="15" spans="1:14" x14ac:dyDescent="0.3">
      <c r="A15" s="8" t="s">
        <v>113</v>
      </c>
      <c r="B15" s="8">
        <f ca="1">COUNTIF(INDIRECT(A69&amp;A66):INDIRECT(A69&amp;A65),"6*")+COUNTIF(INDIRECT(A69&amp;A66):INDIRECT(A69&amp;A65),"Halo")+COUNTIF(INDIRECT(A69&amp;A66):INDIRECT(A69&amp;A65),"Store*")+COUNTIF(INDIRECT(A69&amp;A66):INDIRECT(A69&amp;A65),"3*")</f>
        <v>1</v>
      </c>
      <c r="C15" s="8"/>
      <c r="D15" s="8"/>
      <c r="E15" s="8"/>
      <c r="N15" s="19" t="s">
        <v>314</v>
      </c>
    </row>
    <row r="16" spans="1:14" x14ac:dyDescent="0.3">
      <c r="A16" s="24" t="s">
        <v>48</v>
      </c>
      <c r="B16" s="8">
        <f ca="1">COUNTIF(INDIRECT(A69&amp;A66):INDIRECT(A69&amp;A65),INDIRECT("a"&amp;ROW()))</f>
        <v>0</v>
      </c>
      <c r="C16" s="8"/>
      <c r="D16" s="8"/>
      <c r="E16" s="8">
        <f ca="1">SUM(B12:B16)</f>
        <v>23</v>
      </c>
    </row>
    <row r="17" spans="1:29" x14ac:dyDescent="0.3">
      <c r="A17" s="5" t="s">
        <v>0</v>
      </c>
      <c r="B17" s="5" t="s">
        <v>1</v>
      </c>
      <c r="C17" s="37" t="s">
        <v>145</v>
      </c>
      <c r="D17" s="37" t="s">
        <v>57</v>
      </c>
      <c r="E17" s="37" t="s">
        <v>58</v>
      </c>
      <c r="F17" s="37" t="s">
        <v>59</v>
      </c>
      <c r="G17" s="37" t="s">
        <v>60</v>
      </c>
      <c r="H17" s="37" t="s">
        <v>61</v>
      </c>
      <c r="I17" s="37" t="s">
        <v>62</v>
      </c>
      <c r="J17" s="37" t="s">
        <v>63</v>
      </c>
      <c r="K17" s="37" t="s">
        <v>64</v>
      </c>
      <c r="L17" s="37" t="s">
        <v>65</v>
      </c>
      <c r="M17" s="37" t="s">
        <v>66</v>
      </c>
      <c r="N17" s="37" t="s">
        <v>67</v>
      </c>
      <c r="O17" s="37" t="s">
        <v>68</v>
      </c>
      <c r="P17" s="37" t="s">
        <v>69</v>
      </c>
      <c r="Q17" s="37" t="s">
        <v>70</v>
      </c>
      <c r="R17" s="37" t="s">
        <v>71</v>
      </c>
      <c r="S17" s="37" t="s">
        <v>72</v>
      </c>
      <c r="T17" s="37" t="s">
        <v>73</v>
      </c>
      <c r="U17" s="37" t="s">
        <v>74</v>
      </c>
      <c r="V17" s="37" t="s">
        <v>75</v>
      </c>
      <c r="W17" s="37" t="s">
        <v>76</v>
      </c>
      <c r="X17" s="37" t="s">
        <v>77</v>
      </c>
      <c r="Y17" s="37" t="s">
        <v>78</v>
      </c>
      <c r="Z17" s="37" t="s">
        <v>79</v>
      </c>
      <c r="AA17" s="37" t="s">
        <v>184</v>
      </c>
      <c r="AB17" s="37" t="s">
        <v>308</v>
      </c>
      <c r="AC17" s="37" t="s">
        <v>307</v>
      </c>
    </row>
    <row r="18" spans="1:29" x14ac:dyDescent="0.3">
      <c r="A18" s="5">
        <f ca="1">DAYS360(INDIRECT(A76&amp;ROW()),TODAY())</f>
        <v>685</v>
      </c>
      <c r="B18" s="5">
        <f ca="1">DAYS360(INDIRECT(A75&amp;ROW()),TODAY())</f>
        <v>781</v>
      </c>
      <c r="C18" s="37">
        <f ca="1">HYPERLINK(CONCATENATE($A$84&amp;INDIRECT("c"&amp;(ROW()+70))),INDIRECT("c"&amp;(ROW()+70)))</f>
        <v>60560</v>
      </c>
      <c r="D18" s="37" t="s">
        <v>342</v>
      </c>
      <c r="E18" s="37" t="s">
        <v>90</v>
      </c>
      <c r="F18" s="37" t="s">
        <v>11</v>
      </c>
      <c r="G18" s="37" t="s">
        <v>80</v>
      </c>
      <c r="H18" s="37" t="s">
        <v>81</v>
      </c>
      <c r="I18" s="37"/>
      <c r="J18" s="38">
        <v>42206.086076388892</v>
      </c>
      <c r="K18" s="37" t="s">
        <v>20</v>
      </c>
      <c r="L18" s="37" t="s">
        <v>83</v>
      </c>
      <c r="M18" s="38">
        <v>42109.74486111111</v>
      </c>
      <c r="N18" s="37" t="s">
        <v>40</v>
      </c>
      <c r="O18" s="37"/>
      <c r="P18" s="37"/>
      <c r="Q18" s="37" t="s">
        <v>17</v>
      </c>
      <c r="R18" s="37" t="s">
        <v>30</v>
      </c>
      <c r="S18" s="37" t="s">
        <v>8</v>
      </c>
      <c r="T18" s="37" t="s">
        <v>27</v>
      </c>
      <c r="U18" s="37"/>
      <c r="V18" s="37" t="s">
        <v>9</v>
      </c>
      <c r="W18" s="37" t="s">
        <v>10</v>
      </c>
      <c r="X18" s="37" t="s">
        <v>7</v>
      </c>
      <c r="Y18" s="37" t="s">
        <v>82</v>
      </c>
      <c r="Z18" s="37" t="s">
        <v>7</v>
      </c>
      <c r="AA18" s="37" t="s">
        <v>193</v>
      </c>
      <c r="AB18" s="37" t="s">
        <v>7</v>
      </c>
      <c r="AC18" s="37" t="s">
        <v>7</v>
      </c>
    </row>
    <row r="19" spans="1:29" x14ac:dyDescent="0.3">
      <c r="A19" s="5">
        <f ca="1">DAYS360(INDIRECT(A76&amp;ROW()),TODAY())</f>
        <v>685</v>
      </c>
      <c r="B19" s="5">
        <f ca="1">DAYS360(INDIRECT(A75&amp;ROW()),TODAY())</f>
        <v>781</v>
      </c>
      <c r="C19" s="37">
        <f t="shared" ref="C19:C40" ca="1" si="0">HYPERLINK(CONCATENATE($A$84&amp;INDIRECT("c"&amp;(ROW()+70))),INDIRECT("c"&amp;(ROW()+70)))</f>
        <v>60565</v>
      </c>
      <c r="D19" s="37" t="s">
        <v>334</v>
      </c>
      <c r="E19" s="37" t="s">
        <v>98</v>
      </c>
      <c r="F19" s="37" t="s">
        <v>11</v>
      </c>
      <c r="G19" s="37" t="s">
        <v>80</v>
      </c>
      <c r="H19" s="37" t="s">
        <v>81</v>
      </c>
      <c r="I19" s="37" t="s">
        <v>100</v>
      </c>
      <c r="J19" s="38">
        <v>42206.087245370371</v>
      </c>
      <c r="K19" s="37" t="s">
        <v>20</v>
      </c>
      <c r="L19" s="37" t="s">
        <v>80</v>
      </c>
      <c r="M19" s="38">
        <v>42109.748171296298</v>
      </c>
      <c r="N19" s="37" t="s">
        <v>5</v>
      </c>
      <c r="O19" s="37"/>
      <c r="P19" s="37"/>
      <c r="Q19" s="37" t="s">
        <v>17</v>
      </c>
      <c r="R19" s="37" t="s">
        <v>30</v>
      </c>
      <c r="S19" s="37" t="s">
        <v>13</v>
      </c>
      <c r="T19" s="37" t="s">
        <v>35</v>
      </c>
      <c r="U19" s="37"/>
      <c r="V19" s="37" t="s">
        <v>9</v>
      </c>
      <c r="W19" s="37" t="s">
        <v>10</v>
      </c>
      <c r="X19" s="37" t="s">
        <v>7</v>
      </c>
      <c r="Y19" s="37" t="s">
        <v>82</v>
      </c>
      <c r="Z19" s="37" t="s">
        <v>7</v>
      </c>
      <c r="AA19" s="37" t="s">
        <v>193</v>
      </c>
      <c r="AB19" s="37" t="s">
        <v>7</v>
      </c>
      <c r="AC19" s="37" t="s">
        <v>7</v>
      </c>
    </row>
    <row r="20" spans="1:29" x14ac:dyDescent="0.3">
      <c r="A20" s="5">
        <f ca="1">DAYS360(INDIRECT(A76&amp;ROW()),TODAY())</f>
        <v>642</v>
      </c>
      <c r="B20" s="5">
        <f ca="1">DAYS360(INDIRECT(A75&amp;ROW()),TODAY())</f>
        <v>774</v>
      </c>
      <c r="C20" s="37">
        <f t="shared" ca="1" si="0"/>
        <v>61076</v>
      </c>
      <c r="D20" s="37" t="s">
        <v>324</v>
      </c>
      <c r="E20" s="37" t="s">
        <v>86</v>
      </c>
      <c r="F20" s="37" t="s">
        <v>2</v>
      </c>
      <c r="G20" s="37" t="s">
        <v>80</v>
      </c>
      <c r="H20" s="37" t="s">
        <v>81</v>
      </c>
      <c r="I20" s="37" t="s">
        <v>87</v>
      </c>
      <c r="J20" s="38">
        <v>42251.445289351854</v>
      </c>
      <c r="K20" s="37" t="s">
        <v>20</v>
      </c>
      <c r="L20" s="37" t="s">
        <v>3</v>
      </c>
      <c r="M20" s="38">
        <v>42116.453148148146</v>
      </c>
      <c r="N20" s="37" t="s">
        <v>5</v>
      </c>
      <c r="O20" s="37"/>
      <c r="P20" s="37"/>
      <c r="Q20" s="37" t="s">
        <v>6</v>
      </c>
      <c r="R20" s="37" t="s">
        <v>7</v>
      </c>
      <c r="S20" s="37" t="s">
        <v>24</v>
      </c>
      <c r="T20" s="37" t="s">
        <v>31</v>
      </c>
      <c r="U20" s="37"/>
      <c r="V20" s="37" t="s">
        <v>9</v>
      </c>
      <c r="W20" s="37" t="s">
        <v>26</v>
      </c>
      <c r="X20" s="37" t="s">
        <v>7</v>
      </c>
      <c r="Y20" s="37" t="s">
        <v>82</v>
      </c>
      <c r="Z20" s="37" t="s">
        <v>7</v>
      </c>
      <c r="AA20" s="37" t="s">
        <v>193</v>
      </c>
      <c r="AB20" s="37" t="s">
        <v>7</v>
      </c>
      <c r="AC20" s="37" t="s">
        <v>7</v>
      </c>
    </row>
    <row r="21" spans="1:29" x14ac:dyDescent="0.3">
      <c r="A21" s="5">
        <f ca="1">DAYS360(INDIRECT(A76&amp;ROW()),TODAY())</f>
        <v>682</v>
      </c>
      <c r="B21" s="5">
        <f ca="1">DAYS360(INDIRECT(A75&amp;ROW()),TODAY())</f>
        <v>774</v>
      </c>
      <c r="C21" s="37">
        <f t="shared" ca="1" si="0"/>
        <v>61077</v>
      </c>
      <c r="D21" s="37" t="s">
        <v>335</v>
      </c>
      <c r="E21" s="37" t="s">
        <v>94</v>
      </c>
      <c r="F21" s="37" t="s">
        <v>2</v>
      </c>
      <c r="G21" s="37" t="s">
        <v>80</v>
      </c>
      <c r="H21" s="37" t="s">
        <v>81</v>
      </c>
      <c r="I21" s="37"/>
      <c r="J21" s="38">
        <v>42209.254918981482</v>
      </c>
      <c r="K21" s="37" t="s">
        <v>20</v>
      </c>
      <c r="L21" s="37" t="s">
        <v>3</v>
      </c>
      <c r="M21" s="38">
        <v>42116.453344907408</v>
      </c>
      <c r="N21" s="37" t="s">
        <v>5</v>
      </c>
      <c r="O21" s="37"/>
      <c r="P21" s="37"/>
      <c r="Q21" s="37" t="s">
        <v>6</v>
      </c>
      <c r="R21" s="37" t="s">
        <v>30</v>
      </c>
      <c r="S21" s="37" t="s">
        <v>24</v>
      </c>
      <c r="T21" s="37" t="s">
        <v>31</v>
      </c>
      <c r="U21" s="37"/>
      <c r="V21" s="37" t="s">
        <v>9</v>
      </c>
      <c r="W21" s="37" t="s">
        <v>10</v>
      </c>
      <c r="X21" s="37" t="s">
        <v>7</v>
      </c>
      <c r="Y21" s="37" t="s">
        <v>82</v>
      </c>
      <c r="Z21" s="37" t="s">
        <v>7</v>
      </c>
      <c r="AA21" s="37" t="s">
        <v>193</v>
      </c>
      <c r="AB21" s="37" t="s">
        <v>7</v>
      </c>
      <c r="AC21" s="37" t="s">
        <v>7</v>
      </c>
    </row>
    <row r="22" spans="1:29" x14ac:dyDescent="0.3">
      <c r="A22" s="5">
        <f ca="1">DAYS360(INDIRECT(A76&amp;ROW()),TODAY())</f>
        <v>685</v>
      </c>
      <c r="B22" s="5">
        <f ca="1">DAYS360(INDIRECT(A75&amp;ROW()),TODAY())</f>
        <v>774</v>
      </c>
      <c r="C22" s="37">
        <f t="shared" ca="1" si="0"/>
        <v>61079</v>
      </c>
      <c r="D22" s="37" t="s">
        <v>342</v>
      </c>
      <c r="E22" s="37" t="s">
        <v>91</v>
      </c>
      <c r="F22" s="37" t="s">
        <v>2</v>
      </c>
      <c r="G22" s="37" t="s">
        <v>80</v>
      </c>
      <c r="H22" s="37" t="s">
        <v>81</v>
      </c>
      <c r="I22" s="37" t="s">
        <v>92</v>
      </c>
      <c r="J22" s="38">
        <v>42206.090729166666</v>
      </c>
      <c r="K22" s="37" t="s">
        <v>20</v>
      </c>
      <c r="L22" s="37" t="s">
        <v>3</v>
      </c>
      <c r="M22" s="38">
        <v>42116.453750000001</v>
      </c>
      <c r="N22" s="37" t="s">
        <v>56</v>
      </c>
      <c r="O22" s="37"/>
      <c r="P22" s="37"/>
      <c r="Q22" s="37" t="s">
        <v>6</v>
      </c>
      <c r="R22" s="37" t="s">
        <v>30</v>
      </c>
      <c r="S22" s="37" t="s">
        <v>8</v>
      </c>
      <c r="T22" s="37" t="s">
        <v>38</v>
      </c>
      <c r="U22" s="37"/>
      <c r="V22" s="37" t="s">
        <v>9</v>
      </c>
      <c r="W22" s="37" t="s">
        <v>10</v>
      </c>
      <c r="X22" s="37" t="s">
        <v>7</v>
      </c>
      <c r="Y22" s="37" t="s">
        <v>82</v>
      </c>
      <c r="Z22" s="37" t="s">
        <v>7</v>
      </c>
      <c r="AA22" s="37" t="s">
        <v>193</v>
      </c>
      <c r="AB22" s="37" t="s">
        <v>7</v>
      </c>
      <c r="AC22" s="37" t="s">
        <v>7</v>
      </c>
    </row>
    <row r="23" spans="1:29" x14ac:dyDescent="0.3">
      <c r="A23" s="5">
        <f ca="1">DAYS360(INDIRECT(A76&amp;ROW()),TODAY())</f>
        <v>685</v>
      </c>
      <c r="B23" s="5">
        <f ca="1">DAYS360(INDIRECT(A75&amp;ROW()),TODAY())</f>
        <v>774</v>
      </c>
      <c r="C23" s="37">
        <f t="shared" ca="1" si="0"/>
        <v>61082</v>
      </c>
      <c r="D23" s="37" t="s">
        <v>324</v>
      </c>
      <c r="E23" s="37" t="s">
        <v>93</v>
      </c>
      <c r="F23" s="37" t="s">
        <v>11</v>
      </c>
      <c r="G23" s="37" t="s">
        <v>80</v>
      </c>
      <c r="H23" s="37" t="s">
        <v>81</v>
      </c>
      <c r="I23" s="37" t="s">
        <v>87</v>
      </c>
      <c r="J23" s="38">
        <v>42206.084224537037</v>
      </c>
      <c r="K23" s="37" t="s">
        <v>20</v>
      </c>
      <c r="L23" s="37" t="s">
        <v>3</v>
      </c>
      <c r="M23" s="38">
        <v>42116.454432870371</v>
      </c>
      <c r="N23" s="37" t="s">
        <v>5</v>
      </c>
      <c r="O23" s="37"/>
      <c r="P23" s="37"/>
      <c r="Q23" s="37" t="s">
        <v>17</v>
      </c>
      <c r="R23" s="37" t="s">
        <v>7</v>
      </c>
      <c r="S23" s="37" t="s">
        <v>24</v>
      </c>
      <c r="T23" s="37" t="s">
        <v>47</v>
      </c>
      <c r="U23" s="37"/>
      <c r="V23" s="37" t="s">
        <v>9</v>
      </c>
      <c r="W23" s="37" t="s">
        <v>10</v>
      </c>
      <c r="X23" s="37" t="s">
        <v>44</v>
      </c>
      <c r="Y23" s="37" t="s">
        <v>82</v>
      </c>
      <c r="Z23" s="37" t="s">
        <v>7</v>
      </c>
      <c r="AA23" s="37" t="s">
        <v>193</v>
      </c>
      <c r="AB23" s="37" t="s">
        <v>7</v>
      </c>
      <c r="AC23" s="37" t="s">
        <v>7</v>
      </c>
    </row>
    <row r="24" spans="1:29" x14ac:dyDescent="0.3">
      <c r="A24" s="5">
        <f ca="1">DAYS360(INDIRECT(A76&amp;ROW()),TODAY())</f>
        <v>685</v>
      </c>
      <c r="B24" s="5">
        <f ca="1">DAYS360(INDIRECT(A75&amp;ROW()),TODAY())</f>
        <v>774</v>
      </c>
      <c r="C24" s="37">
        <f t="shared" ca="1" si="0"/>
        <v>61083</v>
      </c>
      <c r="D24" s="37" t="s">
        <v>336</v>
      </c>
      <c r="E24" s="37" t="s">
        <v>97</v>
      </c>
      <c r="F24" s="37" t="s">
        <v>2</v>
      </c>
      <c r="G24" s="37" t="s">
        <v>80</v>
      </c>
      <c r="H24" s="37" t="s">
        <v>81</v>
      </c>
      <c r="I24" s="37" t="s">
        <v>87</v>
      </c>
      <c r="J24" s="38">
        <v>42206.082384259258</v>
      </c>
      <c r="K24" s="37" t="s">
        <v>20</v>
      </c>
      <c r="L24" s="37" t="s">
        <v>3</v>
      </c>
      <c r="M24" s="38">
        <v>42116.454814814817</v>
      </c>
      <c r="N24" s="37" t="s">
        <v>40</v>
      </c>
      <c r="O24" s="37"/>
      <c r="P24" s="37"/>
      <c r="Q24" s="37" t="s">
        <v>6</v>
      </c>
      <c r="R24" s="37" t="s">
        <v>30</v>
      </c>
      <c r="S24" s="37" t="s">
        <v>13</v>
      </c>
      <c r="T24" s="37" t="s">
        <v>19</v>
      </c>
      <c r="U24" s="37"/>
      <c r="V24" s="37" t="s">
        <v>9</v>
      </c>
      <c r="W24" s="37" t="s">
        <v>10</v>
      </c>
      <c r="X24" s="37" t="s">
        <v>7</v>
      </c>
      <c r="Y24" s="37" t="s">
        <v>82</v>
      </c>
      <c r="Z24" s="37" t="s">
        <v>7</v>
      </c>
      <c r="AA24" s="37" t="s">
        <v>193</v>
      </c>
      <c r="AB24" s="37" t="s">
        <v>7</v>
      </c>
      <c r="AC24" s="37" t="s">
        <v>7</v>
      </c>
    </row>
    <row r="25" spans="1:29" x14ac:dyDescent="0.3">
      <c r="A25" s="5">
        <f ca="1">DAYS360(INDIRECT(A76&amp;ROW()),TODAY())</f>
        <v>685</v>
      </c>
      <c r="B25" s="5">
        <f ca="1">DAYS360(INDIRECT(A75&amp;ROW()),TODAY())</f>
        <v>772</v>
      </c>
      <c r="C25" s="37">
        <f t="shared" ca="1" si="0"/>
        <v>61246</v>
      </c>
      <c r="D25" s="37" t="s">
        <v>331</v>
      </c>
      <c r="E25" s="37" t="s">
        <v>95</v>
      </c>
      <c r="F25" s="37" t="s">
        <v>2</v>
      </c>
      <c r="G25" s="37" t="s">
        <v>80</v>
      </c>
      <c r="H25" s="37" t="s">
        <v>81</v>
      </c>
      <c r="I25" s="37"/>
      <c r="J25" s="38">
        <v>42206.092870370368</v>
      </c>
      <c r="K25" s="37" t="s">
        <v>20</v>
      </c>
      <c r="L25" s="37" t="s">
        <v>3</v>
      </c>
      <c r="M25" s="38">
        <v>42118.339432870373</v>
      </c>
      <c r="N25" s="37" t="s">
        <v>5</v>
      </c>
      <c r="O25" s="37"/>
      <c r="P25" s="37"/>
      <c r="Q25" s="37" t="s">
        <v>6</v>
      </c>
      <c r="R25" s="37" t="s">
        <v>30</v>
      </c>
      <c r="S25" s="37" t="s">
        <v>13</v>
      </c>
      <c r="T25" s="37" t="s">
        <v>19</v>
      </c>
      <c r="U25" s="37"/>
      <c r="V25" s="37" t="s">
        <v>9</v>
      </c>
      <c r="W25" s="37" t="s">
        <v>26</v>
      </c>
      <c r="X25" s="37" t="s">
        <v>7</v>
      </c>
      <c r="Y25" s="37" t="s">
        <v>82</v>
      </c>
      <c r="Z25" s="37" t="s">
        <v>7</v>
      </c>
      <c r="AA25" s="37" t="s">
        <v>193</v>
      </c>
      <c r="AB25" s="37" t="s">
        <v>7</v>
      </c>
      <c r="AC25" s="37" t="s">
        <v>7</v>
      </c>
    </row>
    <row r="26" spans="1:29" x14ac:dyDescent="0.3">
      <c r="A26" s="5">
        <f ca="1">DAYS360(INDIRECT(A76&amp;ROW()),TODAY())</f>
        <v>650</v>
      </c>
      <c r="B26" s="5">
        <f ca="1">DAYS360(INDIRECT(A75&amp;ROW()),TODAY())</f>
        <v>772</v>
      </c>
      <c r="C26" s="37">
        <f t="shared" ca="1" si="0"/>
        <v>61250</v>
      </c>
      <c r="D26" s="37" t="s">
        <v>39</v>
      </c>
      <c r="E26" s="37" t="s">
        <v>311</v>
      </c>
      <c r="F26" s="37" t="s">
        <v>11</v>
      </c>
      <c r="G26" s="37" t="s">
        <v>80</v>
      </c>
      <c r="H26" s="37" t="s">
        <v>81</v>
      </c>
      <c r="I26" s="37"/>
      <c r="J26" s="38">
        <v>42242.495787037034</v>
      </c>
      <c r="K26" s="37" t="s">
        <v>159</v>
      </c>
      <c r="L26" s="37" t="s">
        <v>3</v>
      </c>
      <c r="M26" s="38">
        <v>42118.340543981481</v>
      </c>
      <c r="N26" s="37" t="s">
        <v>22</v>
      </c>
      <c r="O26" s="37"/>
      <c r="P26" s="37"/>
      <c r="Q26" s="37" t="s">
        <v>17</v>
      </c>
      <c r="R26" s="37" t="s">
        <v>30</v>
      </c>
      <c r="S26" s="37" t="s">
        <v>13</v>
      </c>
      <c r="T26" s="37" t="s">
        <v>19</v>
      </c>
      <c r="U26" s="37"/>
      <c r="V26" s="37" t="s">
        <v>9</v>
      </c>
      <c r="W26" s="37" t="s">
        <v>26</v>
      </c>
      <c r="X26" s="37" t="s">
        <v>44</v>
      </c>
      <c r="Y26" s="37" t="s">
        <v>82</v>
      </c>
      <c r="Z26" s="37" t="s">
        <v>7</v>
      </c>
      <c r="AA26" s="37" t="s">
        <v>193</v>
      </c>
      <c r="AB26" s="37" t="s">
        <v>7</v>
      </c>
      <c r="AC26" s="37" t="s">
        <v>7</v>
      </c>
    </row>
    <row r="27" spans="1:29" x14ac:dyDescent="0.3">
      <c r="A27" s="5">
        <f ca="1">DAYS360(INDIRECT(A76&amp;ROW()),TODAY())</f>
        <v>685</v>
      </c>
      <c r="B27" s="5">
        <f ca="1">DAYS360(INDIRECT(A75&amp;ROW()),TODAY())</f>
        <v>760</v>
      </c>
      <c r="C27" s="37">
        <f t="shared" ca="1" si="0"/>
        <v>61913</v>
      </c>
      <c r="D27" s="37" t="s">
        <v>342</v>
      </c>
      <c r="E27" s="37" t="s">
        <v>162</v>
      </c>
      <c r="F27" s="37" t="s">
        <v>2</v>
      </c>
      <c r="G27" s="37" t="s">
        <v>80</v>
      </c>
      <c r="H27" s="37" t="s">
        <v>81</v>
      </c>
      <c r="I27" s="37"/>
      <c r="J27" s="38">
        <v>42206.114432870374</v>
      </c>
      <c r="K27" s="37" t="s">
        <v>159</v>
      </c>
      <c r="L27" s="37" t="s">
        <v>3</v>
      </c>
      <c r="M27" s="38">
        <v>42130.516365740739</v>
      </c>
      <c r="N27" s="37" t="s">
        <v>40</v>
      </c>
      <c r="O27" s="37"/>
      <c r="P27" s="37"/>
      <c r="Q27" s="37" t="s">
        <v>6</v>
      </c>
      <c r="R27" s="37" t="s">
        <v>30</v>
      </c>
      <c r="S27" s="37" t="s">
        <v>8</v>
      </c>
      <c r="T27" s="37" t="s">
        <v>27</v>
      </c>
      <c r="U27" s="37"/>
      <c r="V27" s="37" t="s">
        <v>9</v>
      </c>
      <c r="W27" s="37" t="s">
        <v>10</v>
      </c>
      <c r="X27" s="37" t="s">
        <v>44</v>
      </c>
      <c r="Y27" s="37" t="s">
        <v>82</v>
      </c>
      <c r="Z27" s="37" t="s">
        <v>7</v>
      </c>
      <c r="AA27" s="37" t="s">
        <v>193</v>
      </c>
      <c r="AB27" s="37" t="s">
        <v>7</v>
      </c>
      <c r="AC27" s="37" t="s">
        <v>7</v>
      </c>
    </row>
    <row r="28" spans="1:29" x14ac:dyDescent="0.3">
      <c r="A28" s="5">
        <f ca="1">DAYS360(INDIRECT(A76&amp;ROW()),TODAY())</f>
        <v>666</v>
      </c>
      <c r="B28" s="5">
        <f ca="1">DAYS360(INDIRECT(A75&amp;ROW()),TODAY())</f>
        <v>754</v>
      </c>
      <c r="C28" s="37">
        <f t="shared" ca="1" si="0"/>
        <v>62224</v>
      </c>
      <c r="D28" s="37" t="s">
        <v>337</v>
      </c>
      <c r="E28" s="37" t="s">
        <v>172</v>
      </c>
      <c r="F28" s="37" t="s">
        <v>2</v>
      </c>
      <c r="G28" s="37" t="s">
        <v>80</v>
      </c>
      <c r="H28" s="37" t="s">
        <v>316</v>
      </c>
      <c r="I28" s="37" t="s">
        <v>101</v>
      </c>
      <c r="J28" s="38">
        <v>42226.729687500003</v>
      </c>
      <c r="K28" s="37" t="s">
        <v>4</v>
      </c>
      <c r="L28" s="37" t="s">
        <v>80</v>
      </c>
      <c r="M28" s="38">
        <v>42136.329282407409</v>
      </c>
      <c r="N28" s="37" t="s">
        <v>22</v>
      </c>
      <c r="O28" s="37" t="s">
        <v>29</v>
      </c>
      <c r="P28" s="37"/>
      <c r="Q28" s="37" t="s">
        <v>17</v>
      </c>
      <c r="R28" s="37" t="s">
        <v>30</v>
      </c>
      <c r="S28" s="37" t="s">
        <v>8</v>
      </c>
      <c r="T28" s="37" t="s">
        <v>153</v>
      </c>
      <c r="U28" s="37"/>
      <c r="V28" s="37" t="s">
        <v>302</v>
      </c>
      <c r="W28" s="37" t="s">
        <v>10</v>
      </c>
      <c r="X28" s="37" t="s">
        <v>306</v>
      </c>
      <c r="Y28" s="37" t="s">
        <v>82</v>
      </c>
      <c r="Z28" s="37" t="s">
        <v>7</v>
      </c>
      <c r="AA28" s="37" t="s">
        <v>193</v>
      </c>
      <c r="AB28" s="37" t="s">
        <v>7</v>
      </c>
      <c r="AC28" s="37" t="s">
        <v>7</v>
      </c>
    </row>
    <row r="29" spans="1:29" x14ac:dyDescent="0.3">
      <c r="A29" s="5">
        <f ca="1">DAYS360(INDIRECT(A76&amp;ROW()),TODAY())</f>
        <v>682</v>
      </c>
      <c r="B29" s="5">
        <f ca="1">DAYS360(INDIRECT(A75&amp;ROW()),TODAY())</f>
        <v>744</v>
      </c>
      <c r="C29" s="37">
        <f t="shared" ca="1" si="0"/>
        <v>62848</v>
      </c>
      <c r="D29" s="37" t="s">
        <v>338</v>
      </c>
      <c r="E29" s="37" t="s">
        <v>214</v>
      </c>
      <c r="F29" s="37" t="s">
        <v>11</v>
      </c>
      <c r="G29" s="37" t="s">
        <v>80</v>
      </c>
      <c r="H29" s="37" t="s">
        <v>81</v>
      </c>
      <c r="I29" s="37"/>
      <c r="J29" s="38">
        <v>42209.253379629627</v>
      </c>
      <c r="K29" s="37" t="s">
        <v>159</v>
      </c>
      <c r="L29" s="37" t="s">
        <v>80</v>
      </c>
      <c r="M29" s="38">
        <v>42146.516724537039</v>
      </c>
      <c r="N29" s="37" t="s">
        <v>215</v>
      </c>
      <c r="O29" s="37"/>
      <c r="P29" s="37"/>
      <c r="Q29" s="37" t="s">
        <v>12</v>
      </c>
      <c r="R29" s="37" t="s">
        <v>30</v>
      </c>
      <c r="S29" s="37" t="s">
        <v>8</v>
      </c>
      <c r="T29" s="37" t="s">
        <v>216</v>
      </c>
      <c r="U29" s="37"/>
      <c r="V29" s="37" t="s">
        <v>9</v>
      </c>
      <c r="W29" s="37" t="s">
        <v>10</v>
      </c>
      <c r="X29" s="37" t="s">
        <v>44</v>
      </c>
      <c r="Y29" s="37" t="s">
        <v>82</v>
      </c>
      <c r="Z29" s="37" t="s">
        <v>7</v>
      </c>
      <c r="AA29" s="37" t="s">
        <v>193</v>
      </c>
      <c r="AB29" s="37" t="s">
        <v>7</v>
      </c>
      <c r="AC29" s="37" t="s">
        <v>7</v>
      </c>
    </row>
    <row r="30" spans="1:29" x14ac:dyDescent="0.3">
      <c r="A30" s="5">
        <f ca="1">DAYS360(INDIRECT(A76&amp;ROW()),TODAY())</f>
        <v>685</v>
      </c>
      <c r="B30" s="5">
        <f ca="1">DAYS360(INDIRECT(A75&amp;ROW()),TODAY())</f>
        <v>735</v>
      </c>
      <c r="C30" s="37">
        <f t="shared" ca="1" si="0"/>
        <v>63248</v>
      </c>
      <c r="D30" s="37" t="s">
        <v>336</v>
      </c>
      <c r="E30" s="37" t="s">
        <v>165</v>
      </c>
      <c r="F30" s="37" t="s">
        <v>11</v>
      </c>
      <c r="G30" s="37" t="s">
        <v>80</v>
      </c>
      <c r="H30" s="37" t="s">
        <v>81</v>
      </c>
      <c r="I30" s="37"/>
      <c r="J30" s="38">
        <v>42206.093680555554</v>
      </c>
      <c r="K30" s="37" t="s">
        <v>20</v>
      </c>
      <c r="L30" s="37" t="s">
        <v>80</v>
      </c>
      <c r="M30" s="38">
        <v>42156.306250000001</v>
      </c>
      <c r="N30" s="37" t="s">
        <v>5</v>
      </c>
      <c r="O30" s="37"/>
      <c r="P30" s="37"/>
      <c r="Q30" s="37" t="s">
        <v>12</v>
      </c>
      <c r="R30" s="37" t="s">
        <v>30</v>
      </c>
      <c r="S30" s="37" t="s">
        <v>13</v>
      </c>
      <c r="T30" s="37" t="s">
        <v>19</v>
      </c>
      <c r="U30" s="37"/>
      <c r="V30" s="37" t="s">
        <v>9</v>
      </c>
      <c r="W30" s="37" t="s">
        <v>10</v>
      </c>
      <c r="X30" s="37" t="s">
        <v>7</v>
      </c>
      <c r="Y30" s="37" t="s">
        <v>82</v>
      </c>
      <c r="Z30" s="37" t="s">
        <v>7</v>
      </c>
      <c r="AA30" s="37" t="s">
        <v>193</v>
      </c>
      <c r="AB30" s="37" t="s">
        <v>7</v>
      </c>
      <c r="AC30" s="37" t="s">
        <v>7</v>
      </c>
    </row>
    <row r="31" spans="1:29" x14ac:dyDescent="0.3">
      <c r="A31" s="5">
        <f ca="1">DAYS360(INDIRECT(A76&amp;ROW()),TODAY())</f>
        <v>664</v>
      </c>
      <c r="B31" s="5">
        <f ca="1">DAYS360(INDIRECT(A75&amp;ROW()),TODAY())</f>
        <v>735</v>
      </c>
      <c r="C31" s="37">
        <f t="shared" ca="1" si="0"/>
        <v>63280</v>
      </c>
      <c r="D31" s="37" t="s">
        <v>336</v>
      </c>
      <c r="E31" s="37" t="s">
        <v>160</v>
      </c>
      <c r="F31" s="37" t="s">
        <v>2</v>
      </c>
      <c r="G31" s="37" t="s">
        <v>80</v>
      </c>
      <c r="H31" s="37" t="s">
        <v>81</v>
      </c>
      <c r="I31" s="37"/>
      <c r="J31" s="38">
        <v>42228.275381944448</v>
      </c>
      <c r="K31" s="37" t="s">
        <v>20</v>
      </c>
      <c r="L31" s="37" t="s">
        <v>3</v>
      </c>
      <c r="M31" s="38">
        <v>42156.537164351852</v>
      </c>
      <c r="N31" s="37" t="s">
        <v>16</v>
      </c>
      <c r="O31" s="37"/>
      <c r="P31" s="37"/>
      <c r="Q31" s="37" t="s">
        <v>17</v>
      </c>
      <c r="R31" s="37" t="s">
        <v>30</v>
      </c>
      <c r="S31" s="37" t="s">
        <v>13</v>
      </c>
      <c r="T31" s="37" t="s">
        <v>19</v>
      </c>
      <c r="U31" s="37"/>
      <c r="V31" s="37" t="s">
        <v>302</v>
      </c>
      <c r="W31" s="37" t="s">
        <v>10</v>
      </c>
      <c r="X31" s="37" t="s">
        <v>7</v>
      </c>
      <c r="Y31" s="37" t="s">
        <v>82</v>
      </c>
      <c r="Z31" s="37" t="s">
        <v>7</v>
      </c>
      <c r="AA31" s="37" t="s">
        <v>193</v>
      </c>
      <c r="AB31" s="37" t="s">
        <v>7</v>
      </c>
      <c r="AC31" s="37" t="s">
        <v>7</v>
      </c>
    </row>
    <row r="32" spans="1:29" x14ac:dyDescent="0.3">
      <c r="A32" s="5">
        <f ca="1">DAYS360(INDIRECT(A76&amp;ROW()),TODAY())</f>
        <v>649</v>
      </c>
      <c r="B32" s="5">
        <f ca="1">DAYS360(INDIRECT(A75&amp;ROW()),TODAY())</f>
        <v>733</v>
      </c>
      <c r="C32" s="37">
        <f t="shared" ca="1" si="0"/>
        <v>63360</v>
      </c>
      <c r="D32" s="37" t="s">
        <v>331</v>
      </c>
      <c r="E32" s="37" t="s">
        <v>166</v>
      </c>
      <c r="F32" s="37" t="s">
        <v>2</v>
      </c>
      <c r="G32" s="37" t="s">
        <v>80</v>
      </c>
      <c r="H32" s="37" t="s">
        <v>81</v>
      </c>
      <c r="I32" s="37"/>
      <c r="J32" s="38">
        <v>42243.568564814814</v>
      </c>
      <c r="K32" s="37" t="s">
        <v>20</v>
      </c>
      <c r="L32" s="37" t="s">
        <v>167</v>
      </c>
      <c r="M32" s="38">
        <v>42158.017060185186</v>
      </c>
      <c r="N32" s="37" t="s">
        <v>102</v>
      </c>
      <c r="O32" s="37"/>
      <c r="P32" s="37"/>
      <c r="Q32" s="37" t="s">
        <v>6</v>
      </c>
      <c r="R32" s="37" t="s">
        <v>30</v>
      </c>
      <c r="S32" s="37" t="s">
        <v>13</v>
      </c>
      <c r="T32" s="37" t="s">
        <v>19</v>
      </c>
      <c r="U32" s="37"/>
      <c r="V32" s="37" t="s">
        <v>9</v>
      </c>
      <c r="W32" s="37" t="s">
        <v>10</v>
      </c>
      <c r="X32" s="37" t="s">
        <v>7</v>
      </c>
      <c r="Y32" s="37" t="s">
        <v>82</v>
      </c>
      <c r="Z32" s="37" t="s">
        <v>7</v>
      </c>
      <c r="AA32" s="37" t="s">
        <v>193</v>
      </c>
      <c r="AB32" s="37" t="s">
        <v>7</v>
      </c>
      <c r="AC32" s="37" t="s">
        <v>7</v>
      </c>
    </row>
    <row r="33" spans="1:29" x14ac:dyDescent="0.3">
      <c r="A33" s="5">
        <f ca="1">DAYS360(INDIRECT(A76&amp;ROW()),TODAY())</f>
        <v>685</v>
      </c>
      <c r="B33" s="5">
        <f ca="1">DAYS360(INDIRECT(A75&amp;ROW()),TODAY())</f>
        <v>719</v>
      </c>
      <c r="C33" s="37">
        <f t="shared" ca="1" si="0"/>
        <v>64223</v>
      </c>
      <c r="D33" s="37" t="s">
        <v>332</v>
      </c>
      <c r="E33" s="37" t="s">
        <v>179</v>
      </c>
      <c r="F33" s="37" t="s">
        <v>2</v>
      </c>
      <c r="G33" s="37" t="s">
        <v>80</v>
      </c>
      <c r="H33" s="37" t="s">
        <v>81</v>
      </c>
      <c r="I33" s="37"/>
      <c r="J33" s="38">
        <v>42206.103993055556</v>
      </c>
      <c r="K33" s="37" t="s">
        <v>20</v>
      </c>
      <c r="L33" s="37" t="s">
        <v>80</v>
      </c>
      <c r="M33" s="38">
        <v>42172.453125</v>
      </c>
      <c r="N33" s="37" t="s">
        <v>22</v>
      </c>
      <c r="O33" s="37"/>
      <c r="P33" s="37"/>
      <c r="Q33" s="37" t="s">
        <v>6</v>
      </c>
      <c r="R33" s="37" t="s">
        <v>30</v>
      </c>
      <c r="S33" s="37" t="s">
        <v>13</v>
      </c>
      <c r="T33" s="37" t="s">
        <v>19</v>
      </c>
      <c r="U33" s="37"/>
      <c r="V33" s="37" t="s">
        <v>9</v>
      </c>
      <c r="W33" s="37" t="s">
        <v>10</v>
      </c>
      <c r="X33" s="37" t="s">
        <v>44</v>
      </c>
      <c r="Y33" s="37" t="s">
        <v>82</v>
      </c>
      <c r="Z33" s="37" t="s">
        <v>7</v>
      </c>
      <c r="AA33" s="37" t="s">
        <v>193</v>
      </c>
      <c r="AB33" s="37" t="s">
        <v>7</v>
      </c>
      <c r="AC33" s="37" t="s">
        <v>7</v>
      </c>
    </row>
    <row r="34" spans="1:29" x14ac:dyDescent="0.3">
      <c r="A34" s="5">
        <f ca="1">DAYS360(INDIRECT(A76&amp;ROW()),TODAY())</f>
        <v>657</v>
      </c>
      <c r="B34" s="5">
        <f ca="1">DAYS360(INDIRECT(A75&amp;ROW()),TODAY())</f>
        <v>696</v>
      </c>
      <c r="C34" s="37">
        <f t="shared" ca="1" si="0"/>
        <v>65354</v>
      </c>
      <c r="D34" s="37" t="s">
        <v>164</v>
      </c>
      <c r="E34" s="37" t="s">
        <v>218</v>
      </c>
      <c r="F34" s="37" t="s">
        <v>2</v>
      </c>
      <c r="G34" s="37" t="s">
        <v>80</v>
      </c>
      <c r="H34" s="37" t="s">
        <v>81</v>
      </c>
      <c r="I34" s="37"/>
      <c r="J34" s="38">
        <v>42235.300092592595</v>
      </c>
      <c r="K34" s="37" t="s">
        <v>4</v>
      </c>
      <c r="L34" s="37" t="s">
        <v>83</v>
      </c>
      <c r="M34" s="38">
        <v>42195.547500000001</v>
      </c>
      <c r="N34" s="37" t="s">
        <v>16</v>
      </c>
      <c r="O34" s="37"/>
      <c r="P34" s="37"/>
      <c r="Q34" s="37" t="s">
        <v>17</v>
      </c>
      <c r="R34" s="37" t="s">
        <v>30</v>
      </c>
      <c r="S34" s="37" t="s">
        <v>13</v>
      </c>
      <c r="T34" s="37" t="s">
        <v>19</v>
      </c>
      <c r="U34" s="37"/>
      <c r="V34" s="37" t="s">
        <v>9</v>
      </c>
      <c r="W34" s="37" t="s">
        <v>10</v>
      </c>
      <c r="X34" s="37" t="s">
        <v>44</v>
      </c>
      <c r="Y34" s="37" t="s">
        <v>82</v>
      </c>
      <c r="Z34" s="37" t="s">
        <v>7</v>
      </c>
      <c r="AA34" s="37" t="s">
        <v>193</v>
      </c>
      <c r="AB34" s="37" t="s">
        <v>7</v>
      </c>
      <c r="AC34" s="37" t="s">
        <v>7</v>
      </c>
    </row>
    <row r="35" spans="1:29" x14ac:dyDescent="0.3">
      <c r="A35" s="5">
        <f ca="1">DAYS360(INDIRECT(A76&amp;ROW()),TODAY())</f>
        <v>642</v>
      </c>
      <c r="B35" s="5">
        <f ca="1">DAYS360(INDIRECT(A75&amp;ROW()),TODAY())</f>
        <v>669</v>
      </c>
      <c r="C35" s="37">
        <f t="shared" ca="1" si="0"/>
        <v>66727</v>
      </c>
      <c r="D35" s="37" t="s">
        <v>336</v>
      </c>
      <c r="E35" s="37" t="s">
        <v>293</v>
      </c>
      <c r="F35" s="37" t="s">
        <v>2</v>
      </c>
      <c r="G35" s="37" t="s">
        <v>80</v>
      </c>
      <c r="H35" s="37" t="s">
        <v>81</v>
      </c>
      <c r="I35" s="37"/>
      <c r="J35" s="38">
        <v>42251.534513888888</v>
      </c>
      <c r="K35" s="37" t="s">
        <v>20</v>
      </c>
      <c r="L35" s="37" t="s">
        <v>83</v>
      </c>
      <c r="M35" s="38">
        <v>42223.018923611111</v>
      </c>
      <c r="N35" s="37" t="s">
        <v>16</v>
      </c>
      <c r="O35" s="37"/>
      <c r="P35" s="37"/>
      <c r="Q35" s="37" t="s">
        <v>17</v>
      </c>
      <c r="R35" s="37" t="s">
        <v>30</v>
      </c>
      <c r="S35" s="37" t="s">
        <v>13</v>
      </c>
      <c r="T35" s="37" t="s">
        <v>19</v>
      </c>
      <c r="U35" s="37"/>
      <c r="V35" s="37" t="s">
        <v>9</v>
      </c>
      <c r="W35" s="37" t="s">
        <v>10</v>
      </c>
      <c r="X35" s="37" t="s">
        <v>44</v>
      </c>
      <c r="Y35" s="37" t="s">
        <v>82</v>
      </c>
      <c r="Z35" s="37" t="s">
        <v>7</v>
      </c>
      <c r="AA35" s="37" t="s">
        <v>193</v>
      </c>
      <c r="AB35" s="37" t="s">
        <v>7</v>
      </c>
      <c r="AC35" s="37" t="s">
        <v>7</v>
      </c>
    </row>
    <row r="36" spans="1:29" x14ac:dyDescent="0.3">
      <c r="A36" s="5">
        <f ca="1">DAYS360(INDIRECT(A76&amp;ROW()),TODAY())</f>
        <v>649</v>
      </c>
      <c r="B36" s="5">
        <f ca="1">DAYS360(INDIRECT(A75&amp;ROW()),TODAY())</f>
        <v>663</v>
      </c>
      <c r="C36" s="37">
        <f t="shared" ca="1" si="0"/>
        <v>67042</v>
      </c>
      <c r="D36" s="37" t="s">
        <v>178</v>
      </c>
      <c r="E36" s="37" t="s">
        <v>310</v>
      </c>
      <c r="F36" s="37" t="s">
        <v>11</v>
      </c>
      <c r="G36" s="37" t="s">
        <v>80</v>
      </c>
      <c r="H36" s="37" t="s">
        <v>81</v>
      </c>
      <c r="I36" s="37"/>
      <c r="J36" s="38">
        <v>42243.351122685184</v>
      </c>
      <c r="K36" s="37" t="s">
        <v>20</v>
      </c>
      <c r="L36" s="37" t="s">
        <v>80</v>
      </c>
      <c r="M36" s="38">
        <v>42229.519328703704</v>
      </c>
      <c r="N36" s="37" t="s">
        <v>40</v>
      </c>
      <c r="O36" s="37"/>
      <c r="P36" s="37"/>
      <c r="Q36" s="37" t="s">
        <v>12</v>
      </c>
      <c r="R36" s="37" t="s">
        <v>30</v>
      </c>
      <c r="S36" s="37" t="s">
        <v>13</v>
      </c>
      <c r="T36" s="37" t="s">
        <v>19</v>
      </c>
      <c r="U36" s="37"/>
      <c r="V36" s="37" t="s">
        <v>9</v>
      </c>
      <c r="W36" s="37" t="s">
        <v>10</v>
      </c>
      <c r="X36" s="37" t="s">
        <v>7</v>
      </c>
      <c r="Y36" s="37" t="s">
        <v>82</v>
      </c>
      <c r="Z36" s="37" t="s">
        <v>7</v>
      </c>
      <c r="AA36" s="37" t="s">
        <v>193</v>
      </c>
      <c r="AB36" s="37" t="s">
        <v>7</v>
      </c>
      <c r="AC36" s="37" t="s">
        <v>7</v>
      </c>
    </row>
    <row r="37" spans="1:29" x14ac:dyDescent="0.3">
      <c r="A37" s="5">
        <f ca="1">DAYS360(INDIRECT(A76&amp;ROW()),TODAY())</f>
        <v>650</v>
      </c>
      <c r="B37" s="5">
        <f ca="1">DAYS360(INDIRECT(A75&amp;ROW()),TODAY())</f>
        <v>659</v>
      </c>
      <c r="C37" s="37">
        <f t="shared" ca="1" si="0"/>
        <v>67219</v>
      </c>
      <c r="D37" s="37" t="s">
        <v>343</v>
      </c>
      <c r="E37" s="37" t="s">
        <v>312</v>
      </c>
      <c r="F37" s="37" t="s">
        <v>2</v>
      </c>
      <c r="G37" s="37" t="s">
        <v>80</v>
      </c>
      <c r="H37" s="37" t="s">
        <v>81</v>
      </c>
      <c r="I37" s="37"/>
      <c r="J37" s="38">
        <v>42242.496805555558</v>
      </c>
      <c r="K37" s="37" t="s">
        <v>20</v>
      </c>
      <c r="L37" s="37" t="s">
        <v>80</v>
      </c>
      <c r="M37" s="38">
        <v>42233.546944444446</v>
      </c>
      <c r="N37" s="37" t="s">
        <v>22</v>
      </c>
      <c r="O37" s="37"/>
      <c r="P37" s="37"/>
      <c r="Q37" s="37" t="s">
        <v>17</v>
      </c>
      <c r="R37" s="37" t="s">
        <v>30</v>
      </c>
      <c r="S37" s="37" t="s">
        <v>8</v>
      </c>
      <c r="T37" s="37" t="s">
        <v>122</v>
      </c>
      <c r="U37" s="37"/>
      <c r="V37" s="37" t="s">
        <v>9</v>
      </c>
      <c r="W37" s="37" t="s">
        <v>10</v>
      </c>
      <c r="X37" s="37" t="s">
        <v>44</v>
      </c>
      <c r="Y37" s="37" t="s">
        <v>82</v>
      </c>
      <c r="Z37" s="37" t="s">
        <v>7</v>
      </c>
      <c r="AA37" s="37" t="s">
        <v>193</v>
      </c>
      <c r="AB37" s="37" t="s">
        <v>7</v>
      </c>
      <c r="AC37" s="37" t="s">
        <v>7</v>
      </c>
    </row>
    <row r="38" spans="1:29" x14ac:dyDescent="0.3">
      <c r="A38" s="5">
        <f ca="1">DAYS360(INDIRECT(A76&amp;ROW()),TODAY())</f>
        <v>642</v>
      </c>
      <c r="B38" s="5">
        <f ca="1">DAYS360(INDIRECT(A75&amp;ROW()),TODAY())</f>
        <v>654</v>
      </c>
      <c r="C38" s="37">
        <f t="shared" ca="1" si="0"/>
        <v>67613</v>
      </c>
      <c r="D38" s="37" t="s">
        <v>336</v>
      </c>
      <c r="E38" s="37" t="s">
        <v>322</v>
      </c>
      <c r="F38" s="37" t="s">
        <v>2</v>
      </c>
      <c r="G38" s="37" t="s">
        <v>80</v>
      </c>
      <c r="H38" s="37" t="s">
        <v>81</v>
      </c>
      <c r="I38" s="37"/>
      <c r="J38" s="38">
        <v>42251.534421296295</v>
      </c>
      <c r="K38" s="37" t="s">
        <v>20</v>
      </c>
      <c r="L38" s="37" t="s">
        <v>83</v>
      </c>
      <c r="M38" s="38">
        <v>42238.019421296296</v>
      </c>
      <c r="N38" s="37" t="s">
        <v>16</v>
      </c>
      <c r="O38" s="37"/>
      <c r="P38" s="37"/>
      <c r="Q38" s="37" t="s">
        <v>17</v>
      </c>
      <c r="R38" s="37" t="s">
        <v>30</v>
      </c>
      <c r="S38" s="37" t="s">
        <v>13</v>
      </c>
      <c r="T38" s="37" t="s">
        <v>19</v>
      </c>
      <c r="U38" s="37"/>
      <c r="V38" s="37" t="s">
        <v>49</v>
      </c>
      <c r="W38" s="37" t="s">
        <v>10</v>
      </c>
      <c r="X38" s="37" t="s">
        <v>7</v>
      </c>
      <c r="Y38" s="37" t="s">
        <v>82</v>
      </c>
      <c r="Z38" s="37" t="s">
        <v>7</v>
      </c>
      <c r="AA38" s="37" t="s">
        <v>192</v>
      </c>
      <c r="AB38" s="37" t="s">
        <v>7</v>
      </c>
      <c r="AC38" s="37" t="s">
        <v>7</v>
      </c>
    </row>
    <row r="39" spans="1:29" x14ac:dyDescent="0.3">
      <c r="A39">
        <f ca="1">DAYS360(INDIRECT(A76&amp;ROW()),TODAY())</f>
        <v>648</v>
      </c>
      <c r="B39">
        <f ca="1">DAYS360(INDIRECT(A75&amp;ROW()),TODAY())</f>
        <v>651</v>
      </c>
      <c r="C39" s="37">
        <f t="shared" ca="1" si="0"/>
        <v>67752</v>
      </c>
      <c r="D39" s="37" t="s">
        <v>39</v>
      </c>
      <c r="E39" s="37" t="s">
        <v>321</v>
      </c>
      <c r="F39" s="37" t="s">
        <v>11</v>
      </c>
      <c r="G39" s="37" t="s">
        <v>80</v>
      </c>
      <c r="H39" s="37" t="s">
        <v>81</v>
      </c>
      <c r="I39" s="37"/>
      <c r="J39" s="38">
        <v>42244.300520833334</v>
      </c>
      <c r="K39" s="37" t="s">
        <v>20</v>
      </c>
      <c r="L39" s="37" t="s">
        <v>3</v>
      </c>
      <c r="M39" s="38">
        <v>42241.635775462964</v>
      </c>
      <c r="N39" s="37" t="s">
        <v>16</v>
      </c>
      <c r="O39" s="37"/>
      <c r="P39" s="37"/>
      <c r="Q39" s="37" t="s">
        <v>17</v>
      </c>
      <c r="R39" s="37" t="s">
        <v>30</v>
      </c>
      <c r="S39" s="37" t="s">
        <v>13</v>
      </c>
      <c r="T39" s="37" t="s">
        <v>19</v>
      </c>
      <c r="U39" s="37"/>
      <c r="V39" s="37" t="s">
        <v>49</v>
      </c>
      <c r="W39" s="37" t="s">
        <v>10</v>
      </c>
      <c r="X39" s="37" t="s">
        <v>7</v>
      </c>
      <c r="Y39" s="37" t="s">
        <v>82</v>
      </c>
      <c r="Z39" s="37" t="s">
        <v>7</v>
      </c>
      <c r="AA39" s="37" t="s">
        <v>192</v>
      </c>
      <c r="AB39" s="37" t="s">
        <v>7</v>
      </c>
      <c r="AC39" s="37" t="s">
        <v>7</v>
      </c>
    </row>
    <row r="40" spans="1:29" x14ac:dyDescent="0.3">
      <c r="A40">
        <f ca="1">DAYS360(INDIRECT(A76&amp;ROW()),TODAY())</f>
        <v>638</v>
      </c>
      <c r="B40">
        <f ca="1">DAYS360(INDIRECT(A75&amp;ROW()),TODAY())</f>
        <v>649</v>
      </c>
      <c r="C40" s="37">
        <f t="shared" ca="1" si="0"/>
        <v>67891</v>
      </c>
      <c r="D40" s="37" t="s">
        <v>39</v>
      </c>
      <c r="E40" s="37" t="s">
        <v>328</v>
      </c>
      <c r="F40" s="37" t="s">
        <v>11</v>
      </c>
      <c r="G40" s="37" t="s">
        <v>80</v>
      </c>
      <c r="H40" s="37" t="s">
        <v>81</v>
      </c>
      <c r="I40" s="37"/>
      <c r="J40" s="38">
        <v>42255.321562500001</v>
      </c>
      <c r="K40" s="37" t="s">
        <v>20</v>
      </c>
      <c r="L40" s="37" t="s">
        <v>80</v>
      </c>
      <c r="M40" s="38">
        <v>42243.019571759258</v>
      </c>
      <c r="N40" s="37" t="s">
        <v>29</v>
      </c>
      <c r="O40" s="37"/>
      <c r="P40" s="37"/>
      <c r="Q40" s="37" t="s">
        <v>12</v>
      </c>
      <c r="R40" s="37" t="s">
        <v>30</v>
      </c>
      <c r="S40" s="37" t="s">
        <v>13</v>
      </c>
      <c r="T40" s="37" t="s">
        <v>19</v>
      </c>
      <c r="U40" s="37"/>
      <c r="V40" s="37" t="s">
        <v>49</v>
      </c>
      <c r="W40" s="37" t="s">
        <v>10</v>
      </c>
      <c r="X40" s="37" t="s">
        <v>7</v>
      </c>
      <c r="Y40" s="37" t="s">
        <v>82</v>
      </c>
      <c r="Z40" s="37" t="s">
        <v>7</v>
      </c>
      <c r="AA40" s="37" t="s">
        <v>193</v>
      </c>
      <c r="AB40" s="37" t="s">
        <v>7</v>
      </c>
      <c r="AC40" s="37" t="s">
        <v>7</v>
      </c>
    </row>
    <row r="41" spans="1:29" x14ac:dyDescent="0.3">
      <c r="A41">
        <f ca="1">DAYS360(INDIRECT(A76&amp;ROW()),TODAY())</f>
        <v>42286</v>
      </c>
      <c r="B41">
        <f ca="1">DAYS360(INDIRECT(A75&amp;ROW()),TODAY())</f>
        <v>42286</v>
      </c>
      <c r="C41" s="37"/>
      <c r="D41" s="37"/>
      <c r="E41" s="37"/>
      <c r="F41" s="37"/>
      <c r="G41" s="37"/>
      <c r="H41" s="37"/>
      <c r="I41" s="37"/>
      <c r="J41" s="38"/>
      <c r="K41" s="37"/>
      <c r="L41" s="37"/>
      <c r="M41" s="38"/>
      <c r="N41" s="37"/>
      <c r="O41" s="37"/>
      <c r="P41" s="37"/>
      <c r="Q41" s="37"/>
      <c r="R41" s="37"/>
      <c r="S41" s="37"/>
      <c r="T41" s="37"/>
      <c r="U41" s="37"/>
      <c r="V41" s="37"/>
      <c r="W41" s="37"/>
      <c r="X41" s="37"/>
      <c r="Y41" s="37"/>
      <c r="Z41" s="37"/>
      <c r="AA41" s="37"/>
      <c r="AB41" s="37"/>
      <c r="AC41" s="37"/>
    </row>
    <row r="42" spans="1:29" x14ac:dyDescent="0.3">
      <c r="A42">
        <f ca="1">DAYS360(INDIRECT(A76&amp;ROW()),TODAY())</f>
        <v>42286</v>
      </c>
      <c r="B42">
        <f ca="1">DAYS360(INDIRECT(A75&amp;ROW()),TODAY())</f>
        <v>42286</v>
      </c>
      <c r="C42" s="37"/>
      <c r="D42" s="37"/>
      <c r="E42" s="37"/>
      <c r="F42" s="37"/>
      <c r="G42" s="37"/>
      <c r="H42" s="37"/>
      <c r="I42" s="37"/>
      <c r="J42" s="38"/>
      <c r="K42" s="37"/>
      <c r="L42" s="37"/>
      <c r="M42" s="38"/>
      <c r="N42" s="37"/>
      <c r="O42" s="37"/>
      <c r="P42" s="37"/>
      <c r="Q42" s="37"/>
      <c r="R42" s="37"/>
      <c r="S42" s="37"/>
      <c r="T42" s="37"/>
      <c r="U42" s="37"/>
      <c r="V42" s="37"/>
      <c r="W42" s="37"/>
      <c r="X42" s="37"/>
      <c r="Y42" s="37"/>
      <c r="Z42" s="37"/>
      <c r="AA42" s="37"/>
      <c r="AB42" s="37"/>
      <c r="AC42" s="37"/>
    </row>
    <row r="43" spans="1:29" x14ac:dyDescent="0.3">
      <c r="A43">
        <f ca="1">DAYS360(INDIRECT(A76&amp;ROW()),TODAY())</f>
        <v>42286</v>
      </c>
      <c r="B43">
        <f ca="1">DAYS360(INDIRECT(A75&amp;ROW()),TODAY())</f>
        <v>42286</v>
      </c>
      <c r="C43" s="37"/>
      <c r="D43" s="37"/>
      <c r="E43" s="37"/>
      <c r="F43" s="37"/>
      <c r="G43" s="37"/>
      <c r="H43" s="37"/>
      <c r="I43" s="37"/>
      <c r="J43" s="38"/>
      <c r="K43" s="37"/>
      <c r="L43" s="37"/>
      <c r="M43" s="38"/>
      <c r="N43" s="37"/>
      <c r="O43" s="37"/>
      <c r="P43" s="37"/>
      <c r="Q43" s="37"/>
      <c r="R43" s="37"/>
      <c r="S43" s="37"/>
      <c r="T43" s="37"/>
      <c r="U43" s="37"/>
      <c r="V43" s="37"/>
      <c r="W43" s="37"/>
      <c r="X43" s="37"/>
      <c r="Y43" s="37"/>
      <c r="Z43" s="37"/>
      <c r="AA43" s="37"/>
      <c r="AB43" s="37"/>
      <c r="AC43" s="37"/>
    </row>
    <row r="44" spans="1:29" x14ac:dyDescent="0.3">
      <c r="A44" s="20">
        <f ca="1">DAYS360(INDIRECT(A76&amp;ROW()),TODAY())</f>
        <v>42286</v>
      </c>
      <c r="B44" s="20">
        <f ca="1">DAYS360(INDIRECT(A75&amp;ROW()),TODAY())</f>
        <v>42286</v>
      </c>
      <c r="C44" s="37"/>
      <c r="D44" s="37"/>
      <c r="E44" s="37"/>
      <c r="F44" s="37"/>
      <c r="G44" s="37"/>
      <c r="H44" s="37"/>
      <c r="I44" s="37"/>
      <c r="J44" s="38"/>
      <c r="K44" s="37"/>
      <c r="L44" s="37"/>
      <c r="M44" s="38"/>
      <c r="N44" s="37"/>
      <c r="O44" s="37"/>
      <c r="P44" s="37"/>
      <c r="Q44" s="37"/>
      <c r="R44" s="37"/>
      <c r="S44" s="37"/>
      <c r="T44" s="37"/>
      <c r="U44" s="37"/>
      <c r="V44" s="37"/>
      <c r="W44" s="37"/>
      <c r="X44" s="37"/>
      <c r="Y44" s="37"/>
      <c r="Z44" s="37"/>
      <c r="AA44" s="37"/>
      <c r="AB44" s="37"/>
      <c r="AC44" s="37"/>
    </row>
    <row r="45" spans="1:29" x14ac:dyDescent="0.3">
      <c r="A45" s="20">
        <f ca="1">DAYS360(INDIRECT(A76&amp;ROW()),TODAY())</f>
        <v>42286</v>
      </c>
      <c r="B45" s="20">
        <f ca="1">DAYS360(INDIRECT(A75&amp;ROW()),TODAY())</f>
        <v>42286</v>
      </c>
      <c r="C45" s="37"/>
      <c r="D45" s="37"/>
      <c r="E45" s="37"/>
      <c r="F45" s="37"/>
      <c r="G45" s="37"/>
      <c r="H45" s="37"/>
      <c r="I45" s="37"/>
      <c r="J45" s="38"/>
      <c r="K45" s="37"/>
      <c r="L45" s="37"/>
      <c r="M45" s="38"/>
      <c r="N45" s="37"/>
      <c r="O45" s="37"/>
      <c r="P45" s="37"/>
      <c r="Q45" s="37"/>
      <c r="R45" s="37"/>
      <c r="S45" s="37"/>
      <c r="T45" s="37"/>
      <c r="U45" s="37"/>
      <c r="V45" s="37"/>
      <c r="W45" s="37"/>
      <c r="X45" s="37"/>
      <c r="Y45" s="37"/>
      <c r="Z45" s="37"/>
      <c r="AA45" s="37"/>
      <c r="AB45" s="37"/>
      <c r="AC45" s="37"/>
    </row>
    <row r="46" spans="1:29" x14ac:dyDescent="0.3">
      <c r="A46" s="20">
        <f ca="1">DAYS360(INDIRECT(A76&amp;ROW()),TODAY())</f>
        <v>42286</v>
      </c>
      <c r="B46" s="20">
        <f ca="1">DAYS360(INDIRECT(A75&amp;ROW()),TODAY())</f>
        <v>42286</v>
      </c>
      <c r="C46" s="37"/>
      <c r="D46" s="37"/>
      <c r="E46" s="37"/>
      <c r="F46" s="37"/>
      <c r="G46" s="37"/>
      <c r="H46" s="37"/>
      <c r="I46" s="37"/>
      <c r="J46" s="38"/>
      <c r="K46" s="37"/>
      <c r="L46" s="37"/>
      <c r="M46" s="38"/>
      <c r="N46" s="37"/>
      <c r="O46" s="37"/>
      <c r="P46" s="37"/>
      <c r="Q46" s="37"/>
      <c r="R46" s="37"/>
      <c r="S46" s="37"/>
      <c r="T46" s="37"/>
      <c r="U46" s="37"/>
      <c r="V46" s="37"/>
      <c r="W46" s="37"/>
      <c r="X46" s="37"/>
      <c r="Y46" s="37"/>
      <c r="Z46" s="37"/>
      <c r="AA46" s="37"/>
      <c r="AB46" s="37"/>
      <c r="AC46" s="37"/>
    </row>
    <row r="47" spans="1:29" x14ac:dyDescent="0.3">
      <c r="A47" s="20">
        <f ca="1">DAYS360(INDIRECT(A76&amp;ROW()),TODAY())</f>
        <v>42286</v>
      </c>
      <c r="B47" s="20">
        <f ca="1">DAYS360(INDIRECT(A75&amp;ROW()),TODAY())</f>
        <v>42286</v>
      </c>
      <c r="C47" s="37">
        <f t="shared" ref="C47:C61" ca="1" si="1">HYPERLINK(CONCATENATE($A$84&amp;INDIRECT("c"&amp;(ROW()+70))),INDIRECT("c"&amp;(ROW()+70)))</f>
        <v>0</v>
      </c>
      <c r="D47" s="32"/>
      <c r="E47" s="32"/>
      <c r="F47" s="32"/>
      <c r="G47" s="32"/>
      <c r="H47" s="32"/>
      <c r="I47" s="32"/>
      <c r="J47" s="33"/>
      <c r="K47" s="32"/>
      <c r="L47" s="32"/>
      <c r="M47" s="33"/>
      <c r="N47" s="32"/>
      <c r="O47" s="32"/>
      <c r="P47" s="32"/>
      <c r="Q47" s="32"/>
      <c r="R47" s="32"/>
      <c r="S47" s="32"/>
      <c r="T47" s="32"/>
      <c r="U47" s="32"/>
      <c r="V47" s="32"/>
      <c r="W47" s="32"/>
      <c r="X47" s="32"/>
      <c r="Y47" s="32"/>
      <c r="Z47" s="32"/>
      <c r="AA47" s="32"/>
    </row>
    <row r="48" spans="1:29" x14ac:dyDescent="0.3">
      <c r="A48" s="20">
        <f ca="1">DAYS360(INDIRECT(A76&amp;ROW()),TODAY())</f>
        <v>42286</v>
      </c>
      <c r="B48" s="20">
        <f ca="1">DAYS360(INDIRECT(A75&amp;ROW()),TODAY())</f>
        <v>42286</v>
      </c>
      <c r="C48" s="37">
        <f t="shared" ca="1" si="1"/>
        <v>0</v>
      </c>
      <c r="D48" s="32"/>
      <c r="E48" s="32"/>
      <c r="F48" s="32"/>
      <c r="G48" s="32"/>
      <c r="H48" s="32"/>
      <c r="I48" s="32"/>
      <c r="J48" s="33"/>
      <c r="K48" s="32"/>
      <c r="L48" s="32"/>
      <c r="M48" s="33"/>
      <c r="N48" s="32"/>
      <c r="O48" s="32"/>
      <c r="P48" s="32"/>
      <c r="Q48" s="32"/>
      <c r="R48" s="32"/>
      <c r="S48" s="32"/>
      <c r="T48" s="32"/>
      <c r="U48" s="32"/>
      <c r="V48" s="32"/>
      <c r="W48" s="32"/>
      <c r="X48" s="32"/>
      <c r="Y48" s="32"/>
      <c r="Z48" s="32"/>
      <c r="AA48" s="32"/>
    </row>
    <row r="49" spans="1:27" x14ac:dyDescent="0.3">
      <c r="A49" s="20">
        <f ca="1">DAYS360(INDIRECT(A76&amp;ROW()),TODAY())</f>
        <v>42286</v>
      </c>
      <c r="B49" s="20">
        <f ca="1">DAYS360(INDIRECT(A75&amp;ROW()),TODAY())</f>
        <v>42286</v>
      </c>
      <c r="C49" s="37">
        <f t="shared" ca="1" si="1"/>
        <v>0</v>
      </c>
      <c r="D49" s="32"/>
      <c r="E49" s="32"/>
      <c r="F49" s="32"/>
      <c r="G49" s="32"/>
      <c r="H49" s="32"/>
      <c r="I49" s="32"/>
      <c r="J49" s="33"/>
      <c r="K49" s="32"/>
      <c r="L49" s="32"/>
      <c r="M49" s="33"/>
      <c r="N49" s="32"/>
      <c r="O49" s="32"/>
      <c r="P49" s="32"/>
      <c r="Q49" s="32"/>
      <c r="R49" s="32"/>
      <c r="S49" s="32"/>
      <c r="T49" s="32"/>
      <c r="U49" s="32"/>
      <c r="V49" s="32"/>
      <c r="W49" s="32"/>
      <c r="X49" s="32"/>
      <c r="Y49" s="32"/>
      <c r="Z49" s="32"/>
      <c r="AA49" s="32"/>
    </row>
    <row r="50" spans="1:27" x14ac:dyDescent="0.3">
      <c r="A50" s="20">
        <f ca="1">DAYS360(INDIRECT(A76&amp;ROW()),TODAY())</f>
        <v>42286</v>
      </c>
      <c r="B50" s="20">
        <f ca="1">DAYS360(INDIRECT(A75&amp;ROW()),TODAY())</f>
        <v>42286</v>
      </c>
      <c r="C50" s="37">
        <f t="shared" ca="1" si="1"/>
        <v>0</v>
      </c>
      <c r="D50" s="32"/>
      <c r="E50" s="32"/>
      <c r="F50" s="32"/>
      <c r="G50" s="32"/>
      <c r="H50" s="32"/>
      <c r="I50" s="32"/>
      <c r="J50" s="33"/>
      <c r="K50" s="32"/>
      <c r="L50" s="32"/>
      <c r="M50" s="33"/>
      <c r="N50" s="32"/>
      <c r="O50" s="32"/>
      <c r="P50" s="32"/>
      <c r="Q50" s="32"/>
      <c r="R50" s="32"/>
      <c r="S50" s="32"/>
      <c r="T50" s="32"/>
      <c r="U50" s="32"/>
      <c r="V50" s="32"/>
      <c r="W50" s="32"/>
      <c r="X50" s="32"/>
      <c r="Y50" s="32"/>
      <c r="Z50" s="32"/>
      <c r="AA50" s="32"/>
    </row>
    <row r="51" spans="1:27" x14ac:dyDescent="0.3">
      <c r="A51" s="20">
        <f ca="1">DAYS360(INDIRECT(A76&amp;ROW()),TODAY())</f>
        <v>42286</v>
      </c>
      <c r="B51" s="20">
        <f ca="1">DAYS360(INDIRECT(A75&amp;ROW()),TODAY())</f>
        <v>42286</v>
      </c>
      <c r="C51" s="37">
        <f t="shared" ca="1" si="1"/>
        <v>0</v>
      </c>
      <c r="D51" s="32"/>
      <c r="E51" s="32"/>
      <c r="F51" s="32"/>
      <c r="G51" s="32"/>
      <c r="H51" s="32"/>
      <c r="I51" s="32"/>
      <c r="J51" s="33"/>
      <c r="K51" s="32"/>
      <c r="L51" s="32"/>
      <c r="M51" s="33"/>
      <c r="N51" s="32"/>
      <c r="O51" s="32"/>
      <c r="P51" s="32"/>
      <c r="Q51" s="32"/>
      <c r="R51" s="32"/>
      <c r="S51" s="32"/>
      <c r="T51" s="32"/>
      <c r="U51" s="32"/>
      <c r="V51" s="32"/>
      <c r="W51" s="32"/>
      <c r="X51" s="32"/>
      <c r="Y51" s="32"/>
      <c r="Z51" s="32"/>
      <c r="AA51" s="32"/>
    </row>
    <row r="52" spans="1:27" x14ac:dyDescent="0.3">
      <c r="A52" s="20">
        <f ca="1">DAYS360(INDIRECT(A76&amp;ROW()),TODAY())</f>
        <v>42286</v>
      </c>
      <c r="B52" s="20">
        <f ca="1">DAYS360(INDIRECT(A75&amp;ROW()),TODAY())</f>
        <v>42286</v>
      </c>
      <c r="C52" s="37">
        <f t="shared" ca="1" si="1"/>
        <v>0</v>
      </c>
      <c r="D52" s="28"/>
      <c r="E52" s="28"/>
      <c r="F52" s="28"/>
      <c r="G52" s="28"/>
      <c r="H52" s="28"/>
      <c r="I52" s="28"/>
      <c r="J52" s="29"/>
      <c r="K52" s="28"/>
      <c r="L52" s="28"/>
      <c r="M52" s="29"/>
      <c r="N52" s="28"/>
      <c r="O52" s="28"/>
      <c r="P52" s="28"/>
      <c r="Q52" s="28"/>
      <c r="R52" s="28"/>
      <c r="S52" s="28"/>
      <c r="T52" s="28"/>
      <c r="U52" s="28"/>
      <c r="V52" s="28"/>
      <c r="W52" s="28"/>
      <c r="X52" s="28"/>
      <c r="Y52" s="28"/>
      <c r="Z52" s="28"/>
    </row>
    <row r="53" spans="1:27" x14ac:dyDescent="0.3">
      <c r="A53" s="20">
        <f ca="1">DAYS360(INDIRECT(A76&amp;ROW()),TODAY())</f>
        <v>42286</v>
      </c>
      <c r="B53" s="20">
        <f ca="1">DAYS360(INDIRECT(A75&amp;ROW()),TODAY())</f>
        <v>42286</v>
      </c>
      <c r="C53" s="37">
        <f t="shared" ca="1" si="1"/>
        <v>0</v>
      </c>
      <c r="D53" s="28"/>
      <c r="E53" s="28"/>
      <c r="F53" s="28"/>
      <c r="G53" s="28"/>
      <c r="H53" s="28"/>
      <c r="I53" s="28"/>
      <c r="J53" s="29"/>
      <c r="K53" s="28"/>
      <c r="L53" s="28"/>
      <c r="M53" s="29"/>
      <c r="N53" s="28"/>
      <c r="O53" s="28"/>
      <c r="P53" s="28"/>
      <c r="Q53" s="28"/>
      <c r="R53" s="28"/>
      <c r="S53" s="28"/>
      <c r="T53" s="28"/>
      <c r="U53" s="28"/>
      <c r="V53" s="28"/>
      <c r="W53" s="28"/>
      <c r="X53" s="28"/>
      <c r="Y53" s="28"/>
      <c r="Z53" s="28"/>
    </row>
    <row r="54" spans="1:27" x14ac:dyDescent="0.3">
      <c r="A54" s="20">
        <f ca="1">DAYS360(INDIRECT(A76&amp;ROW()),TODAY())</f>
        <v>42286</v>
      </c>
      <c r="B54" s="20">
        <f ca="1">DAYS360(INDIRECT(A75&amp;ROW()),TODAY())</f>
        <v>42286</v>
      </c>
      <c r="C54" s="37">
        <f t="shared" ca="1" si="1"/>
        <v>0</v>
      </c>
      <c r="D54" s="26"/>
      <c r="E54" s="26"/>
      <c r="F54" s="26"/>
      <c r="G54" s="26"/>
      <c r="H54" s="26"/>
      <c r="I54" s="26"/>
      <c r="J54" s="27"/>
      <c r="K54" s="26"/>
      <c r="L54" s="26"/>
      <c r="M54" s="27"/>
      <c r="N54" s="26"/>
      <c r="O54" s="26"/>
      <c r="P54" s="26"/>
      <c r="Q54" s="26"/>
      <c r="R54" s="26"/>
      <c r="S54" s="26"/>
      <c r="T54" s="26"/>
      <c r="U54" s="26"/>
      <c r="V54" s="26"/>
      <c r="W54" s="26"/>
      <c r="X54" s="26"/>
      <c r="Y54" s="26"/>
      <c r="Z54" s="26"/>
    </row>
    <row r="55" spans="1:27" x14ac:dyDescent="0.3">
      <c r="A55" s="20">
        <f ca="1">DAYS360(INDIRECT(A76&amp;ROW()),TODAY())</f>
        <v>42286</v>
      </c>
      <c r="B55" s="20">
        <f ca="1">DAYS360(INDIRECT(A75&amp;ROW()),TODAY())</f>
        <v>42286</v>
      </c>
      <c r="C55" s="37">
        <f t="shared" ca="1" si="1"/>
        <v>0</v>
      </c>
      <c r="D55" s="26"/>
      <c r="E55" s="26"/>
      <c r="F55" s="26"/>
      <c r="G55" s="26"/>
      <c r="H55" s="26"/>
      <c r="I55" s="26"/>
      <c r="J55" s="27"/>
      <c r="K55" s="26"/>
      <c r="L55" s="26"/>
      <c r="M55" s="27"/>
      <c r="N55" s="26"/>
      <c r="O55" s="26"/>
      <c r="P55" s="26"/>
      <c r="Q55" s="26"/>
      <c r="R55" s="26"/>
      <c r="S55" s="26"/>
      <c r="T55" s="26"/>
      <c r="U55" s="26"/>
      <c r="V55" s="26"/>
      <c r="W55" s="26"/>
      <c r="X55" s="26"/>
      <c r="Y55" s="26"/>
      <c r="Z55" s="26"/>
    </row>
    <row r="56" spans="1:27" x14ac:dyDescent="0.3">
      <c r="A56" s="20">
        <f ca="1">DAYS360(INDIRECT(A76&amp;ROW()),TODAY())</f>
        <v>42286</v>
      </c>
      <c r="B56" s="20">
        <f ca="1">DAYS360(INDIRECT(A75&amp;ROW()),TODAY())</f>
        <v>42286</v>
      </c>
      <c r="C56" s="37">
        <f t="shared" ca="1" si="1"/>
        <v>0</v>
      </c>
      <c r="D56" s="26"/>
      <c r="E56" s="26"/>
      <c r="F56" s="26"/>
      <c r="G56" s="26"/>
      <c r="H56" s="26"/>
      <c r="I56" s="26"/>
      <c r="J56" s="27"/>
      <c r="K56" s="26"/>
      <c r="L56" s="26"/>
      <c r="M56" s="27"/>
      <c r="N56" s="26"/>
      <c r="O56" s="26"/>
      <c r="P56" s="26"/>
      <c r="Q56" s="26"/>
      <c r="R56" s="26"/>
      <c r="S56" s="26"/>
      <c r="T56" s="26"/>
      <c r="U56" s="26"/>
      <c r="V56" s="26"/>
      <c r="W56" s="26"/>
      <c r="X56" s="26"/>
      <c r="Y56" s="26"/>
      <c r="Z56" s="26"/>
    </row>
    <row r="57" spans="1:27" x14ac:dyDescent="0.3">
      <c r="A57" s="20">
        <f ca="1">DAYS360(INDIRECT(A76&amp;ROW()),TODAY())</f>
        <v>42286</v>
      </c>
      <c r="B57" s="20">
        <f ca="1">DAYS360(INDIRECT(A75&amp;ROW()),TODAY())</f>
        <v>42286</v>
      </c>
      <c r="C57" s="37">
        <f t="shared" ca="1" si="1"/>
        <v>0</v>
      </c>
      <c r="D57" s="26"/>
      <c r="E57" s="26"/>
      <c r="F57" s="26"/>
      <c r="G57" s="26"/>
      <c r="H57" s="26"/>
      <c r="I57" s="26"/>
      <c r="J57" s="27"/>
      <c r="K57" s="26"/>
      <c r="L57" s="26"/>
      <c r="M57" s="27"/>
      <c r="N57" s="26"/>
      <c r="O57" s="26"/>
      <c r="P57" s="26"/>
      <c r="Q57" s="26"/>
      <c r="R57" s="26"/>
      <c r="S57" s="26"/>
      <c r="T57" s="26"/>
      <c r="U57" s="26"/>
      <c r="V57" s="26"/>
      <c r="W57" s="26"/>
      <c r="X57" s="26"/>
      <c r="Y57" s="26"/>
      <c r="Z57" s="26"/>
    </row>
    <row r="58" spans="1:27" x14ac:dyDescent="0.3">
      <c r="A58" s="20">
        <f ca="1">DAYS360(INDIRECT(A76&amp;ROW()),TODAY())</f>
        <v>42286</v>
      </c>
      <c r="B58" s="20">
        <f ca="1">DAYS360(INDIRECT(A75&amp;ROW()),TODAY())</f>
        <v>42286</v>
      </c>
      <c r="C58" s="37">
        <f t="shared" ca="1" si="1"/>
        <v>0</v>
      </c>
      <c r="D58" s="22"/>
      <c r="E58" s="22"/>
      <c r="F58" s="22"/>
      <c r="G58" s="22"/>
      <c r="H58" s="22"/>
      <c r="I58" s="22"/>
      <c r="J58" s="23"/>
      <c r="K58" s="22"/>
      <c r="L58" s="22"/>
      <c r="M58" s="23"/>
      <c r="N58" s="22"/>
      <c r="O58" s="22"/>
      <c r="P58" s="22"/>
      <c r="Q58" s="22"/>
      <c r="R58" s="22"/>
      <c r="S58" s="22"/>
      <c r="T58" s="22"/>
      <c r="U58" s="22"/>
      <c r="V58" s="22"/>
      <c r="W58" s="22"/>
      <c r="X58" s="22"/>
      <c r="Y58" s="22"/>
      <c r="Z58" s="22"/>
    </row>
    <row r="59" spans="1:27" x14ac:dyDescent="0.3">
      <c r="A59">
        <f ca="1">DAYS360(INDIRECT(A76&amp;ROW()),TODAY())</f>
        <v>42286</v>
      </c>
      <c r="B59">
        <f ca="1">DAYS360(INDIRECT(A75&amp;ROW()),TODAY())</f>
        <v>42286</v>
      </c>
      <c r="C59" s="37">
        <f t="shared" ca="1" si="1"/>
        <v>0</v>
      </c>
      <c r="D59" s="22"/>
      <c r="E59" s="22"/>
      <c r="F59" s="22"/>
      <c r="G59" s="22"/>
      <c r="H59" s="22"/>
      <c r="I59" s="22"/>
      <c r="J59" s="23"/>
      <c r="K59" s="22"/>
      <c r="L59" s="22"/>
      <c r="M59" s="23"/>
      <c r="N59" s="22"/>
      <c r="O59" s="22"/>
      <c r="P59" s="22"/>
      <c r="Q59" s="22"/>
      <c r="R59" s="22"/>
      <c r="S59" s="22"/>
      <c r="T59" s="22"/>
      <c r="U59" s="22"/>
      <c r="V59" s="22"/>
      <c r="W59" s="22"/>
      <c r="X59" s="22"/>
      <c r="Y59" s="22"/>
      <c r="Z59" s="22"/>
    </row>
    <row r="60" spans="1:27" x14ac:dyDescent="0.3">
      <c r="A60">
        <f ca="1">DAYS360(INDIRECT(A76&amp;ROW()),TODAY())</f>
        <v>42286</v>
      </c>
      <c r="B60">
        <f ca="1">DAYS360(INDIRECT(A75&amp;ROW()),TODAY())</f>
        <v>42286</v>
      </c>
      <c r="C60" s="37">
        <f t="shared" ca="1" si="1"/>
        <v>0</v>
      </c>
      <c r="D60" s="20"/>
      <c r="E60" s="20"/>
      <c r="F60" s="20"/>
      <c r="G60" s="20"/>
      <c r="H60" s="20"/>
      <c r="I60" s="20"/>
      <c r="J60" s="21"/>
      <c r="K60" s="20"/>
      <c r="L60" s="20"/>
      <c r="M60" s="21"/>
      <c r="N60" s="20"/>
      <c r="O60" s="20"/>
      <c r="P60" s="20"/>
      <c r="Q60" s="20"/>
      <c r="R60" s="20"/>
      <c r="S60" s="20"/>
      <c r="T60" s="20"/>
      <c r="U60" s="20"/>
      <c r="V60" s="20"/>
      <c r="W60" s="20"/>
      <c r="X60" s="20"/>
      <c r="Y60" s="20"/>
      <c r="Z60" s="20"/>
    </row>
    <row r="61" spans="1:27" x14ac:dyDescent="0.3">
      <c r="A61">
        <f ca="1">DAYS360(INDIRECT(A76&amp;ROW()),TODAY())</f>
        <v>42286</v>
      </c>
      <c r="B61">
        <f ca="1">DAYS360(INDIRECT(A75&amp;ROW()),TODAY())</f>
        <v>42286</v>
      </c>
      <c r="C61" s="37">
        <f t="shared" ca="1" si="1"/>
        <v>0</v>
      </c>
      <c r="D61" s="20"/>
      <c r="E61" s="20"/>
      <c r="F61" s="20"/>
      <c r="G61" s="20"/>
      <c r="H61" s="20"/>
      <c r="I61" s="20"/>
      <c r="J61" s="21"/>
      <c r="K61" s="20"/>
      <c r="L61" s="20"/>
      <c r="M61" s="21"/>
      <c r="N61" s="20"/>
      <c r="O61" s="20"/>
      <c r="P61" s="20"/>
      <c r="Q61" s="20"/>
      <c r="R61" s="20"/>
      <c r="S61" s="20"/>
      <c r="T61" s="20"/>
      <c r="U61" s="20"/>
      <c r="V61" s="20"/>
      <c r="W61" s="20"/>
      <c r="X61" s="20"/>
      <c r="Y61" s="20"/>
      <c r="Z61" s="20"/>
    </row>
    <row r="64" spans="1:27" x14ac:dyDescent="0.3">
      <c r="A64" s="19" t="s">
        <v>314</v>
      </c>
    </row>
    <row r="65" spans="1:5" x14ac:dyDescent="0.3">
      <c r="A65">
        <f ca="1">COUNTA(C18:C63)+(A66-1)</f>
        <v>55</v>
      </c>
      <c r="B65" t="s">
        <v>123</v>
      </c>
    </row>
    <row r="66" spans="1:5" x14ac:dyDescent="0.3">
      <c r="A66">
        <v>18</v>
      </c>
      <c r="B66" t="s">
        <v>124</v>
      </c>
    </row>
    <row r="67" spans="1:5" x14ac:dyDescent="0.3">
      <c r="A67" t="s">
        <v>125</v>
      </c>
      <c r="B67" t="s">
        <v>59</v>
      </c>
    </row>
    <row r="68" spans="1:5" x14ac:dyDescent="0.3">
      <c r="A68" t="s">
        <v>126</v>
      </c>
      <c r="B68" t="s">
        <v>72</v>
      </c>
    </row>
    <row r="69" spans="1:5" x14ac:dyDescent="0.3">
      <c r="A69" t="s">
        <v>127</v>
      </c>
      <c r="B69" t="s">
        <v>65</v>
      </c>
    </row>
    <row r="70" spans="1:5" x14ac:dyDescent="0.3">
      <c r="A70" t="s">
        <v>128</v>
      </c>
      <c r="B70" t="s">
        <v>129</v>
      </c>
    </row>
    <row r="71" spans="1:5" x14ac:dyDescent="0.3">
      <c r="A71" t="s">
        <v>130</v>
      </c>
      <c r="B71" t="s">
        <v>131</v>
      </c>
    </row>
    <row r="72" spans="1:5" x14ac:dyDescent="0.3">
      <c r="A72" t="s">
        <v>132</v>
      </c>
      <c r="B72" t="s">
        <v>133</v>
      </c>
    </row>
    <row r="73" spans="1:5" x14ac:dyDescent="0.3">
      <c r="A73" t="s">
        <v>134</v>
      </c>
      <c r="B73" t="s">
        <v>135</v>
      </c>
    </row>
    <row r="74" spans="1:5" x14ac:dyDescent="0.3">
      <c r="A74" t="s">
        <v>136</v>
      </c>
      <c r="B74" t="s">
        <v>137</v>
      </c>
    </row>
    <row r="75" spans="1:5" x14ac:dyDescent="0.3">
      <c r="A75" s="10" t="s">
        <v>140</v>
      </c>
      <c r="B75" s="10" t="s">
        <v>141</v>
      </c>
    </row>
    <row r="76" spans="1:5" x14ac:dyDescent="0.3">
      <c r="A76" s="10" t="s">
        <v>142</v>
      </c>
      <c r="B76" s="10" t="s">
        <v>143</v>
      </c>
      <c r="E76">
        <f>SUBTOTAL(3,D18:D62)</f>
        <v>23</v>
      </c>
    </row>
    <row r="81" spans="1:3" x14ac:dyDescent="0.3">
      <c r="A81" s="19" t="s">
        <v>144</v>
      </c>
    </row>
    <row r="84" spans="1:3" x14ac:dyDescent="0.3">
      <c r="A84" s="19" t="s">
        <v>209</v>
      </c>
    </row>
    <row r="85" spans="1:3" x14ac:dyDescent="0.3">
      <c r="A85" s="35" t="s">
        <v>305</v>
      </c>
    </row>
    <row r="86" spans="1:3" x14ac:dyDescent="0.3">
      <c r="A86" s="19" t="s">
        <v>304</v>
      </c>
    </row>
    <row r="88" spans="1:3" x14ac:dyDescent="0.3">
      <c r="C88" s="37">
        <v>60560</v>
      </c>
    </row>
    <row r="89" spans="1:3" x14ac:dyDescent="0.3">
      <c r="C89" s="37">
        <v>60565</v>
      </c>
    </row>
    <row r="90" spans="1:3" x14ac:dyDescent="0.3">
      <c r="C90" s="37">
        <v>61076</v>
      </c>
    </row>
    <row r="91" spans="1:3" x14ac:dyDescent="0.3">
      <c r="C91" s="37">
        <v>61077</v>
      </c>
    </row>
    <row r="92" spans="1:3" x14ac:dyDescent="0.3">
      <c r="C92" s="37">
        <v>61079</v>
      </c>
    </row>
    <row r="93" spans="1:3" x14ac:dyDescent="0.3">
      <c r="C93" s="37">
        <v>61082</v>
      </c>
    </row>
    <row r="94" spans="1:3" x14ac:dyDescent="0.3">
      <c r="C94" s="37">
        <v>61083</v>
      </c>
    </row>
    <row r="95" spans="1:3" x14ac:dyDescent="0.3">
      <c r="C95" s="37">
        <v>61246</v>
      </c>
    </row>
    <row r="96" spans="1:3" x14ac:dyDescent="0.3">
      <c r="C96" s="37">
        <v>61250</v>
      </c>
    </row>
    <row r="97" spans="3:3" x14ac:dyDescent="0.3">
      <c r="C97" s="37">
        <v>61913</v>
      </c>
    </row>
    <row r="98" spans="3:3" x14ac:dyDescent="0.3">
      <c r="C98" s="37">
        <v>62224</v>
      </c>
    </row>
    <row r="99" spans="3:3" x14ac:dyDescent="0.3">
      <c r="C99" s="37">
        <v>62848</v>
      </c>
    </row>
    <row r="100" spans="3:3" x14ac:dyDescent="0.3">
      <c r="C100" s="37">
        <v>63248</v>
      </c>
    </row>
    <row r="101" spans="3:3" x14ac:dyDescent="0.3">
      <c r="C101" s="37">
        <v>63280</v>
      </c>
    </row>
    <row r="102" spans="3:3" x14ac:dyDescent="0.3">
      <c r="C102" s="37">
        <v>63360</v>
      </c>
    </row>
    <row r="103" spans="3:3" x14ac:dyDescent="0.3">
      <c r="C103" s="37">
        <v>64223</v>
      </c>
    </row>
    <row r="104" spans="3:3" x14ac:dyDescent="0.3">
      <c r="C104" s="37">
        <v>65354</v>
      </c>
    </row>
    <row r="105" spans="3:3" x14ac:dyDescent="0.3">
      <c r="C105" s="37">
        <v>66727</v>
      </c>
    </row>
    <row r="106" spans="3:3" x14ac:dyDescent="0.3">
      <c r="C106" s="37">
        <v>67042</v>
      </c>
    </row>
    <row r="107" spans="3:3" x14ac:dyDescent="0.3">
      <c r="C107" s="37">
        <v>67219</v>
      </c>
    </row>
    <row r="108" spans="3:3" x14ac:dyDescent="0.3">
      <c r="C108" s="37">
        <v>67613</v>
      </c>
    </row>
    <row r="109" spans="3:3" x14ac:dyDescent="0.3">
      <c r="C109" s="37">
        <v>67752</v>
      </c>
    </row>
    <row r="110" spans="3:3" x14ac:dyDescent="0.3">
      <c r="C110" s="37">
        <v>67891</v>
      </c>
    </row>
    <row r="111" spans="3:3" x14ac:dyDescent="0.3">
      <c r="C111" s="37"/>
    </row>
    <row r="112" spans="3:3" x14ac:dyDescent="0.3">
      <c r="C112" s="37"/>
    </row>
    <row r="113" spans="3:3" x14ac:dyDescent="0.3">
      <c r="C113" s="37"/>
    </row>
    <row r="114" spans="3:3" x14ac:dyDescent="0.3">
      <c r="C114" s="37"/>
    </row>
    <row r="115" spans="3:3" x14ac:dyDescent="0.3">
      <c r="C115" s="37"/>
    </row>
    <row r="116" spans="3:3" x14ac:dyDescent="0.3">
      <c r="C116" s="37"/>
    </row>
    <row r="117" spans="3:3" x14ac:dyDescent="0.3">
      <c r="C117" s="37">
        <f ca="1">HYPERLINK(CONCATENATE($A$84&amp;INDIRECT("c"&amp;(ROW()+70))),INDIRECT("c"&amp;(ROW()+70)))</f>
        <v>0</v>
      </c>
    </row>
    <row r="118" spans="3:3" x14ac:dyDescent="0.3">
      <c r="C118" s="37">
        <f ca="1">HYPERLINK(CONCATENATE($A$84&amp;INDIRECT("c"&amp;(ROW()+70))),INDIRECT("c"&amp;(ROW()+70)))</f>
        <v>0</v>
      </c>
    </row>
    <row r="119" spans="3:3" x14ac:dyDescent="0.3">
      <c r="C119" s="37">
        <f ca="1">HYPERLINK(CONCATENATE($A$84&amp;INDIRECT("c"&amp;(ROW()+70))),INDIRECT("c"&amp;(ROW()+70)))</f>
        <v>0</v>
      </c>
    </row>
    <row r="120" spans="3:3" x14ac:dyDescent="0.3">
      <c r="C120" s="37">
        <f t="shared" ref="C120:C131" ca="1" si="2">HYPERLINK(CONCATENATE($A$84&amp;INDIRECT("c"&amp;(ROW()+70))),INDIRECT("c"&amp;(ROW()+70)))</f>
        <v>0</v>
      </c>
    </row>
    <row r="121" spans="3:3" x14ac:dyDescent="0.3">
      <c r="C121" s="37">
        <f t="shared" ca="1" si="2"/>
        <v>0</v>
      </c>
    </row>
    <row r="122" spans="3:3" x14ac:dyDescent="0.3">
      <c r="C122" s="37">
        <f t="shared" ca="1" si="2"/>
        <v>0</v>
      </c>
    </row>
    <row r="123" spans="3:3" x14ac:dyDescent="0.3">
      <c r="C123" s="37">
        <f t="shared" ca="1" si="2"/>
        <v>0</v>
      </c>
    </row>
    <row r="124" spans="3:3" x14ac:dyDescent="0.3">
      <c r="C124" s="37">
        <f t="shared" ca="1" si="2"/>
        <v>0</v>
      </c>
    </row>
    <row r="125" spans="3:3" x14ac:dyDescent="0.3">
      <c r="C125" s="37">
        <f t="shared" ca="1" si="2"/>
        <v>0</v>
      </c>
    </row>
    <row r="126" spans="3:3" x14ac:dyDescent="0.3">
      <c r="C126" s="37">
        <f t="shared" ca="1" si="2"/>
        <v>0</v>
      </c>
    </row>
    <row r="127" spans="3:3" x14ac:dyDescent="0.3">
      <c r="C127" s="37">
        <f t="shared" ca="1" si="2"/>
        <v>0</v>
      </c>
    </row>
    <row r="128" spans="3:3" x14ac:dyDescent="0.3">
      <c r="C128" s="37">
        <f t="shared" ca="1" si="2"/>
        <v>0</v>
      </c>
    </row>
    <row r="129" spans="3:3" x14ac:dyDescent="0.3">
      <c r="C129" s="37">
        <f t="shared" ca="1" si="2"/>
        <v>0</v>
      </c>
    </row>
    <row r="130" spans="3:3" x14ac:dyDescent="0.3">
      <c r="C130" s="37">
        <f t="shared" ca="1" si="2"/>
        <v>0</v>
      </c>
    </row>
    <row r="131" spans="3:3" x14ac:dyDescent="0.3">
      <c r="C131" s="37">
        <f t="shared" ca="1" si="2"/>
        <v>0</v>
      </c>
    </row>
    <row r="132" spans="3:3" x14ac:dyDescent="0.3">
      <c r="C132" s="32"/>
    </row>
    <row r="133" spans="3:3" x14ac:dyDescent="0.3">
      <c r="C133" s="32"/>
    </row>
    <row r="134" spans="3:3" x14ac:dyDescent="0.3">
      <c r="C134" s="32"/>
    </row>
    <row r="135" spans="3:3" x14ac:dyDescent="0.3">
      <c r="C135" s="32"/>
    </row>
    <row r="136" spans="3:3" x14ac:dyDescent="0.3">
      <c r="C136" s="32"/>
    </row>
    <row r="137" spans="3:3" x14ac:dyDescent="0.3">
      <c r="C137" s="32"/>
    </row>
    <row r="138" spans="3:3" x14ac:dyDescent="0.3">
      <c r="C138" s="32"/>
    </row>
    <row r="139" spans="3:3" x14ac:dyDescent="0.3">
      <c r="C139" s="32"/>
    </row>
    <row r="140" spans="3:3" x14ac:dyDescent="0.3">
      <c r="C140" s="32"/>
    </row>
    <row r="141" spans="3:3" x14ac:dyDescent="0.3">
      <c r="C141" s="32"/>
    </row>
    <row r="142" spans="3:3" x14ac:dyDescent="0.3">
      <c r="C142" s="32"/>
    </row>
    <row r="143" spans="3:3" x14ac:dyDescent="0.3">
      <c r="C143" s="32"/>
    </row>
    <row r="144" spans="3:3" x14ac:dyDescent="0.3">
      <c r="C144" s="32"/>
    </row>
    <row r="145" spans="3:3" x14ac:dyDescent="0.3">
      <c r="C145" s="32"/>
    </row>
    <row r="146" spans="3:3" x14ac:dyDescent="0.3">
      <c r="C146" s="32"/>
    </row>
    <row r="147" spans="3:3" x14ac:dyDescent="0.3">
      <c r="C147" s="32"/>
    </row>
    <row r="148" spans="3:3" x14ac:dyDescent="0.3">
      <c r="C148" s="32"/>
    </row>
    <row r="149" spans="3:3" x14ac:dyDescent="0.3">
      <c r="C149" s="32"/>
    </row>
    <row r="150" spans="3:3" x14ac:dyDescent="0.3">
      <c r="C150" s="32"/>
    </row>
    <row r="151" spans="3:3" x14ac:dyDescent="0.3">
      <c r="C151" s="32"/>
    </row>
    <row r="152" spans="3:3" x14ac:dyDescent="0.3">
      <c r="C152" s="32"/>
    </row>
    <row r="153" spans="3:3" x14ac:dyDescent="0.3">
      <c r="C153" s="32"/>
    </row>
    <row r="154" spans="3:3" x14ac:dyDescent="0.3">
      <c r="C154" s="32"/>
    </row>
    <row r="155" spans="3:3" x14ac:dyDescent="0.3">
      <c r="C155" s="32"/>
    </row>
    <row r="156" spans="3:3" x14ac:dyDescent="0.3">
      <c r="C156" s="32"/>
    </row>
    <row r="157" spans="3:3" x14ac:dyDescent="0.3">
      <c r="C157" s="32"/>
    </row>
    <row r="158" spans="3:3" x14ac:dyDescent="0.3">
      <c r="C158" s="32"/>
    </row>
    <row r="159" spans="3:3" x14ac:dyDescent="0.3">
      <c r="C159" s="32"/>
    </row>
    <row r="160" spans="3:3" x14ac:dyDescent="0.3">
      <c r="C160" s="32"/>
    </row>
    <row r="161" spans="3:3" x14ac:dyDescent="0.3">
      <c r="C161" s="32"/>
    </row>
    <row r="162" spans="3:3" x14ac:dyDescent="0.3">
      <c r="C162" s="32"/>
    </row>
    <row r="163" spans="3:3" x14ac:dyDescent="0.3">
      <c r="C163" s="32"/>
    </row>
    <row r="164" spans="3:3" x14ac:dyDescent="0.3">
      <c r="C164" s="32"/>
    </row>
    <row r="165" spans="3:3" x14ac:dyDescent="0.3">
      <c r="C165" s="32"/>
    </row>
  </sheetData>
  <autoFilter ref="A17:AA61"/>
  <conditionalFormatting sqref="C18:C63">
    <cfRule type="expression" dxfId="42" priority="126">
      <formula>IF(V18="---",IF(Z18="---",1,0),0)</formula>
    </cfRule>
    <cfRule type="expression" dxfId="41" priority="303">
      <formula>IF(FIND("Denied",V18),1,0)</formula>
    </cfRule>
    <cfRule type="expression" dxfId="40" priority="305">
      <formula>IF(FIND("Request",V18),1,0)</formula>
    </cfRule>
    <cfRule type="expression" dxfId="39" priority="306" stopIfTrue="1">
      <formula>IF(FIND("Director",V18,11),1,0)</formula>
    </cfRule>
    <cfRule type="expression" dxfId="38" priority="307">
      <formula>IF(FIND("Approve",V18),1,0)</formula>
    </cfRule>
  </conditionalFormatting>
  <conditionalFormatting sqref="C111:C116">
    <cfRule type="expression" dxfId="37" priority="6">
      <formula>IF(V111="---",IF(Z111="---",1,0),0)</formula>
    </cfRule>
    <cfRule type="expression" dxfId="36" priority="7">
      <formula>IF(FIND("Denied",V111),1,0)</formula>
    </cfRule>
    <cfRule type="expression" dxfId="35" priority="8">
      <formula>IF(FIND("Request",V111),1,0)</formula>
    </cfRule>
    <cfRule type="expression" dxfId="34" priority="9" stopIfTrue="1">
      <formula>IF(FIND("Director",V111,11),1,0)</formula>
    </cfRule>
    <cfRule type="expression" dxfId="33" priority="10">
      <formula>IF(FIND("Approve",V111),1,0)</formula>
    </cfRule>
  </conditionalFormatting>
  <conditionalFormatting sqref="C88:C110">
    <cfRule type="expression" dxfId="32" priority="1">
      <formula>IF(V88="---",IF(Z88="---",1,0),0)</formula>
    </cfRule>
    <cfRule type="expression" dxfId="31" priority="2">
      <formula>IF(FIND("Denied",V88),1,0)</formula>
    </cfRule>
    <cfRule type="expression" dxfId="30" priority="3">
      <formula>IF(FIND("Request",V88),1,0)</formula>
    </cfRule>
    <cfRule type="expression" dxfId="29" priority="4" stopIfTrue="1">
      <formula>IF(FIND("Director",V88,11),1,0)</formula>
    </cfRule>
    <cfRule type="expression" dxfId="28" priority="5">
      <formula>IF(FIND("Approve",V88),1,0)</formula>
    </cfRule>
  </conditionalFormatting>
  <hyperlinks>
    <hyperlink ref="A81" r:id="rId1"/>
    <hyperlink ref="A84" r:id="rId2"/>
    <hyperlink ref="A86" location="RedZone!C18" display="C18"/>
    <hyperlink ref="A64" location="RedZone!C88" display="c88"/>
    <hyperlink ref="N15" location="RedZone!C88" display="c88"/>
  </hyperlinks>
  <pageMargins left="0.25" right="0.25" top="0.75" bottom="0.75" header="0.3" footer="0.3"/>
  <pageSetup scale="30" fitToHeight="0" orientation="landscape"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1:AI68"/>
  <sheetViews>
    <sheetView zoomScale="80" zoomScaleNormal="80" workbookViewId="0">
      <pane ySplit="1" topLeftCell="A2" activePane="bottomLeft" state="frozen"/>
      <selection pane="bottomLeft" activeCell="D24" sqref="D24"/>
    </sheetView>
  </sheetViews>
  <sheetFormatPr defaultColWidth="12.21875" defaultRowHeight="14.4" x14ac:dyDescent="0.3"/>
  <cols>
    <col min="1" max="1" width="12" style="37" customWidth="1"/>
    <col min="2" max="2" width="20.33203125" style="37" customWidth="1"/>
    <col min="3" max="3" width="12" style="37" customWidth="1"/>
    <col min="4" max="4" width="6.5546875" style="37" customWidth="1"/>
    <col min="5" max="5" width="9" style="37" customWidth="1"/>
    <col min="6" max="6" width="58.6640625" style="37" hidden="1" customWidth="1"/>
    <col min="7" max="7" width="9.5546875" style="37" customWidth="1"/>
    <col min="8" max="8" width="11.5546875" style="37" bestFit="1" customWidth="1"/>
    <col min="9" max="9" width="27.88671875" style="37" customWidth="1"/>
    <col min="10" max="10" width="226.44140625" style="37" bestFit="1" customWidth="1"/>
    <col min="11" max="11" width="12.6640625" style="37" bestFit="1" customWidth="1"/>
    <col min="12" max="12" width="21.21875" style="37" bestFit="1" customWidth="1"/>
    <col min="13" max="13" width="38.109375" style="37" bestFit="1" customWidth="1"/>
    <col min="14" max="14" width="67.88671875" style="37" bestFit="1" customWidth="1"/>
    <col min="15" max="15" width="14.77734375" style="37" bestFit="1" customWidth="1"/>
    <col min="16" max="16" width="13.21875" style="37" bestFit="1" customWidth="1"/>
    <col min="17" max="17" width="19.33203125" style="37" bestFit="1" customWidth="1"/>
    <col min="18" max="18" width="14.77734375" style="37" bestFit="1" customWidth="1"/>
    <col min="19" max="19" width="18.77734375" style="37" bestFit="1" customWidth="1"/>
    <col min="20" max="20" width="30.44140625" style="37" bestFit="1" customWidth="1"/>
    <col min="21" max="21" width="18.21875" style="37" bestFit="1" customWidth="1"/>
    <col min="22" max="22" width="24.21875" style="37" bestFit="1" customWidth="1"/>
    <col min="23" max="23" width="19.77734375" style="37" bestFit="1" customWidth="1"/>
    <col min="24" max="24" width="17.33203125" style="37" bestFit="1" customWidth="1"/>
    <col min="25" max="25" width="27.109375" style="37" bestFit="1" customWidth="1"/>
    <col min="26" max="26" width="13.44140625" style="37" bestFit="1" customWidth="1"/>
    <col min="27" max="27" width="26.21875" style="37" bestFit="1" customWidth="1"/>
    <col min="28" max="28" width="17.5546875" style="37" bestFit="1" customWidth="1"/>
    <col min="29" max="29" width="29.21875" style="37" bestFit="1" customWidth="1"/>
    <col min="30" max="30" width="19.21875" style="37" bestFit="1" customWidth="1"/>
    <col min="31" max="31" width="23.44140625" style="37" bestFit="1" customWidth="1"/>
    <col min="32" max="32" width="32.5546875" style="37" bestFit="1" customWidth="1"/>
    <col min="33" max="16384" width="12.21875" style="37"/>
  </cols>
  <sheetData>
    <row r="1" spans="1:35" x14ac:dyDescent="0.3">
      <c r="A1" s="37" t="s">
        <v>217</v>
      </c>
      <c r="B1" s="37" t="s">
        <v>208</v>
      </c>
      <c r="C1" s="37" t="s">
        <v>207</v>
      </c>
      <c r="D1" s="37" t="s">
        <v>194</v>
      </c>
      <c r="E1" s="37" t="s">
        <v>258</v>
      </c>
      <c r="F1" s="37" t="s">
        <v>259</v>
      </c>
      <c r="G1" s="37" t="s">
        <v>173</v>
      </c>
      <c r="H1" s="37" t="s">
        <v>145</v>
      </c>
      <c r="I1" s="37" t="s">
        <v>57</v>
      </c>
      <c r="J1" s="37" t="s">
        <v>58</v>
      </c>
      <c r="K1" s="37" t="s">
        <v>59</v>
      </c>
      <c r="L1" s="37" t="s">
        <v>60</v>
      </c>
      <c r="M1" s="37" t="s">
        <v>61</v>
      </c>
      <c r="N1" s="37" t="s">
        <v>62</v>
      </c>
      <c r="O1" s="37" t="s">
        <v>63</v>
      </c>
      <c r="P1" s="37" t="s">
        <v>64</v>
      </c>
      <c r="Q1" s="37" t="s">
        <v>65</v>
      </c>
      <c r="R1" s="37" t="s">
        <v>66</v>
      </c>
      <c r="S1" s="37" t="s">
        <v>67</v>
      </c>
      <c r="T1" s="37" t="s">
        <v>68</v>
      </c>
      <c r="U1" s="37" t="s">
        <v>69</v>
      </c>
      <c r="V1" s="37" t="s">
        <v>70</v>
      </c>
      <c r="W1" s="37" t="s">
        <v>71</v>
      </c>
      <c r="X1" s="37" t="s">
        <v>72</v>
      </c>
      <c r="Y1" s="37" t="s">
        <v>73</v>
      </c>
      <c r="Z1" s="37" t="s">
        <v>74</v>
      </c>
      <c r="AA1" s="37" t="s">
        <v>75</v>
      </c>
      <c r="AB1" s="37" t="s">
        <v>76</v>
      </c>
      <c r="AC1" s="37" t="s">
        <v>77</v>
      </c>
      <c r="AD1" s="37" t="s">
        <v>78</v>
      </c>
      <c r="AE1" s="37" t="s">
        <v>157</v>
      </c>
      <c r="AF1" s="37" t="s">
        <v>307</v>
      </c>
      <c r="AG1" s="37" t="s">
        <v>308</v>
      </c>
      <c r="AH1" s="37" t="s">
        <v>184</v>
      </c>
      <c r="AI1" s="37" t="s">
        <v>79</v>
      </c>
    </row>
    <row r="2" spans="1:35" hidden="1" x14ac:dyDescent="0.3">
      <c r="B2" s="37" t="s">
        <v>195</v>
      </c>
      <c r="C2" s="37" t="s">
        <v>195</v>
      </c>
      <c r="D2" s="37" t="s">
        <v>195</v>
      </c>
      <c r="E2" s="37" t="s">
        <v>195</v>
      </c>
      <c r="G2" s="19" t="str">
        <f t="shared" ref="G2:G42" ca="1" si="0">HYPERLINK(CONCATENATE("https://bugzilla.houston.hp.com:1181/bugzilla/show_bug.cgi?id=",MID(INDIRECT($G$45&amp;ROW()),9,5)),MID(INDIRECT($G$45&amp;ROW()),9,5))</f>
        <v>48696</v>
      </c>
      <c r="H2" s="37">
        <v>53513</v>
      </c>
      <c r="I2" s="37" t="s">
        <v>324</v>
      </c>
      <c r="J2" s="37" t="s">
        <v>345</v>
      </c>
      <c r="K2" s="37" t="s">
        <v>2</v>
      </c>
      <c r="L2" s="37" t="s">
        <v>48</v>
      </c>
      <c r="M2" s="37" t="s">
        <v>344</v>
      </c>
      <c r="O2" s="38">
        <v>42269.605810185189</v>
      </c>
      <c r="P2" s="37" t="s">
        <v>20</v>
      </c>
      <c r="Q2" s="37" t="s">
        <v>346</v>
      </c>
      <c r="R2" s="38">
        <v>41963.312141203707</v>
      </c>
      <c r="S2" s="37" t="s">
        <v>5</v>
      </c>
      <c r="U2" s="37" t="s">
        <v>347</v>
      </c>
      <c r="V2" s="37" t="s">
        <v>6</v>
      </c>
      <c r="W2" s="37" t="s">
        <v>7</v>
      </c>
      <c r="X2" s="37" t="s">
        <v>24</v>
      </c>
      <c r="Y2" s="37" t="s">
        <v>31</v>
      </c>
      <c r="AA2" s="37" t="s">
        <v>9</v>
      </c>
      <c r="AB2" s="37" t="s">
        <v>26</v>
      </c>
      <c r="AC2" s="37" t="s">
        <v>7</v>
      </c>
      <c r="AD2" s="37" t="s">
        <v>82</v>
      </c>
      <c r="AE2" s="37" t="s">
        <v>7</v>
      </c>
      <c r="AF2" s="37" t="s">
        <v>7</v>
      </c>
      <c r="AG2" s="37" t="s">
        <v>7</v>
      </c>
      <c r="AH2" s="37" t="s">
        <v>192</v>
      </c>
      <c r="AI2" s="37" t="s">
        <v>7</v>
      </c>
    </row>
    <row r="3" spans="1:35" hidden="1" x14ac:dyDescent="0.3">
      <c r="B3" s="37" t="s">
        <v>195</v>
      </c>
      <c r="C3" s="37" t="s">
        <v>195</v>
      </c>
      <c r="D3" s="37" t="s">
        <v>195</v>
      </c>
      <c r="E3" s="37" t="s">
        <v>195</v>
      </c>
      <c r="G3" s="19" t="str">
        <f t="shared" ca="1" si="0"/>
        <v>52552</v>
      </c>
      <c r="H3" s="37">
        <v>53634</v>
      </c>
      <c r="I3" s="37" t="s">
        <v>324</v>
      </c>
      <c r="J3" s="37" t="s">
        <v>348</v>
      </c>
      <c r="K3" s="37" t="s">
        <v>11</v>
      </c>
      <c r="L3" s="37" t="s">
        <v>48</v>
      </c>
      <c r="M3" s="37" t="s">
        <v>344</v>
      </c>
      <c r="O3" s="38">
        <v>42269.614004629628</v>
      </c>
      <c r="P3" s="37" t="s">
        <v>20</v>
      </c>
      <c r="Q3" s="37" t="s">
        <v>349</v>
      </c>
      <c r="R3" s="38">
        <v>41963.32912037037</v>
      </c>
      <c r="S3" s="37" t="s">
        <v>5</v>
      </c>
      <c r="U3" s="37" t="s">
        <v>347</v>
      </c>
      <c r="V3" s="37" t="s">
        <v>17</v>
      </c>
      <c r="W3" s="37" t="s">
        <v>7</v>
      </c>
      <c r="X3" s="37" t="s">
        <v>24</v>
      </c>
      <c r="Y3" s="37" t="s">
        <v>47</v>
      </c>
      <c r="AA3" s="37" t="s">
        <v>9</v>
      </c>
      <c r="AB3" s="37" t="s">
        <v>10</v>
      </c>
      <c r="AC3" s="37" t="s">
        <v>44</v>
      </c>
      <c r="AD3" s="37" t="s">
        <v>82</v>
      </c>
      <c r="AE3" s="37" t="s">
        <v>7</v>
      </c>
      <c r="AF3" s="37" t="s">
        <v>7</v>
      </c>
      <c r="AG3" s="37" t="s">
        <v>7</v>
      </c>
      <c r="AH3" s="37" t="s">
        <v>186</v>
      </c>
      <c r="AI3" s="37" t="s">
        <v>7</v>
      </c>
    </row>
    <row r="4" spans="1:35" hidden="1" x14ac:dyDescent="0.3">
      <c r="B4" s="37" t="s">
        <v>195</v>
      </c>
      <c r="C4" s="37" t="s">
        <v>195</v>
      </c>
      <c r="D4" s="37" t="s">
        <v>195</v>
      </c>
      <c r="E4" s="37" t="s">
        <v>195</v>
      </c>
      <c r="G4" s="19" t="str">
        <f t="shared" ca="1" si="0"/>
        <v>52678</v>
      </c>
      <c r="H4" s="37">
        <v>53649</v>
      </c>
      <c r="I4" s="37" t="s">
        <v>335</v>
      </c>
      <c r="J4" s="37" t="s">
        <v>350</v>
      </c>
      <c r="K4" s="37" t="s">
        <v>2</v>
      </c>
      <c r="L4" s="37" t="s">
        <v>48</v>
      </c>
      <c r="M4" s="37" t="s">
        <v>344</v>
      </c>
      <c r="O4" s="38">
        <v>42275.639745370368</v>
      </c>
      <c r="P4" s="37" t="s">
        <v>20</v>
      </c>
      <c r="Q4" s="37" t="s">
        <v>351</v>
      </c>
      <c r="R4" s="38">
        <v>41963.331307870372</v>
      </c>
      <c r="S4" s="37" t="s">
        <v>5</v>
      </c>
      <c r="U4" s="37" t="s">
        <v>347</v>
      </c>
      <c r="V4" s="37" t="s">
        <v>6</v>
      </c>
      <c r="W4" s="37" t="s">
        <v>30</v>
      </c>
      <c r="X4" s="37" t="s">
        <v>24</v>
      </c>
      <c r="Y4" s="37" t="s">
        <v>31</v>
      </c>
      <c r="AA4" s="37" t="s">
        <v>9</v>
      </c>
      <c r="AB4" s="37" t="s">
        <v>10</v>
      </c>
      <c r="AC4" s="37" t="s">
        <v>44</v>
      </c>
      <c r="AD4" s="37" t="s">
        <v>82</v>
      </c>
      <c r="AE4" s="37" t="s">
        <v>7</v>
      </c>
      <c r="AF4" s="37" t="s">
        <v>7</v>
      </c>
      <c r="AG4" s="37" t="s">
        <v>7</v>
      </c>
      <c r="AH4" s="37" t="s">
        <v>192</v>
      </c>
      <c r="AI4" s="37" t="s">
        <v>7</v>
      </c>
    </row>
    <row r="5" spans="1:35" hidden="1" x14ac:dyDescent="0.3">
      <c r="B5" s="37" t="s">
        <v>195</v>
      </c>
      <c r="C5" s="37" t="s">
        <v>195</v>
      </c>
      <c r="D5" s="37" t="s">
        <v>195</v>
      </c>
      <c r="E5" s="37" t="s">
        <v>195</v>
      </c>
      <c r="G5" s="19" t="str">
        <f t="shared" ca="1" si="0"/>
        <v>51093</v>
      </c>
      <c r="H5" s="37">
        <v>56865</v>
      </c>
      <c r="I5" s="37" t="s">
        <v>376</v>
      </c>
      <c r="J5" s="37" t="s">
        <v>565</v>
      </c>
      <c r="K5" s="37" t="s">
        <v>11</v>
      </c>
      <c r="L5" s="37" t="s">
        <v>48</v>
      </c>
      <c r="M5" s="37" t="s">
        <v>81</v>
      </c>
      <c r="O5" s="38">
        <v>42270.619039351855</v>
      </c>
      <c r="P5" s="37" t="s">
        <v>159</v>
      </c>
      <c r="Q5" s="37" t="s">
        <v>566</v>
      </c>
      <c r="R5" s="38">
        <v>42045.471365740741</v>
      </c>
      <c r="S5" s="37" t="s">
        <v>22</v>
      </c>
      <c r="U5" s="37" t="s">
        <v>347</v>
      </c>
      <c r="V5" s="37" t="s">
        <v>6</v>
      </c>
      <c r="W5" s="37" t="s">
        <v>30</v>
      </c>
      <c r="X5" s="37" t="s">
        <v>13</v>
      </c>
      <c r="Y5" s="37" t="s">
        <v>19</v>
      </c>
      <c r="AA5" s="37" t="s">
        <v>55</v>
      </c>
      <c r="AB5" s="37" t="s">
        <v>26</v>
      </c>
      <c r="AC5" s="37" t="s">
        <v>7</v>
      </c>
      <c r="AD5" s="37" t="s">
        <v>114</v>
      </c>
      <c r="AE5" s="37" t="s">
        <v>7</v>
      </c>
      <c r="AF5" s="37" t="s">
        <v>7</v>
      </c>
      <c r="AG5" s="37" t="s">
        <v>7</v>
      </c>
      <c r="AH5" s="37" t="s">
        <v>186</v>
      </c>
      <c r="AI5" s="37" t="s">
        <v>7</v>
      </c>
    </row>
    <row r="6" spans="1:35" x14ac:dyDescent="0.3">
      <c r="B6" s="37" t="s">
        <v>195</v>
      </c>
      <c r="C6" s="37" t="s">
        <v>195</v>
      </c>
      <c r="D6" s="37" t="s">
        <v>195</v>
      </c>
      <c r="E6" s="37" t="s">
        <v>239</v>
      </c>
      <c r="G6" s="19" t="str">
        <f t="shared" ca="1" si="0"/>
        <v>52549</v>
      </c>
      <c r="H6" s="37">
        <v>57057</v>
      </c>
      <c r="I6" s="37" t="s">
        <v>337</v>
      </c>
      <c r="J6" s="37" t="s">
        <v>573</v>
      </c>
      <c r="K6" s="37" t="s">
        <v>146</v>
      </c>
      <c r="L6" s="37" t="s">
        <v>48</v>
      </c>
      <c r="M6" s="37" t="s">
        <v>81</v>
      </c>
      <c r="O6" s="38">
        <v>42283.297546296293</v>
      </c>
      <c r="P6" s="37" t="s">
        <v>20</v>
      </c>
      <c r="Q6" s="37" t="s">
        <v>231</v>
      </c>
      <c r="R6" s="38">
        <v>42046.534212962964</v>
      </c>
      <c r="S6" s="37" t="s">
        <v>5</v>
      </c>
      <c r="U6" s="37" t="s">
        <v>366</v>
      </c>
      <c r="V6" s="37" t="s">
        <v>17</v>
      </c>
      <c r="W6" s="37" t="s">
        <v>7</v>
      </c>
      <c r="X6" s="37" t="s">
        <v>8</v>
      </c>
      <c r="Y6" s="37" t="s">
        <v>122</v>
      </c>
      <c r="Z6" s="34">
        <v>41878</v>
      </c>
      <c r="AA6" s="37" t="s">
        <v>49</v>
      </c>
      <c r="AB6" s="37" t="s">
        <v>26</v>
      </c>
      <c r="AC6" s="37" t="s">
        <v>44</v>
      </c>
      <c r="AD6" s="37" t="s">
        <v>114</v>
      </c>
      <c r="AE6" s="37" t="s">
        <v>7</v>
      </c>
      <c r="AF6" s="37" t="s">
        <v>7</v>
      </c>
      <c r="AG6" s="37" t="s">
        <v>7</v>
      </c>
      <c r="AH6" s="37" t="s">
        <v>192</v>
      </c>
      <c r="AI6" s="37" t="s">
        <v>7</v>
      </c>
    </row>
    <row r="7" spans="1:35" hidden="1" x14ac:dyDescent="0.3">
      <c r="E7" s="37" t="s">
        <v>195</v>
      </c>
      <c r="G7" s="19" t="str">
        <f t="shared" ca="1" si="0"/>
        <v>57072</v>
      </c>
      <c r="H7" s="37">
        <v>57076</v>
      </c>
      <c r="I7" s="37" t="s">
        <v>342</v>
      </c>
      <c r="J7" s="37" t="s">
        <v>353</v>
      </c>
      <c r="K7" s="37" t="s">
        <v>2</v>
      </c>
      <c r="L7" s="37" t="s">
        <v>48</v>
      </c>
      <c r="M7" s="37" t="s">
        <v>81</v>
      </c>
      <c r="O7" s="38">
        <v>42269.576458333337</v>
      </c>
      <c r="P7" s="37" t="s">
        <v>159</v>
      </c>
      <c r="Q7" s="37" t="s">
        <v>3</v>
      </c>
      <c r="R7" s="38">
        <v>42046.666458333333</v>
      </c>
      <c r="S7" s="37" t="s">
        <v>56</v>
      </c>
      <c r="U7" s="37" t="s">
        <v>347</v>
      </c>
      <c r="V7" s="37" t="s">
        <v>6</v>
      </c>
      <c r="W7" s="37" t="s">
        <v>30</v>
      </c>
      <c r="X7" s="37" t="s">
        <v>24</v>
      </c>
      <c r="Y7" s="37" t="s">
        <v>46</v>
      </c>
      <c r="AA7" s="37" t="s">
        <v>9</v>
      </c>
      <c r="AB7" s="37" t="s">
        <v>10</v>
      </c>
      <c r="AC7" s="37" t="s">
        <v>7</v>
      </c>
      <c r="AD7" s="37" t="s">
        <v>82</v>
      </c>
      <c r="AE7" s="37" t="s">
        <v>7</v>
      </c>
      <c r="AF7" s="37" t="s">
        <v>7</v>
      </c>
      <c r="AG7" s="37" t="s">
        <v>7</v>
      </c>
      <c r="AH7" s="37" t="s">
        <v>7</v>
      </c>
      <c r="AI7" s="37" t="s">
        <v>354</v>
      </c>
    </row>
    <row r="8" spans="1:35" hidden="1" x14ac:dyDescent="0.3">
      <c r="E8" s="37" t="s">
        <v>195</v>
      </c>
      <c r="G8" s="19" t="str">
        <f t="shared" ca="1" si="0"/>
        <v>58079</v>
      </c>
      <c r="H8" s="37">
        <v>58086</v>
      </c>
      <c r="I8" s="37" t="s">
        <v>336</v>
      </c>
      <c r="J8" s="37" t="s">
        <v>355</v>
      </c>
      <c r="K8" s="37" t="s">
        <v>2</v>
      </c>
      <c r="L8" s="37" t="s">
        <v>48</v>
      </c>
      <c r="M8" s="37" t="s">
        <v>81</v>
      </c>
      <c r="N8" s="37" t="s">
        <v>87</v>
      </c>
      <c r="O8" s="38">
        <v>42269.603252314817</v>
      </c>
      <c r="P8" s="37" t="s">
        <v>4</v>
      </c>
      <c r="Q8" s="37" t="s">
        <v>3</v>
      </c>
      <c r="R8" s="38">
        <v>42067.014675925922</v>
      </c>
      <c r="S8" s="37" t="s">
        <v>40</v>
      </c>
      <c r="U8" s="37" t="s">
        <v>347</v>
      </c>
      <c r="V8" s="37" t="s">
        <v>6</v>
      </c>
      <c r="W8" s="37" t="s">
        <v>30</v>
      </c>
      <c r="X8" s="37" t="s">
        <v>13</v>
      </c>
      <c r="Y8" s="37" t="s">
        <v>19</v>
      </c>
      <c r="AA8" s="37" t="s">
        <v>9</v>
      </c>
      <c r="AB8" s="37" t="s">
        <v>10</v>
      </c>
      <c r="AC8" s="37" t="s">
        <v>7</v>
      </c>
      <c r="AD8" s="37" t="s">
        <v>82</v>
      </c>
      <c r="AE8" s="37" t="s">
        <v>7</v>
      </c>
      <c r="AF8" s="37" t="s">
        <v>7</v>
      </c>
      <c r="AG8" s="37" t="s">
        <v>7</v>
      </c>
      <c r="AH8" s="37" t="s">
        <v>192</v>
      </c>
      <c r="AI8" s="37" t="s">
        <v>7</v>
      </c>
    </row>
    <row r="9" spans="1:35" hidden="1" x14ac:dyDescent="0.3">
      <c r="E9" s="37" t="s">
        <v>239</v>
      </c>
      <c r="G9" s="19" t="str">
        <f t="shared" ca="1" si="0"/>
        <v>58905</v>
      </c>
      <c r="H9" s="37">
        <v>58914</v>
      </c>
      <c r="I9" s="37" t="s">
        <v>334</v>
      </c>
      <c r="J9" s="37" t="s">
        <v>562</v>
      </c>
      <c r="K9" s="37" t="s">
        <v>11</v>
      </c>
      <c r="L9" s="37" t="s">
        <v>48</v>
      </c>
      <c r="M9" s="37" t="s">
        <v>81</v>
      </c>
      <c r="N9" s="37" t="s">
        <v>150</v>
      </c>
      <c r="O9" s="38">
        <v>42271.627222222225</v>
      </c>
      <c r="P9" s="37" t="s">
        <v>159</v>
      </c>
      <c r="Q9" s="37" t="s">
        <v>83</v>
      </c>
      <c r="R9" s="38">
        <v>42080.545231481483</v>
      </c>
      <c r="S9" s="37" t="s">
        <v>96</v>
      </c>
      <c r="U9" s="37" t="s">
        <v>366</v>
      </c>
      <c r="V9" s="37" t="s">
        <v>12</v>
      </c>
      <c r="W9" s="37" t="s">
        <v>30</v>
      </c>
      <c r="X9" s="37" t="s">
        <v>8</v>
      </c>
      <c r="Y9" s="37" t="s">
        <v>38</v>
      </c>
      <c r="AA9" s="37" t="s">
        <v>9</v>
      </c>
      <c r="AB9" s="37" t="s">
        <v>10</v>
      </c>
      <c r="AC9" s="37" t="s">
        <v>7</v>
      </c>
      <c r="AD9" s="37" t="s">
        <v>82</v>
      </c>
      <c r="AE9" s="37" t="s">
        <v>7</v>
      </c>
      <c r="AF9" s="37" t="s">
        <v>7</v>
      </c>
      <c r="AG9" s="37" t="s">
        <v>7</v>
      </c>
      <c r="AH9" s="37" t="s">
        <v>192</v>
      </c>
      <c r="AI9" s="37" t="s">
        <v>7</v>
      </c>
    </row>
    <row r="10" spans="1:35" hidden="1" x14ac:dyDescent="0.3">
      <c r="E10" s="37" t="s">
        <v>195</v>
      </c>
      <c r="G10" s="19" t="str">
        <f t="shared" ca="1" si="0"/>
        <v>59230</v>
      </c>
      <c r="H10" s="37">
        <v>59260</v>
      </c>
      <c r="I10" s="37" t="s">
        <v>334</v>
      </c>
      <c r="J10" s="37" t="s">
        <v>578</v>
      </c>
      <c r="K10" s="37" t="s">
        <v>11</v>
      </c>
      <c r="L10" s="37" t="s">
        <v>48</v>
      </c>
      <c r="M10" s="37" t="s">
        <v>81</v>
      </c>
      <c r="O10" s="38">
        <v>42298.319409722222</v>
      </c>
      <c r="P10" s="37" t="s">
        <v>20</v>
      </c>
      <c r="Q10" s="37" t="s">
        <v>80</v>
      </c>
      <c r="R10" s="38">
        <v>42087.716840277775</v>
      </c>
      <c r="S10" s="37" t="s">
        <v>5</v>
      </c>
      <c r="U10" s="37" t="s">
        <v>347</v>
      </c>
      <c r="V10" s="37" t="s">
        <v>17</v>
      </c>
      <c r="W10" s="37" t="s">
        <v>30</v>
      </c>
      <c r="X10" s="37" t="s">
        <v>13</v>
      </c>
      <c r="Y10" s="37" t="s">
        <v>35</v>
      </c>
      <c r="AA10" s="37" t="s">
        <v>9</v>
      </c>
      <c r="AB10" s="37" t="s">
        <v>10</v>
      </c>
      <c r="AC10" s="37" t="s">
        <v>7</v>
      </c>
      <c r="AD10" s="37" t="s">
        <v>82</v>
      </c>
      <c r="AE10" s="37" t="s">
        <v>7</v>
      </c>
      <c r="AF10" s="37" t="s">
        <v>7</v>
      </c>
      <c r="AG10" s="37" t="s">
        <v>7</v>
      </c>
      <c r="AH10" s="37" t="s">
        <v>7</v>
      </c>
      <c r="AI10" s="37" t="s">
        <v>352</v>
      </c>
    </row>
    <row r="11" spans="1:35" hidden="1" x14ac:dyDescent="0.3">
      <c r="E11" s="37" t="s">
        <v>195</v>
      </c>
      <c r="G11" s="19" t="str">
        <f t="shared" ca="1" si="0"/>
        <v>61897</v>
      </c>
      <c r="H11" s="37">
        <v>61914</v>
      </c>
      <c r="I11" s="37" t="s">
        <v>342</v>
      </c>
      <c r="J11" s="37" t="s">
        <v>377</v>
      </c>
      <c r="K11" s="37" t="s">
        <v>2</v>
      </c>
      <c r="L11" s="37" t="s">
        <v>48</v>
      </c>
      <c r="M11" s="37" t="s">
        <v>81</v>
      </c>
      <c r="O11" s="38">
        <v>42271.623113425929</v>
      </c>
      <c r="P11" s="37" t="s">
        <v>159</v>
      </c>
      <c r="Q11" s="37" t="s">
        <v>3</v>
      </c>
      <c r="R11" s="38">
        <v>42130.516423611109</v>
      </c>
      <c r="S11" s="37" t="s">
        <v>40</v>
      </c>
      <c r="U11" s="37" t="s">
        <v>347</v>
      </c>
      <c r="V11" s="37" t="s">
        <v>6</v>
      </c>
      <c r="W11" s="37" t="s">
        <v>30</v>
      </c>
      <c r="X11" s="37" t="s">
        <v>8</v>
      </c>
      <c r="Y11" s="37" t="s">
        <v>27</v>
      </c>
      <c r="AA11" s="37" t="s">
        <v>9</v>
      </c>
      <c r="AB11" s="37" t="s">
        <v>10</v>
      </c>
      <c r="AC11" s="37" t="s">
        <v>7</v>
      </c>
      <c r="AD11" s="37" t="s">
        <v>82</v>
      </c>
      <c r="AE11" s="37" t="s">
        <v>7</v>
      </c>
      <c r="AF11" s="37" t="s">
        <v>7</v>
      </c>
      <c r="AG11" s="37" t="s">
        <v>7</v>
      </c>
      <c r="AH11" s="37" t="s">
        <v>192</v>
      </c>
      <c r="AI11" s="37" t="s">
        <v>7</v>
      </c>
    </row>
    <row r="12" spans="1:35" hidden="1" x14ac:dyDescent="0.3">
      <c r="E12" s="37" t="s">
        <v>195</v>
      </c>
      <c r="G12" s="19" t="str">
        <f t="shared" ca="1" si="0"/>
        <v>61184</v>
      </c>
      <c r="H12" s="37">
        <v>62225</v>
      </c>
      <c r="I12" s="37" t="s">
        <v>337</v>
      </c>
      <c r="J12" s="37" t="s">
        <v>357</v>
      </c>
      <c r="K12" s="37" t="s">
        <v>2</v>
      </c>
      <c r="L12" s="37" t="s">
        <v>48</v>
      </c>
      <c r="M12" s="37" t="s">
        <v>316</v>
      </c>
      <c r="N12" s="37" t="s">
        <v>101</v>
      </c>
      <c r="O12" s="38">
        <v>42284.299189814818</v>
      </c>
      <c r="P12" s="37" t="s">
        <v>4</v>
      </c>
      <c r="Q12" s="37" t="s">
        <v>80</v>
      </c>
      <c r="R12" s="38">
        <v>42136.329375000001</v>
      </c>
      <c r="S12" s="37" t="s">
        <v>22</v>
      </c>
      <c r="U12" s="37" t="s">
        <v>347</v>
      </c>
      <c r="V12" s="37" t="s">
        <v>6</v>
      </c>
      <c r="W12" s="37" t="s">
        <v>30</v>
      </c>
      <c r="X12" s="37" t="s">
        <v>8</v>
      </c>
      <c r="Y12" s="37" t="s">
        <v>153</v>
      </c>
      <c r="AA12" s="37" t="s">
        <v>49</v>
      </c>
      <c r="AB12" s="37" t="s">
        <v>10</v>
      </c>
      <c r="AC12" s="37" t="s">
        <v>7</v>
      </c>
      <c r="AD12" s="37" t="s">
        <v>82</v>
      </c>
      <c r="AE12" s="37" t="s">
        <v>7</v>
      </c>
      <c r="AF12" s="37" t="s">
        <v>7</v>
      </c>
      <c r="AG12" s="37" t="s">
        <v>7</v>
      </c>
      <c r="AH12" s="37" t="s">
        <v>192</v>
      </c>
      <c r="AI12" s="37" t="s">
        <v>7</v>
      </c>
    </row>
    <row r="13" spans="1:35" hidden="1" x14ac:dyDescent="0.3">
      <c r="E13" s="37" t="s">
        <v>195</v>
      </c>
      <c r="G13" s="19" t="str">
        <f t="shared" ca="1" si="0"/>
        <v>62843</v>
      </c>
      <c r="H13" s="37">
        <v>62849</v>
      </c>
      <c r="I13" s="37" t="s">
        <v>338</v>
      </c>
      <c r="J13" s="37" t="s">
        <v>358</v>
      </c>
      <c r="K13" s="37" t="s">
        <v>11</v>
      </c>
      <c r="L13" s="37" t="s">
        <v>48</v>
      </c>
      <c r="M13" s="37" t="s">
        <v>81</v>
      </c>
      <c r="O13" s="38">
        <v>42272.69771990741</v>
      </c>
      <c r="P13" s="37" t="s">
        <v>159</v>
      </c>
      <c r="Q13" s="37" t="s">
        <v>80</v>
      </c>
      <c r="R13" s="38">
        <v>42146.516782407409</v>
      </c>
      <c r="S13" s="37" t="s">
        <v>215</v>
      </c>
      <c r="U13" s="37" t="s">
        <v>347</v>
      </c>
      <c r="V13" s="37" t="s">
        <v>17</v>
      </c>
      <c r="W13" s="37" t="s">
        <v>30</v>
      </c>
      <c r="X13" s="37" t="s">
        <v>8</v>
      </c>
      <c r="Y13" s="37" t="s">
        <v>216</v>
      </c>
      <c r="AA13" s="37" t="s">
        <v>55</v>
      </c>
      <c r="AB13" s="37" t="s">
        <v>10</v>
      </c>
      <c r="AC13" s="37" t="s">
        <v>7</v>
      </c>
      <c r="AD13" s="37" t="s">
        <v>82</v>
      </c>
      <c r="AE13" s="37" t="s">
        <v>7</v>
      </c>
      <c r="AF13" s="37" t="s">
        <v>7</v>
      </c>
      <c r="AG13" s="37" t="s">
        <v>7</v>
      </c>
      <c r="AH13" s="37" t="s">
        <v>186</v>
      </c>
      <c r="AI13" s="37" t="s">
        <v>7</v>
      </c>
    </row>
    <row r="14" spans="1:35" hidden="1" x14ac:dyDescent="0.3">
      <c r="E14" s="37" t="s">
        <v>195</v>
      </c>
      <c r="G14" s="19" t="str">
        <f t="shared" ca="1" si="0"/>
        <v>63194</v>
      </c>
      <c r="H14" s="37">
        <v>63196</v>
      </c>
      <c r="I14" s="37" t="s">
        <v>331</v>
      </c>
      <c r="J14" s="37" t="s">
        <v>359</v>
      </c>
      <c r="K14" s="37" t="s">
        <v>2</v>
      </c>
      <c r="L14" s="37" t="s">
        <v>48</v>
      </c>
      <c r="M14" s="37" t="s">
        <v>81</v>
      </c>
      <c r="O14" s="38">
        <v>42271.617465277777</v>
      </c>
      <c r="P14" s="37" t="s">
        <v>20</v>
      </c>
      <c r="Q14" s="37" t="s">
        <v>80</v>
      </c>
      <c r="R14" s="38">
        <v>42153.756909722222</v>
      </c>
      <c r="S14" s="37" t="s">
        <v>22</v>
      </c>
      <c r="U14" s="37" t="s">
        <v>347</v>
      </c>
      <c r="V14" s="37" t="s">
        <v>6</v>
      </c>
      <c r="W14" s="37" t="s">
        <v>30</v>
      </c>
      <c r="X14" s="37" t="s">
        <v>13</v>
      </c>
      <c r="Y14" s="37" t="s">
        <v>19</v>
      </c>
      <c r="AA14" s="37" t="s">
        <v>9</v>
      </c>
      <c r="AB14" s="37" t="s">
        <v>10</v>
      </c>
      <c r="AC14" s="37" t="s">
        <v>306</v>
      </c>
      <c r="AD14" s="37" t="s">
        <v>82</v>
      </c>
      <c r="AE14" s="37" t="s">
        <v>7</v>
      </c>
      <c r="AF14" s="37" t="s">
        <v>7</v>
      </c>
      <c r="AG14" s="37" t="s">
        <v>7</v>
      </c>
      <c r="AH14" s="37" t="s">
        <v>192</v>
      </c>
      <c r="AI14" s="37" t="s">
        <v>7</v>
      </c>
    </row>
    <row r="15" spans="1:35" hidden="1" x14ac:dyDescent="0.3">
      <c r="E15" s="37" t="s">
        <v>195</v>
      </c>
      <c r="G15" s="19" t="str">
        <f t="shared" ca="1" si="0"/>
        <v>63347</v>
      </c>
      <c r="H15" s="37">
        <v>63361</v>
      </c>
      <c r="I15" s="37" t="s">
        <v>331</v>
      </c>
      <c r="J15" s="37" t="s">
        <v>378</v>
      </c>
      <c r="K15" s="37" t="s">
        <v>2</v>
      </c>
      <c r="L15" s="37" t="s">
        <v>48</v>
      </c>
      <c r="M15" s="37" t="s">
        <v>81</v>
      </c>
      <c r="O15" s="38">
        <v>42269.594328703701</v>
      </c>
      <c r="P15" s="37" t="s">
        <v>159</v>
      </c>
      <c r="Q15" s="37" t="s">
        <v>167</v>
      </c>
      <c r="R15" s="38">
        <v>42158.017129629632</v>
      </c>
      <c r="S15" s="37" t="s">
        <v>102</v>
      </c>
      <c r="U15" s="37" t="s">
        <v>347</v>
      </c>
      <c r="V15" s="37" t="s">
        <v>6</v>
      </c>
      <c r="W15" s="37" t="s">
        <v>30</v>
      </c>
      <c r="X15" s="37" t="s">
        <v>13</v>
      </c>
      <c r="Y15" s="37" t="s">
        <v>19</v>
      </c>
      <c r="AA15" s="37" t="s">
        <v>9</v>
      </c>
      <c r="AB15" s="37" t="s">
        <v>10</v>
      </c>
      <c r="AC15" s="37" t="s">
        <v>7</v>
      </c>
      <c r="AD15" s="37" t="s">
        <v>82</v>
      </c>
      <c r="AE15" s="37" t="s">
        <v>7</v>
      </c>
      <c r="AF15" s="37" t="s">
        <v>7</v>
      </c>
      <c r="AG15" s="37" t="s">
        <v>7</v>
      </c>
      <c r="AH15" s="37" t="s">
        <v>192</v>
      </c>
      <c r="AI15" s="37" t="s">
        <v>7</v>
      </c>
    </row>
    <row r="16" spans="1:35" hidden="1" x14ac:dyDescent="0.3">
      <c r="E16" s="37" t="s">
        <v>195</v>
      </c>
      <c r="G16" s="19" t="str">
        <f t="shared" ca="1" si="0"/>
        <v>64221</v>
      </c>
      <c r="H16" s="37">
        <v>64224</v>
      </c>
      <c r="I16" s="37" t="s">
        <v>376</v>
      </c>
      <c r="J16" s="37" t="s">
        <v>360</v>
      </c>
      <c r="K16" s="37" t="s">
        <v>2</v>
      </c>
      <c r="L16" s="37" t="s">
        <v>48</v>
      </c>
      <c r="M16" s="37" t="s">
        <v>81</v>
      </c>
      <c r="O16" s="38">
        <v>42272.710092592592</v>
      </c>
      <c r="P16" s="37" t="s">
        <v>20</v>
      </c>
      <c r="Q16" s="37" t="s">
        <v>80</v>
      </c>
      <c r="R16" s="38">
        <v>42172.453182870369</v>
      </c>
      <c r="S16" s="37" t="s">
        <v>22</v>
      </c>
      <c r="U16" s="37" t="s">
        <v>347</v>
      </c>
      <c r="V16" s="37" t="s">
        <v>6</v>
      </c>
      <c r="W16" s="37" t="s">
        <v>30</v>
      </c>
      <c r="X16" s="37" t="s">
        <v>13</v>
      </c>
      <c r="Y16" s="37" t="s">
        <v>19</v>
      </c>
      <c r="AA16" s="37" t="s">
        <v>55</v>
      </c>
      <c r="AB16" s="37" t="s">
        <v>10</v>
      </c>
      <c r="AC16" s="37" t="s">
        <v>7</v>
      </c>
      <c r="AD16" s="37" t="s">
        <v>82</v>
      </c>
      <c r="AE16" s="37" t="s">
        <v>7</v>
      </c>
      <c r="AF16" s="37" t="s">
        <v>7</v>
      </c>
      <c r="AG16" s="37" t="s">
        <v>7</v>
      </c>
      <c r="AH16" s="37" t="s">
        <v>192</v>
      </c>
      <c r="AI16" s="37" t="s">
        <v>7</v>
      </c>
    </row>
    <row r="17" spans="3:35" hidden="1" x14ac:dyDescent="0.3">
      <c r="E17" s="37" t="s">
        <v>195</v>
      </c>
      <c r="G17" s="19" t="str">
        <f t="shared" ca="1" si="0"/>
        <v>42454</v>
      </c>
      <c r="H17" s="37">
        <v>65141</v>
      </c>
      <c r="I17" s="37" t="s">
        <v>564</v>
      </c>
      <c r="J17" s="37" t="s">
        <v>373</v>
      </c>
      <c r="K17" s="37" t="s">
        <v>11</v>
      </c>
      <c r="L17" s="37" t="s">
        <v>48</v>
      </c>
      <c r="M17" s="37" t="s">
        <v>81</v>
      </c>
      <c r="O17" s="38">
        <v>42290.931388888886</v>
      </c>
      <c r="P17" s="37" t="s">
        <v>159</v>
      </c>
      <c r="Q17" s="37" t="s">
        <v>15</v>
      </c>
      <c r="R17" s="38">
        <v>42192.424791666665</v>
      </c>
      <c r="S17" s="37" t="s">
        <v>16</v>
      </c>
      <c r="U17" s="37" t="s">
        <v>347</v>
      </c>
      <c r="V17" s="37" t="s">
        <v>17</v>
      </c>
      <c r="W17" s="37" t="s">
        <v>18</v>
      </c>
      <c r="X17" s="37" t="s">
        <v>13</v>
      </c>
      <c r="Y17" s="37" t="s">
        <v>19</v>
      </c>
      <c r="AA17" s="37" t="s">
        <v>49</v>
      </c>
      <c r="AB17" s="37" t="s">
        <v>89</v>
      </c>
      <c r="AC17" s="37" t="s">
        <v>7</v>
      </c>
      <c r="AD17" s="37" t="s">
        <v>82</v>
      </c>
      <c r="AE17" s="37" t="s">
        <v>7</v>
      </c>
      <c r="AF17" s="37" t="s">
        <v>7</v>
      </c>
      <c r="AG17" s="37" t="s">
        <v>7</v>
      </c>
      <c r="AH17" s="37" t="s">
        <v>192</v>
      </c>
      <c r="AI17" s="37" t="s">
        <v>7</v>
      </c>
    </row>
    <row r="18" spans="3:35" hidden="1" x14ac:dyDescent="0.3">
      <c r="E18" s="37" t="s">
        <v>195</v>
      </c>
      <c r="G18" s="19" t="str">
        <f t="shared" ca="1" si="0"/>
        <v>65346</v>
      </c>
      <c r="H18" s="37">
        <v>65355</v>
      </c>
      <c r="I18" s="37" t="s">
        <v>376</v>
      </c>
      <c r="J18" s="37" t="s">
        <v>361</v>
      </c>
      <c r="K18" s="37" t="s">
        <v>2</v>
      </c>
      <c r="L18" s="37" t="s">
        <v>48</v>
      </c>
      <c r="M18" s="37" t="s">
        <v>81</v>
      </c>
      <c r="O18" s="38">
        <v>42297.400254629632</v>
      </c>
      <c r="P18" s="37" t="s">
        <v>20</v>
      </c>
      <c r="Q18" s="37" t="s">
        <v>83</v>
      </c>
      <c r="R18" s="38">
        <v>42195.547615740739</v>
      </c>
      <c r="S18" s="37" t="s">
        <v>16</v>
      </c>
      <c r="U18" s="37" t="s">
        <v>347</v>
      </c>
      <c r="V18" s="37" t="s">
        <v>6</v>
      </c>
      <c r="W18" s="37" t="s">
        <v>30</v>
      </c>
      <c r="X18" s="37" t="s">
        <v>13</v>
      </c>
      <c r="Y18" s="37" t="s">
        <v>19</v>
      </c>
      <c r="AA18" s="37" t="s">
        <v>9</v>
      </c>
      <c r="AB18" s="37" t="s">
        <v>10</v>
      </c>
      <c r="AC18" s="37" t="s">
        <v>306</v>
      </c>
      <c r="AD18" s="37" t="s">
        <v>82</v>
      </c>
      <c r="AE18" s="37" t="s">
        <v>7</v>
      </c>
      <c r="AF18" s="37" t="s">
        <v>7</v>
      </c>
      <c r="AG18" s="37" t="s">
        <v>7</v>
      </c>
      <c r="AH18" s="37" t="s">
        <v>186</v>
      </c>
      <c r="AI18" s="37" t="s">
        <v>7</v>
      </c>
    </row>
    <row r="19" spans="3:35" hidden="1" x14ac:dyDescent="0.3">
      <c r="E19" s="37" t="s">
        <v>195</v>
      </c>
      <c r="G19" s="19" t="str">
        <f t="shared" ca="1" si="0"/>
        <v>65204</v>
      </c>
      <c r="H19" s="37">
        <v>65442</v>
      </c>
      <c r="I19" s="37" t="s">
        <v>374</v>
      </c>
      <c r="J19" s="37" t="s">
        <v>530</v>
      </c>
      <c r="K19" s="37" t="s">
        <v>11</v>
      </c>
      <c r="L19" s="37" t="s">
        <v>48</v>
      </c>
      <c r="M19" s="37" t="s">
        <v>81</v>
      </c>
      <c r="O19" s="38">
        <v>42269.319050925929</v>
      </c>
      <c r="P19" s="37" t="s">
        <v>20</v>
      </c>
      <c r="Q19" s="37" t="s">
        <v>80</v>
      </c>
      <c r="R19" s="38">
        <v>42198.492662037039</v>
      </c>
      <c r="S19" s="37" t="s">
        <v>29</v>
      </c>
      <c r="U19" s="37" t="s">
        <v>347</v>
      </c>
      <c r="V19" s="37" t="s">
        <v>6</v>
      </c>
      <c r="W19" s="37" t="s">
        <v>30</v>
      </c>
      <c r="X19" s="37" t="s">
        <v>8</v>
      </c>
      <c r="Y19" s="37" t="s">
        <v>153</v>
      </c>
      <c r="AA19" s="37" t="s">
        <v>7</v>
      </c>
      <c r="AB19" s="37" t="s">
        <v>10</v>
      </c>
      <c r="AC19" s="37" t="s">
        <v>7</v>
      </c>
      <c r="AD19" s="37" t="s">
        <v>114</v>
      </c>
      <c r="AE19" s="37" t="s">
        <v>7</v>
      </c>
      <c r="AF19" s="37" t="s">
        <v>7</v>
      </c>
      <c r="AG19" s="37" t="s">
        <v>7</v>
      </c>
      <c r="AH19" s="37" t="s">
        <v>7</v>
      </c>
      <c r="AI19" s="37" t="s">
        <v>531</v>
      </c>
    </row>
    <row r="20" spans="3:35" hidden="1" x14ac:dyDescent="0.3">
      <c r="E20" s="37" t="s">
        <v>195</v>
      </c>
      <c r="G20" s="19" t="str">
        <f t="shared" ca="1" si="0"/>
        <v>65660</v>
      </c>
      <c r="H20" s="37">
        <v>65764</v>
      </c>
      <c r="I20" s="37" t="s">
        <v>376</v>
      </c>
      <c r="J20" s="37" t="s">
        <v>362</v>
      </c>
      <c r="K20" s="37" t="s">
        <v>2</v>
      </c>
      <c r="L20" s="37" t="s">
        <v>48</v>
      </c>
      <c r="M20" s="37" t="s">
        <v>81</v>
      </c>
      <c r="O20" s="38">
        <v>42292.086261574077</v>
      </c>
      <c r="P20" s="37" t="s">
        <v>4</v>
      </c>
      <c r="Q20" s="37" t="s">
        <v>80</v>
      </c>
      <c r="R20" s="38">
        <v>42205.328900462962</v>
      </c>
      <c r="S20" s="37" t="s">
        <v>29</v>
      </c>
      <c r="U20" s="37" t="s">
        <v>347</v>
      </c>
      <c r="V20" s="37" t="s">
        <v>6</v>
      </c>
      <c r="W20" s="37" t="s">
        <v>30</v>
      </c>
      <c r="X20" s="37" t="s">
        <v>13</v>
      </c>
      <c r="Y20" s="37" t="s">
        <v>19</v>
      </c>
      <c r="AA20" s="37" t="s">
        <v>55</v>
      </c>
      <c r="AB20" s="37" t="s">
        <v>10</v>
      </c>
      <c r="AC20" s="37" t="s">
        <v>7</v>
      </c>
      <c r="AD20" s="37" t="s">
        <v>82</v>
      </c>
      <c r="AE20" s="37" t="s">
        <v>7</v>
      </c>
      <c r="AF20" s="37" t="s">
        <v>309</v>
      </c>
      <c r="AG20" s="37" t="s">
        <v>363</v>
      </c>
      <c r="AH20" s="37" t="s">
        <v>192</v>
      </c>
      <c r="AI20" s="37" t="s">
        <v>7</v>
      </c>
    </row>
    <row r="21" spans="3:35" hidden="1" x14ac:dyDescent="0.3">
      <c r="E21" s="37" t="s">
        <v>195</v>
      </c>
      <c r="G21" s="19" t="str">
        <f t="shared" ca="1" si="0"/>
        <v>67747</v>
      </c>
      <c r="H21" s="37">
        <v>67753</v>
      </c>
      <c r="I21" s="37" t="s">
        <v>376</v>
      </c>
      <c r="J21" s="37" t="s">
        <v>364</v>
      </c>
      <c r="K21" s="37" t="s">
        <v>11</v>
      </c>
      <c r="L21" s="37" t="s">
        <v>48</v>
      </c>
      <c r="M21" s="37" t="s">
        <v>81</v>
      </c>
      <c r="O21" s="38">
        <v>42282.61078703704</v>
      </c>
      <c r="P21" s="37" t="s">
        <v>20</v>
      </c>
      <c r="Q21" s="37" t="s">
        <v>3</v>
      </c>
      <c r="R21" s="38">
        <v>42241.635844907411</v>
      </c>
      <c r="S21" s="37" t="s">
        <v>16</v>
      </c>
      <c r="U21" s="37" t="s">
        <v>347</v>
      </c>
      <c r="V21" s="37" t="s">
        <v>17</v>
      </c>
      <c r="W21" s="37" t="s">
        <v>30</v>
      </c>
      <c r="X21" s="37" t="s">
        <v>13</v>
      </c>
      <c r="Y21" s="37" t="s">
        <v>19</v>
      </c>
      <c r="AA21" s="37" t="s">
        <v>9</v>
      </c>
      <c r="AB21" s="37" t="s">
        <v>10</v>
      </c>
      <c r="AC21" s="37" t="s">
        <v>7</v>
      </c>
      <c r="AD21" s="37" t="s">
        <v>82</v>
      </c>
      <c r="AE21" s="37" t="s">
        <v>7</v>
      </c>
      <c r="AF21" s="37" t="s">
        <v>7</v>
      </c>
      <c r="AG21" s="37" t="s">
        <v>7</v>
      </c>
      <c r="AH21" s="37" t="s">
        <v>7</v>
      </c>
      <c r="AI21" s="37" t="s">
        <v>354</v>
      </c>
    </row>
    <row r="22" spans="3:35" x14ac:dyDescent="0.3">
      <c r="E22" s="37" t="s">
        <v>239</v>
      </c>
      <c r="G22" s="19" t="str">
        <f t="shared" ca="1" si="0"/>
        <v>67626</v>
      </c>
      <c r="H22" s="37">
        <v>67759</v>
      </c>
      <c r="I22" s="37" t="s">
        <v>376</v>
      </c>
      <c r="J22" s="37" t="s">
        <v>365</v>
      </c>
      <c r="K22" s="37" t="s">
        <v>11</v>
      </c>
      <c r="L22" s="37" t="s">
        <v>48</v>
      </c>
      <c r="M22" s="37" t="s">
        <v>81</v>
      </c>
      <c r="O22" s="38">
        <v>42290.930243055554</v>
      </c>
      <c r="P22" s="37" t="s">
        <v>20</v>
      </c>
      <c r="Q22" s="37" t="s">
        <v>320</v>
      </c>
      <c r="R22" s="38">
        <v>42241.641377314816</v>
      </c>
      <c r="S22" s="37" t="s">
        <v>16</v>
      </c>
      <c r="U22" s="37" t="s">
        <v>366</v>
      </c>
      <c r="V22" s="37" t="s">
        <v>17</v>
      </c>
      <c r="W22" s="37" t="s">
        <v>30</v>
      </c>
      <c r="X22" s="37" t="s">
        <v>13</v>
      </c>
      <c r="Y22" s="37" t="s">
        <v>19</v>
      </c>
      <c r="AA22" s="37" t="s">
        <v>49</v>
      </c>
      <c r="AB22" s="37" t="s">
        <v>10</v>
      </c>
      <c r="AC22" s="37" t="s">
        <v>7</v>
      </c>
      <c r="AD22" s="37" t="s">
        <v>82</v>
      </c>
      <c r="AE22" s="37" t="s">
        <v>7</v>
      </c>
      <c r="AF22" s="37" t="s">
        <v>7</v>
      </c>
      <c r="AG22" s="37" t="s">
        <v>7</v>
      </c>
      <c r="AH22" s="37" t="s">
        <v>186</v>
      </c>
      <c r="AI22" s="37" t="s">
        <v>7</v>
      </c>
    </row>
    <row r="23" spans="3:35" x14ac:dyDescent="0.3">
      <c r="E23" s="37" t="s">
        <v>239</v>
      </c>
      <c r="G23" s="19" t="str">
        <f t="shared" ca="1" si="0"/>
        <v>68497</v>
      </c>
      <c r="H23" s="37">
        <v>68859</v>
      </c>
      <c r="I23" s="37" t="s">
        <v>332</v>
      </c>
      <c r="J23" s="37" t="s">
        <v>554</v>
      </c>
      <c r="K23" s="37" t="s">
        <v>11</v>
      </c>
      <c r="L23" s="37" t="s">
        <v>48</v>
      </c>
      <c r="M23" s="37" t="s">
        <v>555</v>
      </c>
      <c r="O23" s="38">
        <v>42291.989768518521</v>
      </c>
      <c r="P23" s="37" t="s">
        <v>20</v>
      </c>
      <c r="Q23" s="37" t="s">
        <v>80</v>
      </c>
      <c r="R23" s="38">
        <v>42257.3987037037</v>
      </c>
      <c r="S23" s="37" t="s">
        <v>56</v>
      </c>
      <c r="U23" s="37" t="s">
        <v>366</v>
      </c>
      <c r="V23" s="37" t="s">
        <v>6</v>
      </c>
      <c r="W23" s="37" t="s">
        <v>30</v>
      </c>
      <c r="X23" s="37" t="s">
        <v>24</v>
      </c>
      <c r="Y23" s="37" t="s">
        <v>46</v>
      </c>
      <c r="AA23" s="37" t="s">
        <v>7</v>
      </c>
      <c r="AB23" s="37" t="s">
        <v>10</v>
      </c>
      <c r="AC23" s="37" t="s">
        <v>306</v>
      </c>
      <c r="AD23" s="37" t="s">
        <v>114</v>
      </c>
      <c r="AE23" s="37" t="s">
        <v>7</v>
      </c>
      <c r="AF23" s="37" t="s">
        <v>309</v>
      </c>
      <c r="AG23" s="37" t="s">
        <v>7</v>
      </c>
      <c r="AH23" s="37" t="s">
        <v>192</v>
      </c>
      <c r="AI23" s="37" t="s">
        <v>7</v>
      </c>
    </row>
    <row r="24" spans="3:35" x14ac:dyDescent="0.3">
      <c r="C24" s="37" t="s">
        <v>195</v>
      </c>
      <c r="D24" s="37" t="s">
        <v>195</v>
      </c>
      <c r="E24" s="37" t="s">
        <v>239</v>
      </c>
      <c r="G24" s="19" t="str">
        <f t="shared" ca="1" si="0"/>
        <v>68845</v>
      </c>
      <c r="H24" s="37">
        <v>69181</v>
      </c>
      <c r="I24" s="37" t="s">
        <v>332</v>
      </c>
      <c r="J24" s="37" t="s">
        <v>379</v>
      </c>
      <c r="K24" s="37" t="s">
        <v>2</v>
      </c>
      <c r="L24" s="37" t="s">
        <v>48</v>
      </c>
      <c r="M24" s="37" t="s">
        <v>81</v>
      </c>
      <c r="N24" s="37" t="s">
        <v>380</v>
      </c>
      <c r="O24" s="38">
        <v>42286.314756944441</v>
      </c>
      <c r="P24" s="37" t="s">
        <v>20</v>
      </c>
      <c r="Q24" s="37" t="s">
        <v>381</v>
      </c>
      <c r="R24" s="38">
        <v>42263.493043981478</v>
      </c>
      <c r="S24" s="37" t="s">
        <v>96</v>
      </c>
      <c r="U24" s="37" t="s">
        <v>366</v>
      </c>
      <c r="V24" s="37" t="s">
        <v>12</v>
      </c>
      <c r="W24" s="37" t="s">
        <v>30</v>
      </c>
      <c r="X24" s="37" t="s">
        <v>24</v>
      </c>
      <c r="Y24" s="37" t="s">
        <v>46</v>
      </c>
      <c r="AA24" s="37" t="s">
        <v>49</v>
      </c>
      <c r="AB24" s="37" t="s">
        <v>10</v>
      </c>
      <c r="AC24" s="37" t="s">
        <v>7</v>
      </c>
      <c r="AD24" s="37" t="s">
        <v>82</v>
      </c>
      <c r="AE24" s="37" t="s">
        <v>7</v>
      </c>
      <c r="AF24" s="37" t="s">
        <v>7</v>
      </c>
      <c r="AG24" s="37" t="s">
        <v>7</v>
      </c>
      <c r="AH24" s="37" t="s">
        <v>186</v>
      </c>
      <c r="AI24" s="37" t="s">
        <v>7</v>
      </c>
    </row>
    <row r="25" spans="3:35" hidden="1" x14ac:dyDescent="0.3">
      <c r="E25" s="37" t="s">
        <v>239</v>
      </c>
      <c r="G25" s="19" t="str">
        <f t="shared" ca="1" si="0"/>
        <v>71325</v>
      </c>
      <c r="H25" s="37">
        <v>71342</v>
      </c>
      <c r="I25" s="37" t="s">
        <v>336</v>
      </c>
      <c r="J25" s="37" t="s">
        <v>579</v>
      </c>
      <c r="K25" s="37" t="s">
        <v>2</v>
      </c>
      <c r="L25" s="37" t="s">
        <v>48</v>
      </c>
      <c r="M25" s="37" t="s">
        <v>81</v>
      </c>
      <c r="O25" s="38">
        <v>42304.328506944446</v>
      </c>
      <c r="P25" s="37" t="s">
        <v>20</v>
      </c>
      <c r="Q25" s="37" t="s">
        <v>83</v>
      </c>
      <c r="R25" s="38">
        <v>42298.521087962959</v>
      </c>
      <c r="S25" s="37" t="s">
        <v>16</v>
      </c>
      <c r="V25" s="37" t="s">
        <v>12</v>
      </c>
      <c r="W25" s="37" t="s">
        <v>580</v>
      </c>
      <c r="X25" s="37" t="s">
        <v>13</v>
      </c>
      <c r="Y25" s="37" t="s">
        <v>19</v>
      </c>
      <c r="AA25" s="37" t="s">
        <v>49</v>
      </c>
      <c r="AB25" s="37" t="s">
        <v>10</v>
      </c>
      <c r="AC25" s="37" t="s">
        <v>7</v>
      </c>
      <c r="AD25" s="37" t="s">
        <v>82</v>
      </c>
      <c r="AE25" s="37" t="s">
        <v>7</v>
      </c>
      <c r="AF25" s="37" t="s">
        <v>7</v>
      </c>
      <c r="AG25" s="37" t="s">
        <v>7</v>
      </c>
      <c r="AH25" s="37" t="s">
        <v>192</v>
      </c>
      <c r="AI25" s="37" t="s">
        <v>7</v>
      </c>
    </row>
    <row r="26" spans="3:35" x14ac:dyDescent="0.3">
      <c r="G26" s="19" t="str">
        <f t="shared" ca="1" si="0"/>
        <v/>
      </c>
      <c r="O26" s="38"/>
      <c r="R26" s="38"/>
    </row>
    <row r="27" spans="3:35" x14ac:dyDescent="0.3">
      <c r="G27" s="19" t="str">
        <f t="shared" ca="1" si="0"/>
        <v/>
      </c>
      <c r="O27" s="38"/>
      <c r="R27" s="38"/>
    </row>
    <row r="28" spans="3:35" x14ac:dyDescent="0.3">
      <c r="G28" s="19" t="str">
        <f t="shared" ca="1" si="0"/>
        <v/>
      </c>
      <c r="O28" s="38"/>
      <c r="R28" s="38"/>
    </row>
    <row r="29" spans="3:35" x14ac:dyDescent="0.3">
      <c r="G29" s="19" t="str">
        <f t="shared" ca="1" si="0"/>
        <v/>
      </c>
      <c r="O29" s="38"/>
      <c r="R29" s="38"/>
    </row>
    <row r="30" spans="3:35" x14ac:dyDescent="0.3">
      <c r="G30" s="19" t="str">
        <f t="shared" ca="1" si="0"/>
        <v/>
      </c>
      <c r="O30" s="38"/>
      <c r="R30" s="38"/>
    </row>
    <row r="31" spans="3:35" x14ac:dyDescent="0.3">
      <c r="G31" s="19" t="str">
        <f t="shared" ca="1" si="0"/>
        <v/>
      </c>
      <c r="O31" s="38"/>
      <c r="R31" s="38"/>
    </row>
    <row r="32" spans="3:35" x14ac:dyDescent="0.3">
      <c r="G32" s="19" t="str">
        <f t="shared" ca="1" si="0"/>
        <v/>
      </c>
      <c r="O32" s="38"/>
      <c r="R32" s="38"/>
    </row>
    <row r="33" spans="4:18" x14ac:dyDescent="0.3">
      <c r="G33" s="19" t="str">
        <f t="shared" ca="1" si="0"/>
        <v/>
      </c>
      <c r="O33" s="38"/>
      <c r="R33" s="38"/>
    </row>
    <row r="34" spans="4:18" x14ac:dyDescent="0.3">
      <c r="G34" s="19" t="str">
        <f t="shared" ca="1" si="0"/>
        <v/>
      </c>
      <c r="O34" s="38"/>
      <c r="R34" s="38"/>
    </row>
    <row r="35" spans="4:18" x14ac:dyDescent="0.3">
      <c r="G35" s="19" t="str">
        <f t="shared" ca="1" si="0"/>
        <v/>
      </c>
      <c r="O35" s="38"/>
      <c r="R35" s="38"/>
    </row>
    <row r="36" spans="4:18" x14ac:dyDescent="0.3">
      <c r="G36" s="19" t="str">
        <f t="shared" ca="1" si="0"/>
        <v/>
      </c>
      <c r="O36" s="38"/>
      <c r="R36" s="38"/>
    </row>
    <row r="37" spans="4:18" x14ac:dyDescent="0.3">
      <c r="G37" s="19" t="str">
        <f t="shared" ca="1" si="0"/>
        <v/>
      </c>
      <c r="O37" s="38"/>
      <c r="R37" s="38"/>
    </row>
    <row r="38" spans="4:18" x14ac:dyDescent="0.3">
      <c r="G38" s="19" t="str">
        <f t="shared" ca="1" si="0"/>
        <v/>
      </c>
      <c r="O38" s="38"/>
      <c r="R38" s="38"/>
    </row>
    <row r="39" spans="4:18" x14ac:dyDescent="0.3">
      <c r="G39" s="19" t="str">
        <f t="shared" ca="1" si="0"/>
        <v/>
      </c>
      <c r="O39" s="38"/>
      <c r="R39" s="38"/>
    </row>
    <row r="40" spans="4:18" x14ac:dyDescent="0.3">
      <c r="G40" s="19" t="str">
        <f t="shared" ca="1" si="0"/>
        <v/>
      </c>
      <c r="O40" s="38"/>
      <c r="R40" s="38"/>
    </row>
    <row r="41" spans="4:18" x14ac:dyDescent="0.3">
      <c r="G41" s="19" t="str">
        <f t="shared" ca="1" si="0"/>
        <v/>
      </c>
      <c r="O41" s="38"/>
      <c r="R41" s="38"/>
    </row>
    <row r="42" spans="4:18" x14ac:dyDescent="0.3">
      <c r="G42" s="19" t="str">
        <f t="shared" ca="1" si="0"/>
        <v/>
      </c>
      <c r="O42" s="38"/>
      <c r="R42" s="38"/>
    </row>
    <row r="43" spans="4:18" x14ac:dyDescent="0.3">
      <c r="G43" s="19"/>
      <c r="O43" s="38"/>
      <c r="R43" s="38"/>
    </row>
    <row r="45" spans="4:18" x14ac:dyDescent="0.3">
      <c r="D45" s="37">
        <f>SUBTOTAL(3,C2:C42)</f>
        <v>2</v>
      </c>
      <c r="G45" s="37" t="s">
        <v>142</v>
      </c>
    </row>
    <row r="55" spans="1:19" x14ac:dyDescent="0.3">
      <c r="G55" s="19"/>
      <c r="O55" s="34"/>
      <c r="S55" s="34"/>
    </row>
    <row r="57" spans="1:19" x14ac:dyDescent="0.3">
      <c r="A57" s="36" t="s">
        <v>247</v>
      </c>
      <c r="B57" s="37" t="s">
        <v>195</v>
      </c>
      <c r="G57" s="19"/>
      <c r="O57" s="38"/>
      <c r="R57" s="38"/>
    </row>
    <row r="58" spans="1:19" x14ac:dyDescent="0.3">
      <c r="A58" s="40" t="s">
        <v>290</v>
      </c>
      <c r="G58" s="19"/>
      <c r="O58" s="38"/>
      <c r="R58" s="38"/>
    </row>
    <row r="59" spans="1:19" x14ac:dyDescent="0.3">
      <c r="A59" s="37" t="s">
        <v>294</v>
      </c>
      <c r="G59" s="19"/>
      <c r="O59" s="38"/>
      <c r="R59" s="38"/>
    </row>
    <row r="60" spans="1:19" x14ac:dyDescent="0.3">
      <c r="A60" s="37" t="s">
        <v>300</v>
      </c>
      <c r="G60" s="19"/>
      <c r="O60" s="38"/>
      <c r="R60" s="38"/>
    </row>
    <row r="61" spans="1:19" x14ac:dyDescent="0.3">
      <c r="G61" s="19"/>
      <c r="O61" s="38"/>
      <c r="R61" s="38"/>
    </row>
    <row r="62" spans="1:19" x14ac:dyDescent="0.3">
      <c r="G62" s="19"/>
      <c r="O62" s="38"/>
      <c r="R62" s="38"/>
    </row>
    <row r="64" spans="1:19" x14ac:dyDescent="0.3">
      <c r="G64" s="2" t="s">
        <v>260</v>
      </c>
    </row>
    <row r="65" spans="7:7" x14ac:dyDescent="0.3">
      <c r="G65" s="2" t="s">
        <v>261</v>
      </c>
    </row>
    <row r="66" spans="7:7" x14ac:dyDescent="0.3">
      <c r="G66" s="2" t="s">
        <v>262</v>
      </c>
    </row>
    <row r="67" spans="7:7" x14ac:dyDescent="0.3">
      <c r="G67" s="2" t="s">
        <v>263</v>
      </c>
    </row>
    <row r="68" spans="7:7" x14ac:dyDescent="0.3">
      <c r="G68" s="2" t="s">
        <v>264</v>
      </c>
    </row>
  </sheetData>
  <autoFilter ref="B1:AF42">
    <filterColumn colId="3">
      <filters>
        <filter val="n"/>
      </filters>
    </filterColumn>
    <filterColumn colId="6">
      <filters blank="1">
        <filter val="57057"/>
        <filter val="67759"/>
        <filter val="68859"/>
        <filter val="69181"/>
      </filters>
    </filterColumn>
    <filterColumn colId="8">
      <filters blank="1">
        <filter val="[Master=52549, Atlas][UDU118475] No Ldap user access from CIFS or NFS after configuring Ldap with REST - &quot;Ldap&quot; not added to stacking order"/>
        <filter val="[Master=67626, Atlas] HP-SMB fails to start after system reboot, lsass processes stuck and unresponsive"/>
        <filter val="[Master=68497, Atlas ]Remote Copy of FPG of same name breaks NFS shares"/>
        <filter val="[Master=68845, Atlas] FSX run over NFS share fails with &quot;Size error: expected 0x846dba3 stat 0xd4767a5 seek 0xd4767a5 &quot;"/>
        <filter val="[Master=71325, Atlas] [Customer: Kinecta FCU] Unable to migrate data from NetApp filer to File Persona SMB share"/>
      </filters>
    </filterColumn>
  </autoFilter>
  <conditionalFormatting sqref="H2:H42">
    <cfRule type="expression" dxfId="27" priority="1">
      <formula>IF(AA2="---",IF(AE2="---",1,0),0)</formula>
    </cfRule>
    <cfRule type="expression" dxfId="26" priority="2">
      <formula>IF(FIND("Denied",AA2),1,0)</formula>
    </cfRule>
    <cfRule type="expression" dxfId="25" priority="3">
      <formula>IF(FIND("Request",AA2),1,0)</formula>
    </cfRule>
    <cfRule type="expression" dxfId="24" priority="4">
      <formula>IF(FIND("Approve",AA2),1,0)</formula>
    </cfRule>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D1:AE13"/>
  <sheetViews>
    <sheetView workbookViewId="0">
      <selection activeCell="D6" sqref="D6"/>
    </sheetView>
  </sheetViews>
  <sheetFormatPr defaultRowHeight="14.4" x14ac:dyDescent="0.3"/>
  <cols>
    <col min="1" max="3" width="8.88671875" style="37"/>
    <col min="4" max="4" width="11" style="37" bestFit="1" customWidth="1"/>
    <col min="5" max="5" width="6" style="37" bestFit="1" customWidth="1"/>
    <col min="6" max="6" width="6.21875" style="37" bestFit="1" customWidth="1"/>
    <col min="7" max="7" width="28.44140625" style="37" hidden="1" customWidth="1"/>
    <col min="8" max="8" width="212.5546875" style="37" bestFit="1" customWidth="1"/>
    <col min="9" max="9" width="7.44140625" style="37" bestFit="1" customWidth="1"/>
    <col min="10" max="10" width="14.88671875" style="37" bestFit="1" customWidth="1"/>
    <col min="11" max="11" width="31.21875" style="37" bestFit="1" customWidth="1"/>
    <col min="12" max="12" width="24.5546875" style="37" bestFit="1" customWidth="1"/>
    <col min="13" max="13" width="14.6640625" style="37" bestFit="1" customWidth="1"/>
    <col min="14" max="14" width="10" style="37" bestFit="1" customWidth="1"/>
    <col min="15" max="15" width="15.21875" style="37" bestFit="1" customWidth="1"/>
    <col min="16" max="16" width="14.6640625" style="37" bestFit="1" customWidth="1"/>
    <col min="17" max="17" width="12" style="37" bestFit="1" customWidth="1"/>
    <col min="18" max="18" width="11" style="37" bestFit="1" customWidth="1"/>
    <col min="19" max="19" width="8.88671875" style="37"/>
    <col min="20" max="20" width="16.88671875" style="37" bestFit="1" customWidth="1"/>
    <col min="21" max="21" width="16.44140625" style="37" bestFit="1" customWidth="1"/>
    <col min="22" max="22" width="14.77734375" style="37" bestFit="1" customWidth="1"/>
    <col min="23" max="23" width="20.88671875" style="37" bestFit="1" customWidth="1"/>
    <col min="24" max="24" width="8.109375" style="37" bestFit="1" customWidth="1"/>
    <col min="25" max="25" width="26.109375" style="37" bestFit="1" customWidth="1"/>
    <col min="26" max="26" width="6.88671875" style="37" bestFit="1" customWidth="1"/>
    <col min="27" max="27" width="21.44140625" style="37" bestFit="1" customWidth="1"/>
    <col min="28" max="28" width="12.6640625" style="37" bestFit="1" customWidth="1"/>
    <col min="29" max="29" width="9.6640625" style="37" bestFit="1" customWidth="1"/>
    <col min="30" max="30" width="11.33203125" style="37" bestFit="1" customWidth="1"/>
    <col min="31" max="31" width="11.44140625" style="37" bestFit="1" customWidth="1"/>
    <col min="32" max="16384" width="8.88671875" style="37"/>
  </cols>
  <sheetData>
    <row r="1" spans="4:31" x14ac:dyDescent="0.3">
      <c r="D1" s="37" t="s">
        <v>341</v>
      </c>
      <c r="F1" s="37" t="s">
        <v>145</v>
      </c>
      <c r="G1" s="37" t="s">
        <v>57</v>
      </c>
      <c r="H1" s="37" t="s">
        <v>58</v>
      </c>
      <c r="I1" s="37" t="s">
        <v>59</v>
      </c>
      <c r="J1" s="37" t="s">
        <v>60</v>
      </c>
      <c r="K1" s="37" t="s">
        <v>61</v>
      </c>
      <c r="L1" s="37" t="s">
        <v>62</v>
      </c>
      <c r="M1" s="37" t="s">
        <v>63</v>
      </c>
      <c r="N1" s="37" t="s">
        <v>64</v>
      </c>
      <c r="O1" s="37" t="s">
        <v>65</v>
      </c>
      <c r="P1" s="37" t="s">
        <v>66</v>
      </c>
      <c r="Q1" s="37" t="s">
        <v>67</v>
      </c>
      <c r="R1" s="37" t="s">
        <v>68</v>
      </c>
      <c r="S1" s="37" t="s">
        <v>69</v>
      </c>
      <c r="T1" s="37" t="s">
        <v>70</v>
      </c>
      <c r="U1" s="37" t="s">
        <v>71</v>
      </c>
      <c r="V1" s="37" t="s">
        <v>72</v>
      </c>
      <c r="W1" s="37" t="s">
        <v>73</v>
      </c>
      <c r="X1" s="37" t="s">
        <v>74</v>
      </c>
      <c r="Y1" s="37" t="s">
        <v>75</v>
      </c>
      <c r="Z1" s="37" t="s">
        <v>76</v>
      </c>
      <c r="AA1" s="37" t="s">
        <v>77</v>
      </c>
      <c r="AB1" s="37" t="s">
        <v>78</v>
      </c>
      <c r="AC1" s="37" t="s">
        <v>157</v>
      </c>
      <c r="AD1" s="37" t="s">
        <v>307</v>
      </c>
      <c r="AE1" s="37" t="s">
        <v>308</v>
      </c>
    </row>
    <row r="2" spans="4:31" x14ac:dyDescent="0.3">
      <c r="E2" s="19" t="str">
        <f t="shared" ref="E2:E9" ca="1" si="0">HYPERLINK(CONCATENATE("https://bugzilla.houston.hp.com:1181/bugzilla/show_bug.cgi?id=",MID(INDIRECT($H$13&amp;ROW()),9,5)),MID(INDIRECT($H$13&amp;ROW()),9,5))</f>
        <v>59164</v>
      </c>
      <c r="F2" s="37">
        <v>59208</v>
      </c>
      <c r="G2" s="37" t="s">
        <v>331</v>
      </c>
      <c r="H2" s="37" t="s">
        <v>117</v>
      </c>
      <c r="I2" s="37" t="s">
        <v>11</v>
      </c>
      <c r="J2" s="37" t="s">
        <v>80</v>
      </c>
      <c r="K2" s="37" t="s">
        <v>118</v>
      </c>
      <c r="M2" s="38">
        <v>42248.958229166667</v>
      </c>
      <c r="N2" s="37" t="s">
        <v>20</v>
      </c>
      <c r="O2" s="37" t="s">
        <v>3</v>
      </c>
      <c r="P2" s="38">
        <v>42087.026030092595</v>
      </c>
      <c r="Q2" s="37" t="s">
        <v>16</v>
      </c>
      <c r="T2" s="37" t="s">
        <v>17</v>
      </c>
      <c r="U2" s="37" t="s">
        <v>30</v>
      </c>
      <c r="V2" s="37" t="s">
        <v>8</v>
      </c>
      <c r="W2" s="37" t="s">
        <v>38</v>
      </c>
      <c r="Y2" s="37" t="s">
        <v>7</v>
      </c>
      <c r="Z2" s="37" t="s">
        <v>10</v>
      </c>
      <c r="AA2" s="37" t="s">
        <v>7</v>
      </c>
      <c r="AB2" s="37" t="s">
        <v>82</v>
      </c>
      <c r="AC2" s="37" t="s">
        <v>7</v>
      </c>
      <c r="AD2" s="37" t="s">
        <v>7</v>
      </c>
      <c r="AE2" s="37" t="s">
        <v>7</v>
      </c>
    </row>
    <row r="3" spans="4:31" x14ac:dyDescent="0.3">
      <c r="D3" s="37" t="s">
        <v>195</v>
      </c>
      <c r="E3" s="19" t="str">
        <f t="shared" ca="1" si="0"/>
        <v>42454</v>
      </c>
      <c r="F3" s="37">
        <v>60557</v>
      </c>
      <c r="G3" s="37" t="s">
        <v>54</v>
      </c>
      <c r="H3" s="37" t="s">
        <v>88</v>
      </c>
      <c r="I3" s="37" t="s">
        <v>11</v>
      </c>
      <c r="J3" s="37" t="s">
        <v>80</v>
      </c>
      <c r="K3" s="37" t="s">
        <v>81</v>
      </c>
      <c r="M3" s="38">
        <v>42235.301377314812</v>
      </c>
      <c r="N3" s="37" t="s">
        <v>159</v>
      </c>
      <c r="O3" s="37" t="s">
        <v>15</v>
      </c>
      <c r="P3" s="38">
        <v>42109.740752314814</v>
      </c>
      <c r="Q3" s="37" t="s">
        <v>16</v>
      </c>
      <c r="T3" s="37" t="s">
        <v>17</v>
      </c>
      <c r="U3" s="37" t="s">
        <v>18</v>
      </c>
      <c r="V3" s="37" t="s">
        <v>13</v>
      </c>
      <c r="W3" s="37" t="s">
        <v>19</v>
      </c>
      <c r="Y3" s="37" t="s">
        <v>9</v>
      </c>
      <c r="Z3" s="37" t="s">
        <v>89</v>
      </c>
      <c r="AA3" s="37" t="s">
        <v>7</v>
      </c>
      <c r="AB3" s="37" t="s">
        <v>82</v>
      </c>
      <c r="AC3" s="37" t="s">
        <v>7</v>
      </c>
      <c r="AD3" s="37" t="s">
        <v>7</v>
      </c>
      <c r="AE3" s="37" t="s">
        <v>7</v>
      </c>
    </row>
    <row r="4" spans="4:31" x14ac:dyDescent="0.3">
      <c r="E4" s="19" t="str">
        <f t="shared" ca="1" si="0"/>
        <v>55128</v>
      </c>
      <c r="F4" s="37">
        <v>60559</v>
      </c>
      <c r="G4" s="37" t="s">
        <v>332</v>
      </c>
      <c r="H4" s="37" t="s">
        <v>333</v>
      </c>
      <c r="I4" s="37" t="s">
        <v>2</v>
      </c>
      <c r="J4" s="37" t="s">
        <v>80</v>
      </c>
      <c r="K4" s="37" t="s">
        <v>81</v>
      </c>
      <c r="M4" s="38">
        <v>42248.411678240744</v>
      </c>
      <c r="N4" s="37" t="s">
        <v>20</v>
      </c>
      <c r="O4" s="37" t="s">
        <v>3</v>
      </c>
      <c r="P4" s="38">
        <v>42109.744675925926</v>
      </c>
      <c r="Q4" s="37" t="s">
        <v>40</v>
      </c>
      <c r="T4" s="37" t="s">
        <v>17</v>
      </c>
      <c r="U4" s="37" t="s">
        <v>30</v>
      </c>
      <c r="V4" s="37" t="s">
        <v>24</v>
      </c>
      <c r="W4" s="37" t="s">
        <v>47</v>
      </c>
      <c r="Y4" s="37" t="s">
        <v>49</v>
      </c>
      <c r="Z4" s="37" t="s">
        <v>10</v>
      </c>
      <c r="AA4" s="37" t="s">
        <v>44</v>
      </c>
      <c r="AB4" s="37" t="s">
        <v>82</v>
      </c>
      <c r="AC4" s="37" t="s">
        <v>7</v>
      </c>
      <c r="AD4" s="37" t="s">
        <v>7</v>
      </c>
      <c r="AE4" s="37" t="s">
        <v>7</v>
      </c>
    </row>
    <row r="5" spans="4:31" x14ac:dyDescent="0.3">
      <c r="E5" s="19" t="str">
        <f t="shared" ca="1" si="0"/>
        <v>63278</v>
      </c>
      <c r="F5" s="37">
        <v>63280</v>
      </c>
      <c r="G5" s="37" t="s">
        <v>336</v>
      </c>
      <c r="H5" s="37" t="s">
        <v>160</v>
      </c>
      <c r="I5" s="37" t="s">
        <v>2</v>
      </c>
      <c r="J5" s="37" t="s">
        <v>80</v>
      </c>
      <c r="K5" s="37" t="s">
        <v>81</v>
      </c>
      <c r="M5" s="38">
        <v>42228.275381944448</v>
      </c>
      <c r="N5" s="37" t="s">
        <v>20</v>
      </c>
      <c r="O5" s="37" t="s">
        <v>3</v>
      </c>
      <c r="P5" s="38">
        <v>42156.537164351852</v>
      </c>
      <c r="Q5" s="37" t="s">
        <v>16</v>
      </c>
      <c r="T5" s="37" t="s">
        <v>17</v>
      </c>
      <c r="U5" s="37" t="s">
        <v>30</v>
      </c>
      <c r="V5" s="37" t="s">
        <v>13</v>
      </c>
      <c r="W5" s="37" t="s">
        <v>19</v>
      </c>
      <c r="Y5" s="37" t="s">
        <v>302</v>
      </c>
      <c r="Z5" s="37" t="s">
        <v>10</v>
      </c>
      <c r="AA5" s="37" t="s">
        <v>7</v>
      </c>
      <c r="AB5" s="37" t="s">
        <v>82</v>
      </c>
      <c r="AC5" s="37" t="s">
        <v>7</v>
      </c>
      <c r="AD5" s="37" t="s">
        <v>7</v>
      </c>
      <c r="AE5" s="37" t="s">
        <v>7</v>
      </c>
    </row>
    <row r="6" spans="4:31" x14ac:dyDescent="0.3">
      <c r="E6" s="19" t="str">
        <f t="shared" ca="1" si="0"/>
        <v>58308</v>
      </c>
      <c r="F6" s="37">
        <v>63336</v>
      </c>
      <c r="G6" s="37" t="s">
        <v>334</v>
      </c>
      <c r="H6" s="37" t="s">
        <v>174</v>
      </c>
      <c r="I6" s="37" t="s">
        <v>11</v>
      </c>
      <c r="J6" s="37" t="s">
        <v>80</v>
      </c>
      <c r="K6" s="37" t="s">
        <v>339</v>
      </c>
      <c r="L6" s="37" t="s">
        <v>119</v>
      </c>
      <c r="M6" s="38">
        <v>42166.582071759258</v>
      </c>
      <c r="N6" s="37" t="s">
        <v>20</v>
      </c>
      <c r="O6" s="37" t="s">
        <v>3</v>
      </c>
      <c r="P6" s="38">
        <v>42157.599398148152</v>
      </c>
      <c r="Q6" s="37" t="s">
        <v>16</v>
      </c>
      <c r="T6" s="37" t="s">
        <v>6</v>
      </c>
      <c r="U6" s="37" t="s">
        <v>30</v>
      </c>
      <c r="V6" s="37" t="s">
        <v>13</v>
      </c>
      <c r="W6" s="37" t="s">
        <v>35</v>
      </c>
      <c r="Y6" s="37" t="s">
        <v>7</v>
      </c>
      <c r="Z6" s="37" t="s">
        <v>10</v>
      </c>
      <c r="AA6" s="37" t="s">
        <v>306</v>
      </c>
      <c r="AB6" s="37" t="s">
        <v>114</v>
      </c>
      <c r="AC6" s="37" t="s">
        <v>7</v>
      </c>
      <c r="AD6" s="37" t="s">
        <v>7</v>
      </c>
      <c r="AE6" s="37" t="s">
        <v>7</v>
      </c>
    </row>
    <row r="7" spans="4:31" x14ac:dyDescent="0.3">
      <c r="E7" s="19" t="str">
        <f t="shared" ca="1" si="0"/>
        <v>65346</v>
      </c>
      <c r="F7" s="37">
        <v>65354</v>
      </c>
      <c r="G7" s="37" t="s">
        <v>164</v>
      </c>
      <c r="H7" s="37" t="s">
        <v>218</v>
      </c>
      <c r="I7" s="37" t="s">
        <v>2</v>
      </c>
      <c r="J7" s="37" t="s">
        <v>80</v>
      </c>
      <c r="K7" s="37" t="s">
        <v>81</v>
      </c>
      <c r="M7" s="38">
        <v>42235.300092592595</v>
      </c>
      <c r="N7" s="37" t="s">
        <v>4</v>
      </c>
      <c r="O7" s="37" t="s">
        <v>83</v>
      </c>
      <c r="P7" s="38">
        <v>42195.547500000001</v>
      </c>
      <c r="Q7" s="37" t="s">
        <v>16</v>
      </c>
      <c r="T7" s="37" t="s">
        <v>17</v>
      </c>
      <c r="U7" s="37" t="s">
        <v>30</v>
      </c>
      <c r="V7" s="37" t="s">
        <v>13</v>
      </c>
      <c r="W7" s="37" t="s">
        <v>19</v>
      </c>
      <c r="Y7" s="37" t="s">
        <v>9</v>
      </c>
      <c r="Z7" s="37" t="s">
        <v>10</v>
      </c>
      <c r="AA7" s="37" t="s">
        <v>44</v>
      </c>
      <c r="AB7" s="37" t="s">
        <v>82</v>
      </c>
      <c r="AC7" s="37" t="s">
        <v>7</v>
      </c>
      <c r="AD7" s="37" t="s">
        <v>7</v>
      </c>
      <c r="AE7" s="37" t="s">
        <v>7</v>
      </c>
    </row>
    <row r="8" spans="4:31" x14ac:dyDescent="0.3">
      <c r="E8" s="19" t="str">
        <f t="shared" ca="1" si="0"/>
        <v>66713</v>
      </c>
      <c r="F8" s="37">
        <v>66727</v>
      </c>
      <c r="G8" s="37" t="s">
        <v>336</v>
      </c>
      <c r="H8" s="37" t="s">
        <v>293</v>
      </c>
      <c r="I8" s="37" t="s">
        <v>2</v>
      </c>
      <c r="J8" s="37" t="s">
        <v>80</v>
      </c>
      <c r="K8" s="37" t="s">
        <v>81</v>
      </c>
      <c r="M8" s="38">
        <v>42248.38821759259</v>
      </c>
      <c r="N8" s="37" t="s">
        <v>20</v>
      </c>
      <c r="O8" s="37" t="s">
        <v>83</v>
      </c>
      <c r="P8" s="38">
        <v>42223.018923611111</v>
      </c>
      <c r="Q8" s="37" t="s">
        <v>16</v>
      </c>
      <c r="T8" s="37" t="s">
        <v>17</v>
      </c>
      <c r="U8" s="37" t="s">
        <v>30</v>
      </c>
      <c r="V8" s="37" t="s">
        <v>13</v>
      </c>
      <c r="W8" s="37" t="s">
        <v>292</v>
      </c>
      <c r="Y8" s="37" t="s">
        <v>9</v>
      </c>
      <c r="Z8" s="37" t="s">
        <v>10</v>
      </c>
      <c r="AA8" s="37" t="s">
        <v>44</v>
      </c>
      <c r="AB8" s="37" t="s">
        <v>82</v>
      </c>
      <c r="AC8" s="37" t="s">
        <v>7</v>
      </c>
      <c r="AD8" s="37" t="s">
        <v>7</v>
      </c>
      <c r="AE8" s="37" t="s">
        <v>7</v>
      </c>
    </row>
    <row r="9" spans="4:31" x14ac:dyDescent="0.3">
      <c r="E9" s="19" t="str">
        <f t="shared" ca="1" si="0"/>
        <v>67608</v>
      </c>
      <c r="F9" s="37">
        <v>67613</v>
      </c>
      <c r="G9" s="37" t="s">
        <v>336</v>
      </c>
      <c r="H9" s="37" t="s">
        <v>322</v>
      </c>
      <c r="I9" s="37" t="s">
        <v>2</v>
      </c>
      <c r="J9" s="37" t="s">
        <v>80</v>
      </c>
      <c r="K9" s="37" t="s">
        <v>81</v>
      </c>
      <c r="M9" s="38">
        <v>42248.878171296295</v>
      </c>
      <c r="N9" s="37" t="s">
        <v>20</v>
      </c>
      <c r="O9" s="37" t="s">
        <v>83</v>
      </c>
      <c r="P9" s="38">
        <v>42238.019421296296</v>
      </c>
      <c r="Q9" s="37" t="s">
        <v>16</v>
      </c>
      <c r="T9" s="37" t="s">
        <v>17</v>
      </c>
      <c r="U9" s="37" t="s">
        <v>30</v>
      </c>
      <c r="V9" s="37" t="s">
        <v>13</v>
      </c>
      <c r="W9" s="37" t="s">
        <v>292</v>
      </c>
      <c r="Y9" s="37" t="s">
        <v>49</v>
      </c>
      <c r="Z9" s="37" t="s">
        <v>10</v>
      </c>
      <c r="AA9" s="37" t="s">
        <v>7</v>
      </c>
      <c r="AB9" s="37" t="s">
        <v>82</v>
      </c>
      <c r="AC9" s="37" t="s">
        <v>7</v>
      </c>
      <c r="AD9" s="37" t="s">
        <v>7</v>
      </c>
      <c r="AE9" s="37" t="s">
        <v>7</v>
      </c>
    </row>
    <row r="13" spans="4:31" x14ac:dyDescent="0.3">
      <c r="H13" s="37" t="s">
        <v>340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17"/>
  <sheetViews>
    <sheetView workbookViewId="0">
      <selection activeCell="D27" sqref="D27"/>
    </sheetView>
  </sheetViews>
  <sheetFormatPr defaultRowHeight="14.4" x14ac:dyDescent="0.3"/>
  <cols>
    <col min="1" max="1" width="16.6640625" style="31" bestFit="1" customWidth="1"/>
    <col min="3" max="3" width="6.21875" bestFit="1" customWidth="1"/>
    <col min="4" max="4" width="27.44140625" bestFit="1" customWidth="1"/>
    <col min="5" max="5" width="170" bestFit="1" customWidth="1"/>
    <col min="6" max="6" width="7.44140625" bestFit="1" customWidth="1"/>
    <col min="7" max="7" width="14.88671875" bestFit="1" customWidth="1"/>
    <col min="8" max="8" width="31.21875" bestFit="1" customWidth="1"/>
    <col min="9" max="9" width="59.33203125" bestFit="1" customWidth="1"/>
    <col min="10" max="10" width="14.6640625" bestFit="1" customWidth="1"/>
    <col min="11" max="11" width="10" bestFit="1" customWidth="1"/>
    <col min="12" max="12" width="15.21875" bestFit="1" customWidth="1"/>
    <col min="13" max="13" width="14.6640625" bestFit="1" customWidth="1"/>
    <col min="14" max="14" width="15.109375" bestFit="1" customWidth="1"/>
    <col min="15" max="15" width="11" bestFit="1" customWidth="1"/>
    <col min="17" max="17" width="16.88671875" bestFit="1" customWidth="1"/>
    <col min="18" max="18" width="16.44140625" bestFit="1" customWidth="1"/>
    <col min="19" max="19" width="14.77734375" bestFit="1" customWidth="1"/>
    <col min="20" max="20" width="22.5546875" bestFit="1" customWidth="1"/>
    <col min="21" max="21" width="8.109375" bestFit="1" customWidth="1"/>
    <col min="22" max="22" width="18.33203125" bestFit="1" customWidth="1"/>
    <col min="23" max="23" width="10.21875" bestFit="1" customWidth="1"/>
    <col min="24" max="24" width="21.44140625" bestFit="1" customWidth="1"/>
    <col min="25" max="25" width="12.6640625" bestFit="1" customWidth="1"/>
    <col min="26" max="26" width="21.88671875" bestFit="1" customWidth="1"/>
    <col min="27" max="27" width="23.88671875" bestFit="1" customWidth="1"/>
  </cols>
  <sheetData>
    <row r="1" spans="1:27" ht="28.8" x14ac:dyDescent="0.3">
      <c r="A1" s="31" t="s">
        <v>187</v>
      </c>
      <c r="B1" t="s">
        <v>173</v>
      </c>
      <c r="C1" s="8" t="s">
        <v>145</v>
      </c>
      <c r="D1" s="8" t="s">
        <v>57</v>
      </c>
      <c r="E1" s="8" t="s">
        <v>58</v>
      </c>
      <c r="F1" s="8" t="s">
        <v>59</v>
      </c>
      <c r="G1" s="28" t="s">
        <v>60</v>
      </c>
      <c r="H1" s="28" t="s">
        <v>61</v>
      </c>
      <c r="I1" s="28" t="s">
        <v>62</v>
      </c>
      <c r="J1" s="28" t="s">
        <v>63</v>
      </c>
      <c r="K1" s="28" t="s">
        <v>64</v>
      </c>
      <c r="L1" s="28" t="s">
        <v>65</v>
      </c>
      <c r="M1" s="28" t="s">
        <v>66</v>
      </c>
      <c r="N1" s="28" t="s">
        <v>67</v>
      </c>
      <c r="O1" s="28" t="s">
        <v>68</v>
      </c>
      <c r="P1" s="28" t="s">
        <v>69</v>
      </c>
      <c r="Q1" s="28" t="s">
        <v>70</v>
      </c>
      <c r="R1" s="28" t="s">
        <v>71</v>
      </c>
      <c r="S1" s="28" t="s">
        <v>72</v>
      </c>
      <c r="T1" s="28" t="s">
        <v>73</v>
      </c>
      <c r="U1" s="28" t="s">
        <v>74</v>
      </c>
      <c r="V1" s="28" t="s">
        <v>75</v>
      </c>
      <c r="W1" s="28" t="s">
        <v>76</v>
      </c>
      <c r="X1" s="28" t="s">
        <v>77</v>
      </c>
      <c r="Y1" s="28" t="s">
        <v>78</v>
      </c>
      <c r="Z1" s="28" t="s">
        <v>79</v>
      </c>
      <c r="AA1" s="28" t="s">
        <v>184</v>
      </c>
    </row>
    <row r="2" spans="1:27" x14ac:dyDescent="0.3">
      <c r="A2" t="s">
        <v>189</v>
      </c>
      <c r="B2" s="19" t="str">
        <f ca="1">HYPERLINK(CONCATENATE("https://bugzilla.houston.hp.com:1181/bugzilla/show_bug.cgi?id=",MID(INDIRECT("e"&amp;ROW()),9,5)),MID(INDIRECT("e"&amp;ROW()),9,5))</f>
        <v>42454</v>
      </c>
      <c r="C2" s="28">
        <v>60557</v>
      </c>
      <c r="D2" s="28" t="s">
        <v>54</v>
      </c>
      <c r="E2" s="28" t="s">
        <v>88</v>
      </c>
      <c r="F2" s="28" t="s">
        <v>11</v>
      </c>
      <c r="G2" s="28" t="s">
        <v>80</v>
      </c>
      <c r="H2" s="28" t="s">
        <v>81</v>
      </c>
      <c r="I2" s="28" t="s">
        <v>175</v>
      </c>
      <c r="J2" s="29">
        <v>42173.400185185186</v>
      </c>
      <c r="K2" s="28" t="s">
        <v>4</v>
      </c>
      <c r="L2" s="28" t="s">
        <v>15</v>
      </c>
      <c r="M2" s="29">
        <v>42109.740752314814</v>
      </c>
      <c r="N2" s="28" t="s">
        <v>16</v>
      </c>
      <c r="O2" s="28"/>
      <c r="P2" s="28"/>
      <c r="Q2" s="28" t="s">
        <v>17</v>
      </c>
      <c r="R2" s="28" t="s">
        <v>18</v>
      </c>
      <c r="S2" s="28" t="s">
        <v>13</v>
      </c>
      <c r="T2" s="28" t="s">
        <v>19</v>
      </c>
      <c r="U2" s="28"/>
      <c r="V2" s="28" t="s">
        <v>9</v>
      </c>
      <c r="W2" s="28" t="s">
        <v>89</v>
      </c>
      <c r="X2" s="28" t="s">
        <v>7</v>
      </c>
      <c r="Y2" s="28" t="s">
        <v>82</v>
      </c>
      <c r="Z2" s="28" t="s">
        <v>138</v>
      </c>
      <c r="AA2" s="28" t="s">
        <v>185</v>
      </c>
    </row>
    <row r="3" spans="1:27" x14ac:dyDescent="0.3">
      <c r="A3" s="31" t="s">
        <v>188</v>
      </c>
      <c r="B3" s="19" t="str">
        <f t="shared" ref="B3:B17" ca="1" si="0">HYPERLINK(CONCATENATE("https://bugzilla.houston.hp.com:1181/bugzilla/show_bug.cgi?id=",MID(INDIRECT("e"&amp;ROW()),9,5)),MID(INDIRECT("e"&amp;ROW()),9,5))</f>
        <v>57455</v>
      </c>
      <c r="C3" s="28">
        <v>60560</v>
      </c>
      <c r="D3" s="28" t="s">
        <v>32</v>
      </c>
      <c r="E3" s="28" t="s">
        <v>90</v>
      </c>
      <c r="F3" s="28" t="s">
        <v>11</v>
      </c>
      <c r="G3" s="28" t="s">
        <v>80</v>
      </c>
      <c r="H3" s="28" t="s">
        <v>81</v>
      </c>
      <c r="I3" s="28"/>
      <c r="J3" s="29">
        <v>42151.347118055557</v>
      </c>
      <c r="K3" s="28" t="s">
        <v>20</v>
      </c>
      <c r="L3" s="28" t="s">
        <v>83</v>
      </c>
      <c r="M3" s="29">
        <v>42109.74486111111</v>
      </c>
      <c r="N3" s="28" t="s">
        <v>40</v>
      </c>
      <c r="O3" s="28"/>
      <c r="P3" s="28"/>
      <c r="Q3" s="28" t="s">
        <v>17</v>
      </c>
      <c r="R3" s="28" t="s">
        <v>30</v>
      </c>
      <c r="S3" s="28" t="s">
        <v>8</v>
      </c>
      <c r="T3" s="28" t="s">
        <v>27</v>
      </c>
      <c r="U3" s="28"/>
      <c r="V3" s="28" t="s">
        <v>9</v>
      </c>
      <c r="W3" s="28" t="s">
        <v>10</v>
      </c>
      <c r="X3" s="28" t="s">
        <v>7</v>
      </c>
      <c r="Y3" s="28" t="s">
        <v>82</v>
      </c>
      <c r="Z3" s="28" t="s">
        <v>7</v>
      </c>
      <c r="AA3" s="28" t="s">
        <v>186</v>
      </c>
    </row>
    <row r="4" spans="1:27" x14ac:dyDescent="0.3">
      <c r="A4" s="31" t="s">
        <v>188</v>
      </c>
      <c r="B4" s="19" t="str">
        <f t="shared" ca="1" si="0"/>
        <v>59230</v>
      </c>
      <c r="C4" s="28">
        <v>60565</v>
      </c>
      <c r="D4" s="28" t="s">
        <v>33</v>
      </c>
      <c r="E4" s="28" t="s">
        <v>98</v>
      </c>
      <c r="F4" s="28" t="s">
        <v>11</v>
      </c>
      <c r="G4" s="28" t="s">
        <v>80</v>
      </c>
      <c r="H4" s="28" t="s">
        <v>81</v>
      </c>
      <c r="I4" s="28" t="s">
        <v>100</v>
      </c>
      <c r="J4" s="29">
        <v>42166.487743055557</v>
      </c>
      <c r="K4" s="28" t="s">
        <v>20</v>
      </c>
      <c r="L4" s="28" t="s">
        <v>80</v>
      </c>
      <c r="M4" s="29">
        <v>42109.748171296298</v>
      </c>
      <c r="N4" s="28" t="s">
        <v>5</v>
      </c>
      <c r="O4" s="28"/>
      <c r="P4" s="28"/>
      <c r="Q4" s="28" t="s">
        <v>17</v>
      </c>
      <c r="R4" s="28" t="s">
        <v>30</v>
      </c>
      <c r="S4" s="28" t="s">
        <v>13</v>
      </c>
      <c r="T4" s="28" t="s">
        <v>35</v>
      </c>
      <c r="U4" s="28"/>
      <c r="V4" s="28" t="s">
        <v>9</v>
      </c>
      <c r="W4" s="28" t="s">
        <v>10</v>
      </c>
      <c r="X4" s="28" t="s">
        <v>7</v>
      </c>
      <c r="Y4" s="28" t="s">
        <v>82</v>
      </c>
      <c r="Z4" s="28" t="s">
        <v>7</v>
      </c>
      <c r="AA4" s="28" t="s">
        <v>186</v>
      </c>
    </row>
    <row r="5" spans="1:27" x14ac:dyDescent="0.3">
      <c r="A5" s="31" t="s">
        <v>188</v>
      </c>
      <c r="B5" s="19" t="str">
        <f t="shared" ca="1" si="0"/>
        <v>48696</v>
      </c>
      <c r="C5" s="28">
        <v>61076</v>
      </c>
      <c r="D5" s="28" t="s">
        <v>85</v>
      </c>
      <c r="E5" s="28" t="s">
        <v>86</v>
      </c>
      <c r="F5" s="28" t="s">
        <v>2</v>
      </c>
      <c r="G5" s="28" t="s">
        <v>80</v>
      </c>
      <c r="H5" s="28" t="s">
        <v>81</v>
      </c>
      <c r="I5" s="28" t="s">
        <v>87</v>
      </c>
      <c r="J5" s="29">
        <v>42179.259895833333</v>
      </c>
      <c r="K5" s="28" t="s">
        <v>20</v>
      </c>
      <c r="L5" s="28" t="s">
        <v>3</v>
      </c>
      <c r="M5" s="29">
        <v>42116.453148148146</v>
      </c>
      <c r="N5" s="28" t="s">
        <v>5</v>
      </c>
      <c r="O5" s="28"/>
      <c r="P5" s="28"/>
      <c r="Q5" s="28" t="s">
        <v>6</v>
      </c>
      <c r="R5" s="28" t="s">
        <v>7</v>
      </c>
      <c r="S5" s="28" t="s">
        <v>24</v>
      </c>
      <c r="T5" s="28" t="s">
        <v>31</v>
      </c>
      <c r="U5" s="28"/>
      <c r="V5" s="28" t="s">
        <v>9</v>
      </c>
      <c r="W5" s="28" t="s">
        <v>26</v>
      </c>
      <c r="X5" s="28" t="s">
        <v>7</v>
      </c>
      <c r="Y5" s="28" t="s">
        <v>82</v>
      </c>
      <c r="Z5" s="28" t="s">
        <v>7</v>
      </c>
      <c r="AA5" s="28" t="s">
        <v>186</v>
      </c>
    </row>
    <row r="6" spans="1:27" x14ac:dyDescent="0.3">
      <c r="A6" s="31" t="s">
        <v>188</v>
      </c>
      <c r="B6" s="19" t="str">
        <f t="shared" ca="1" si="0"/>
        <v>52678</v>
      </c>
      <c r="C6" s="28">
        <v>61077</v>
      </c>
      <c r="D6" s="28" t="s">
        <v>34</v>
      </c>
      <c r="E6" s="28" t="s">
        <v>94</v>
      </c>
      <c r="F6" s="28" t="s">
        <v>2</v>
      </c>
      <c r="G6" s="28" t="s">
        <v>80</v>
      </c>
      <c r="H6" s="28" t="s">
        <v>81</v>
      </c>
      <c r="I6" s="28"/>
      <c r="J6" s="29">
        <v>42179.260347222225</v>
      </c>
      <c r="K6" s="28" t="s">
        <v>20</v>
      </c>
      <c r="L6" s="28" t="s">
        <v>3</v>
      </c>
      <c r="M6" s="29">
        <v>42116.453344907408</v>
      </c>
      <c r="N6" s="28" t="s">
        <v>5</v>
      </c>
      <c r="O6" s="28"/>
      <c r="P6" s="28"/>
      <c r="Q6" s="28" t="s">
        <v>6</v>
      </c>
      <c r="R6" s="28" t="s">
        <v>30</v>
      </c>
      <c r="S6" s="28" t="s">
        <v>24</v>
      </c>
      <c r="T6" s="28" t="s">
        <v>31</v>
      </c>
      <c r="U6" s="28"/>
      <c r="V6" s="28" t="s">
        <v>9</v>
      </c>
      <c r="W6" s="28" t="s">
        <v>10</v>
      </c>
      <c r="X6" s="28" t="s">
        <v>7</v>
      </c>
      <c r="Y6" s="28" t="s">
        <v>82</v>
      </c>
      <c r="Z6" s="28" t="s">
        <v>7</v>
      </c>
      <c r="AA6" s="28" t="s">
        <v>186</v>
      </c>
    </row>
    <row r="7" spans="1:27" x14ac:dyDescent="0.3">
      <c r="A7" s="31" t="s">
        <v>188</v>
      </c>
      <c r="B7" s="19" t="str">
        <f t="shared" ca="1" si="0"/>
        <v>57072</v>
      </c>
      <c r="C7" s="28">
        <v>61079</v>
      </c>
      <c r="D7" s="28" t="s">
        <v>32</v>
      </c>
      <c r="E7" s="28" t="s">
        <v>91</v>
      </c>
      <c r="F7" s="28" t="s">
        <v>2</v>
      </c>
      <c r="G7" s="28" t="s">
        <v>80</v>
      </c>
      <c r="H7" s="28" t="s">
        <v>81</v>
      </c>
      <c r="I7" s="28" t="s">
        <v>92</v>
      </c>
      <c r="J7" s="29">
        <v>42173.359375</v>
      </c>
      <c r="K7" s="28" t="s">
        <v>20</v>
      </c>
      <c r="L7" s="28" t="s">
        <v>3</v>
      </c>
      <c r="M7" s="29">
        <v>42116.453750000001</v>
      </c>
      <c r="N7" s="28" t="s">
        <v>56</v>
      </c>
      <c r="O7" s="28"/>
      <c r="P7" s="28"/>
      <c r="Q7" s="28" t="s">
        <v>6</v>
      </c>
      <c r="R7" s="28" t="s">
        <v>30</v>
      </c>
      <c r="S7" s="28" t="s">
        <v>8</v>
      </c>
      <c r="T7" s="28" t="s">
        <v>38</v>
      </c>
      <c r="U7" s="28"/>
      <c r="V7" s="28" t="s">
        <v>9</v>
      </c>
      <c r="W7" s="28" t="s">
        <v>10</v>
      </c>
      <c r="X7" s="28" t="s">
        <v>7</v>
      </c>
      <c r="Y7" s="28" t="s">
        <v>82</v>
      </c>
      <c r="Z7" s="28" t="s">
        <v>7</v>
      </c>
      <c r="AA7" s="28" t="s">
        <v>186</v>
      </c>
    </row>
    <row r="8" spans="1:27" x14ac:dyDescent="0.3">
      <c r="A8" s="31" t="s">
        <v>188</v>
      </c>
      <c r="B8" s="19" t="str">
        <f t="shared" ca="1" si="0"/>
        <v>52552</v>
      </c>
      <c r="C8" s="28">
        <v>61082</v>
      </c>
      <c r="D8" s="28" t="s">
        <v>23</v>
      </c>
      <c r="E8" s="28" t="s">
        <v>93</v>
      </c>
      <c r="F8" s="28" t="s">
        <v>11</v>
      </c>
      <c r="G8" s="28" t="s">
        <v>80</v>
      </c>
      <c r="H8" s="28" t="s">
        <v>81</v>
      </c>
      <c r="I8" s="28" t="s">
        <v>87</v>
      </c>
      <c r="J8" s="29">
        <v>42179.262118055558</v>
      </c>
      <c r="K8" s="28" t="s">
        <v>20</v>
      </c>
      <c r="L8" s="28" t="s">
        <v>3</v>
      </c>
      <c r="M8" s="29">
        <v>42116.454432870371</v>
      </c>
      <c r="N8" s="28" t="s">
        <v>5</v>
      </c>
      <c r="O8" s="28"/>
      <c r="P8" s="28"/>
      <c r="Q8" s="28" t="s">
        <v>17</v>
      </c>
      <c r="R8" s="28" t="s">
        <v>7</v>
      </c>
      <c r="S8" s="28" t="s">
        <v>24</v>
      </c>
      <c r="T8" s="28" t="s">
        <v>47</v>
      </c>
      <c r="U8" s="28"/>
      <c r="V8" s="28" t="s">
        <v>9</v>
      </c>
      <c r="W8" s="28" t="s">
        <v>10</v>
      </c>
      <c r="X8" s="28" t="s">
        <v>44</v>
      </c>
      <c r="Y8" s="28" t="s">
        <v>82</v>
      </c>
      <c r="Z8" s="28" t="s">
        <v>7</v>
      </c>
      <c r="AA8" s="28" t="s">
        <v>186</v>
      </c>
    </row>
    <row r="9" spans="1:27" x14ac:dyDescent="0.3">
      <c r="A9" s="31" t="s">
        <v>188</v>
      </c>
      <c r="B9" s="19" t="str">
        <f t="shared" ca="1" si="0"/>
        <v>58079</v>
      </c>
      <c r="C9" s="28">
        <v>61083</v>
      </c>
      <c r="D9" s="28" t="s">
        <v>28</v>
      </c>
      <c r="E9" s="28" t="s">
        <v>97</v>
      </c>
      <c r="F9" s="28" t="s">
        <v>2</v>
      </c>
      <c r="G9" s="28" t="s">
        <v>80</v>
      </c>
      <c r="H9" s="28" t="s">
        <v>81</v>
      </c>
      <c r="I9" s="28" t="s">
        <v>87</v>
      </c>
      <c r="J9" s="29">
        <v>42179.260833333334</v>
      </c>
      <c r="K9" s="28" t="s">
        <v>20</v>
      </c>
      <c r="L9" s="28" t="s">
        <v>3</v>
      </c>
      <c r="M9" s="29">
        <v>42116.454814814817</v>
      </c>
      <c r="N9" s="28" t="s">
        <v>40</v>
      </c>
      <c r="O9" s="28"/>
      <c r="P9" s="28"/>
      <c r="Q9" s="28" t="s">
        <v>6</v>
      </c>
      <c r="R9" s="28" t="s">
        <v>30</v>
      </c>
      <c r="S9" s="28" t="s">
        <v>13</v>
      </c>
      <c r="T9" s="28" t="s">
        <v>19</v>
      </c>
      <c r="U9" s="28"/>
      <c r="V9" s="28" t="s">
        <v>9</v>
      </c>
      <c r="W9" s="28" t="s">
        <v>10</v>
      </c>
      <c r="X9" s="28" t="s">
        <v>7</v>
      </c>
      <c r="Y9" s="28" t="s">
        <v>82</v>
      </c>
      <c r="Z9" s="28" t="s">
        <v>7</v>
      </c>
      <c r="AA9" s="28" t="s">
        <v>186</v>
      </c>
    </row>
    <row r="10" spans="1:27" x14ac:dyDescent="0.3">
      <c r="A10" s="31" t="s">
        <v>188</v>
      </c>
      <c r="B10" s="19" t="str">
        <f t="shared" ca="1" si="0"/>
        <v>50470</v>
      </c>
      <c r="C10" s="28">
        <v>61246</v>
      </c>
      <c r="D10" s="28" t="s">
        <v>42</v>
      </c>
      <c r="E10" s="28" t="s">
        <v>95</v>
      </c>
      <c r="F10" s="28" t="s">
        <v>2</v>
      </c>
      <c r="G10" s="28" t="s">
        <v>80</v>
      </c>
      <c r="H10" s="28" t="s">
        <v>81</v>
      </c>
      <c r="I10" s="28"/>
      <c r="J10" s="29">
        <v>42156.614560185182</v>
      </c>
      <c r="K10" s="28" t="s">
        <v>20</v>
      </c>
      <c r="L10" s="28" t="s">
        <v>3</v>
      </c>
      <c r="M10" s="29">
        <v>42118.339432870373</v>
      </c>
      <c r="N10" s="28" t="s">
        <v>5</v>
      </c>
      <c r="O10" s="28"/>
      <c r="P10" s="28"/>
      <c r="Q10" s="28" t="s">
        <v>6</v>
      </c>
      <c r="R10" s="28" t="s">
        <v>30</v>
      </c>
      <c r="S10" s="28" t="s">
        <v>13</v>
      </c>
      <c r="T10" s="28" t="s">
        <v>19</v>
      </c>
      <c r="U10" s="28"/>
      <c r="V10" s="28" t="s">
        <v>9</v>
      </c>
      <c r="W10" s="28" t="s">
        <v>26</v>
      </c>
      <c r="X10" s="28" t="s">
        <v>7</v>
      </c>
      <c r="Y10" s="28" t="s">
        <v>82</v>
      </c>
      <c r="Z10" s="28" t="s">
        <v>7</v>
      </c>
      <c r="AA10" s="28" t="s">
        <v>186</v>
      </c>
    </row>
    <row r="11" spans="1:27" x14ac:dyDescent="0.3">
      <c r="A11" s="31" t="s">
        <v>188</v>
      </c>
      <c r="B11" s="19" t="str">
        <f t="shared" ca="1" si="0"/>
        <v>61897</v>
      </c>
      <c r="C11" s="28">
        <v>61913</v>
      </c>
      <c r="D11" s="28" t="s">
        <v>32</v>
      </c>
      <c r="E11" s="28" t="s">
        <v>162</v>
      </c>
      <c r="F11" s="28" t="s">
        <v>2</v>
      </c>
      <c r="G11" s="28" t="s">
        <v>80</v>
      </c>
      <c r="H11" s="28" t="s">
        <v>81</v>
      </c>
      <c r="I11" s="28"/>
      <c r="J11" s="29">
        <v>42158.335717592592</v>
      </c>
      <c r="K11" s="28" t="s">
        <v>159</v>
      </c>
      <c r="L11" s="28" t="s">
        <v>3</v>
      </c>
      <c r="M11" s="29">
        <v>42130.516365740739</v>
      </c>
      <c r="N11" s="28" t="s">
        <v>40</v>
      </c>
      <c r="O11" s="28"/>
      <c r="P11" s="28"/>
      <c r="Q11" s="28" t="s">
        <v>6</v>
      </c>
      <c r="R11" s="28" t="s">
        <v>30</v>
      </c>
      <c r="S11" s="28" t="s">
        <v>8</v>
      </c>
      <c r="T11" s="28" t="s">
        <v>27</v>
      </c>
      <c r="U11" s="28"/>
      <c r="V11" s="28" t="s">
        <v>9</v>
      </c>
      <c r="W11" s="28" t="s">
        <v>10</v>
      </c>
      <c r="X11" s="28" t="s">
        <v>44</v>
      </c>
      <c r="Y11" s="28" t="s">
        <v>82</v>
      </c>
      <c r="Z11" s="28" t="s">
        <v>7</v>
      </c>
      <c r="AA11" s="28" t="s">
        <v>186</v>
      </c>
    </row>
    <row r="12" spans="1:27" x14ac:dyDescent="0.3">
      <c r="A12" t="s">
        <v>190</v>
      </c>
      <c r="B12" s="19" t="str">
        <f t="shared" ca="1" si="0"/>
        <v>62165</v>
      </c>
      <c r="C12" s="28">
        <v>62177</v>
      </c>
      <c r="D12" s="19" t="s">
        <v>164</v>
      </c>
      <c r="E12" s="28" t="s">
        <v>147</v>
      </c>
      <c r="F12" s="28" t="s">
        <v>11</v>
      </c>
      <c r="G12" s="28" t="s">
        <v>80</v>
      </c>
      <c r="H12" s="28" t="s">
        <v>81</v>
      </c>
      <c r="I12" s="28"/>
      <c r="J12" s="29">
        <v>42166.471770833334</v>
      </c>
      <c r="K12" s="28" t="s">
        <v>20</v>
      </c>
      <c r="L12" s="28" t="s">
        <v>48</v>
      </c>
      <c r="M12" s="29">
        <v>42135.590312499997</v>
      </c>
      <c r="N12" s="28" t="s">
        <v>84</v>
      </c>
      <c r="O12" s="28"/>
      <c r="P12" s="28"/>
      <c r="Q12" s="28" t="s">
        <v>17</v>
      </c>
      <c r="R12" s="28" t="s">
        <v>30</v>
      </c>
      <c r="S12" s="28" t="s">
        <v>13</v>
      </c>
      <c r="T12" s="28" t="s">
        <v>19</v>
      </c>
      <c r="U12" s="28"/>
      <c r="V12" s="28" t="s">
        <v>9</v>
      </c>
      <c r="W12" s="28" t="s">
        <v>10</v>
      </c>
      <c r="X12" s="28" t="s">
        <v>44</v>
      </c>
      <c r="Y12" s="28" t="s">
        <v>82</v>
      </c>
      <c r="Z12" s="28" t="s">
        <v>7</v>
      </c>
      <c r="AA12" s="28" t="s">
        <v>186</v>
      </c>
    </row>
    <row r="13" spans="1:27" x14ac:dyDescent="0.3">
      <c r="A13" s="28" t="s">
        <v>190</v>
      </c>
      <c r="B13" s="19" t="str">
        <f t="shared" ca="1" si="0"/>
        <v>61184</v>
      </c>
      <c r="C13" s="28">
        <v>62224</v>
      </c>
      <c r="D13" s="28" t="s">
        <v>21</v>
      </c>
      <c r="E13" s="28" t="s">
        <v>172</v>
      </c>
      <c r="F13" s="28" t="s">
        <v>2</v>
      </c>
      <c r="G13" s="28" t="s">
        <v>80</v>
      </c>
      <c r="H13" s="28" t="s">
        <v>99</v>
      </c>
      <c r="I13" s="28" t="s">
        <v>101</v>
      </c>
      <c r="J13" s="29">
        <v>42173.361284722225</v>
      </c>
      <c r="K13" s="28" t="s">
        <v>4</v>
      </c>
      <c r="L13" s="28" t="s">
        <v>80</v>
      </c>
      <c r="M13" s="29">
        <v>42136.329282407409</v>
      </c>
      <c r="N13" s="28" t="s">
        <v>22</v>
      </c>
      <c r="O13" s="28"/>
      <c r="P13" s="28"/>
      <c r="Q13" s="28" t="s">
        <v>6</v>
      </c>
      <c r="R13" s="28" t="s">
        <v>30</v>
      </c>
      <c r="S13" s="28" t="s">
        <v>8</v>
      </c>
      <c r="T13" s="28" t="s">
        <v>153</v>
      </c>
      <c r="U13" s="28"/>
      <c r="V13" s="28" t="s">
        <v>9</v>
      </c>
      <c r="W13" s="28" t="s">
        <v>10</v>
      </c>
      <c r="X13" s="28" t="s">
        <v>176</v>
      </c>
      <c r="Y13" s="28" t="s">
        <v>82</v>
      </c>
      <c r="Z13" s="28" t="s">
        <v>7</v>
      </c>
      <c r="AA13" s="28" t="s">
        <v>186</v>
      </c>
    </row>
    <row r="14" spans="1:27" x14ac:dyDescent="0.3">
      <c r="A14" s="28" t="s">
        <v>190</v>
      </c>
      <c r="B14" s="19" t="str">
        <f t="shared" ca="1" si="0"/>
        <v>63227</v>
      </c>
      <c r="C14" s="30">
        <v>63248</v>
      </c>
      <c r="D14" s="30" t="s">
        <v>28</v>
      </c>
      <c r="E14" s="30" t="s">
        <v>165</v>
      </c>
      <c r="F14" s="30" t="s">
        <v>11</v>
      </c>
      <c r="G14" s="28" t="s">
        <v>80</v>
      </c>
      <c r="H14" s="28" t="s">
        <v>81</v>
      </c>
      <c r="I14" s="28"/>
      <c r="J14" s="29">
        <v>42172.641585648147</v>
      </c>
      <c r="K14" s="28" t="s">
        <v>20</v>
      </c>
      <c r="L14" s="28" t="s">
        <v>80</v>
      </c>
      <c r="M14" s="29">
        <v>42156.306250000001</v>
      </c>
      <c r="N14" s="28" t="s">
        <v>5</v>
      </c>
      <c r="O14" s="28"/>
      <c r="P14" s="28"/>
      <c r="Q14" s="28" t="s">
        <v>12</v>
      </c>
      <c r="R14" s="28" t="s">
        <v>30</v>
      </c>
      <c r="S14" s="28" t="s">
        <v>13</v>
      </c>
      <c r="T14" s="28" t="s">
        <v>19</v>
      </c>
      <c r="U14" s="28"/>
      <c r="V14" s="28" t="s">
        <v>9</v>
      </c>
      <c r="W14" s="28" t="s">
        <v>10</v>
      </c>
      <c r="X14" s="28" t="s">
        <v>7</v>
      </c>
      <c r="Y14" s="28" t="s">
        <v>82</v>
      </c>
      <c r="Z14" s="28" t="s">
        <v>7</v>
      </c>
      <c r="AA14" s="28" t="s">
        <v>186</v>
      </c>
    </row>
    <row r="15" spans="1:27" x14ac:dyDescent="0.3">
      <c r="A15" s="28" t="s">
        <v>190</v>
      </c>
      <c r="B15" s="19" t="str">
        <f t="shared" ca="1" si="0"/>
        <v>63278</v>
      </c>
      <c r="C15" s="30">
        <v>63280</v>
      </c>
      <c r="D15" s="30" t="s">
        <v>28</v>
      </c>
      <c r="E15" s="30" t="s">
        <v>160</v>
      </c>
      <c r="F15" s="30" t="s">
        <v>2</v>
      </c>
      <c r="G15" s="28" t="s">
        <v>80</v>
      </c>
      <c r="H15" s="28" t="s">
        <v>81</v>
      </c>
      <c r="I15" s="28"/>
      <c r="J15" s="29">
        <v>42172.635000000002</v>
      </c>
      <c r="K15" s="28" t="s">
        <v>20</v>
      </c>
      <c r="L15" s="28" t="s">
        <v>3</v>
      </c>
      <c r="M15" s="29">
        <v>42156.537164351852</v>
      </c>
      <c r="N15" s="28" t="s">
        <v>16</v>
      </c>
      <c r="O15" s="28"/>
      <c r="P15" s="28"/>
      <c r="Q15" s="28" t="s">
        <v>17</v>
      </c>
      <c r="R15" s="28" t="s">
        <v>30</v>
      </c>
      <c r="S15" s="28" t="s">
        <v>13</v>
      </c>
      <c r="T15" s="28" t="s">
        <v>19</v>
      </c>
      <c r="U15" s="28"/>
      <c r="V15" s="28" t="s">
        <v>9</v>
      </c>
      <c r="W15" s="28" t="s">
        <v>10</v>
      </c>
      <c r="X15" s="28" t="s">
        <v>7</v>
      </c>
      <c r="Y15" s="28" t="s">
        <v>82</v>
      </c>
      <c r="Z15" s="28" t="s">
        <v>7</v>
      </c>
      <c r="AA15" s="28" t="s">
        <v>186</v>
      </c>
    </row>
    <row r="16" spans="1:27" x14ac:dyDescent="0.3">
      <c r="A16" s="28" t="s">
        <v>190</v>
      </c>
      <c r="B16" s="19" t="str">
        <f t="shared" ca="1" si="0"/>
        <v>63347</v>
      </c>
      <c r="C16" s="30">
        <v>63360</v>
      </c>
      <c r="D16" s="30" t="s">
        <v>42</v>
      </c>
      <c r="E16" s="30" t="s">
        <v>166</v>
      </c>
      <c r="F16" s="30" t="s">
        <v>2</v>
      </c>
      <c r="G16" s="28" t="s">
        <v>80</v>
      </c>
      <c r="H16" s="28" t="s">
        <v>81</v>
      </c>
      <c r="I16" s="28"/>
      <c r="J16" s="29">
        <v>42172.628981481481</v>
      </c>
      <c r="K16" s="28" t="s">
        <v>20</v>
      </c>
      <c r="L16" s="28" t="s">
        <v>167</v>
      </c>
      <c r="M16" s="29">
        <v>42158.017060185186</v>
      </c>
      <c r="N16" s="28" t="s">
        <v>102</v>
      </c>
      <c r="O16" s="28"/>
      <c r="P16" s="28"/>
      <c r="Q16" s="28" t="s">
        <v>6</v>
      </c>
      <c r="R16" s="28" t="s">
        <v>30</v>
      </c>
      <c r="S16" s="28" t="s">
        <v>13</v>
      </c>
      <c r="T16" s="28" t="s">
        <v>19</v>
      </c>
      <c r="U16" s="28"/>
      <c r="V16" s="28" t="s">
        <v>9</v>
      </c>
      <c r="W16" s="28" t="s">
        <v>10</v>
      </c>
      <c r="X16" s="28" t="s">
        <v>7</v>
      </c>
      <c r="Y16" s="28" t="s">
        <v>82</v>
      </c>
      <c r="Z16" s="28" t="s">
        <v>7</v>
      </c>
      <c r="AA16" s="28" t="s">
        <v>186</v>
      </c>
    </row>
    <row r="17" spans="1:27" x14ac:dyDescent="0.3">
      <c r="A17" s="28" t="s">
        <v>190</v>
      </c>
      <c r="B17" s="19" t="str">
        <f t="shared" ca="1" si="0"/>
        <v>63480</v>
      </c>
      <c r="C17" s="30">
        <v>63528</v>
      </c>
      <c r="D17" s="30" t="s">
        <v>54</v>
      </c>
      <c r="E17" s="30" t="s">
        <v>169</v>
      </c>
      <c r="F17" s="30" t="s">
        <v>11</v>
      </c>
      <c r="G17" s="28" t="s">
        <v>80</v>
      </c>
      <c r="H17" s="28" t="s">
        <v>81</v>
      </c>
      <c r="I17" s="28"/>
      <c r="J17" s="29">
        <v>42178.225648148145</v>
      </c>
      <c r="K17" s="28" t="s">
        <v>20</v>
      </c>
      <c r="L17" s="28" t="s">
        <v>3</v>
      </c>
      <c r="M17" s="29">
        <v>42160.408842592595</v>
      </c>
      <c r="N17" s="28" t="s">
        <v>16</v>
      </c>
      <c r="O17" s="28"/>
      <c r="P17" s="28"/>
      <c r="Q17" s="28" t="s">
        <v>17</v>
      </c>
      <c r="R17" s="28" t="s">
        <v>30</v>
      </c>
      <c r="S17" s="28" t="s">
        <v>13</v>
      </c>
      <c r="T17" s="28" t="s">
        <v>19</v>
      </c>
      <c r="U17" s="28"/>
      <c r="V17" s="28" t="s">
        <v>55</v>
      </c>
      <c r="W17" s="28" t="s">
        <v>10</v>
      </c>
      <c r="X17" s="28" t="s">
        <v>7</v>
      </c>
      <c r="Y17" s="28" t="s">
        <v>82</v>
      </c>
      <c r="Z17" s="28" t="s">
        <v>7</v>
      </c>
      <c r="AA17" s="28" t="s">
        <v>186</v>
      </c>
    </row>
  </sheetData>
  <autoFilter ref="A1:E17"/>
  <conditionalFormatting sqref="C2:C17">
    <cfRule type="expression" dxfId="23" priority="1">
      <formula>IF(V2="---",IF(Z2="---",1,0),0)</formula>
    </cfRule>
    <cfRule type="expression" dxfId="22" priority="2">
      <formula>IF(FIND("Denied",V2),1,0)</formula>
    </cfRule>
    <cfRule type="expression" dxfId="21" priority="3">
      <formula>IF(FIND("Request",V2),1,0)</formula>
    </cfRule>
    <cfRule type="expression" dxfId="20" priority="4">
      <formula>IF(FIND("Approve",V2),1,0)</formula>
    </cfRule>
  </conditionalFormatting>
  <hyperlinks>
    <hyperlink ref="D12"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28"/>
  <sheetViews>
    <sheetView workbookViewId="0">
      <selection activeCell="G13" sqref="G13"/>
    </sheetView>
  </sheetViews>
  <sheetFormatPr defaultColWidth="10.33203125" defaultRowHeight="14.4" x14ac:dyDescent="0.3"/>
  <cols>
    <col min="1" max="1" width="10.33203125" style="32"/>
    <col min="2" max="3" width="0" style="32" hidden="1" customWidth="1"/>
    <col min="4" max="4" width="6.77734375" style="32" bestFit="1" customWidth="1"/>
    <col min="5" max="5" width="6.21875" style="32" bestFit="1" customWidth="1"/>
    <col min="6" max="6" width="26.33203125" style="32" bestFit="1" customWidth="1"/>
    <col min="7" max="7" width="131.5546875" style="32" bestFit="1" customWidth="1"/>
    <col min="8" max="8" width="7.44140625" style="32" bestFit="1" customWidth="1"/>
    <col min="9" max="9" width="14.88671875" style="32" bestFit="1" customWidth="1"/>
    <col min="10" max="10" width="31.21875" style="32" bestFit="1" customWidth="1"/>
    <col min="11" max="11" width="23.21875" style="32" bestFit="1" customWidth="1"/>
    <col min="12" max="12" width="14.6640625" style="32" bestFit="1" customWidth="1"/>
    <col min="13" max="13" width="10" style="32" bestFit="1" customWidth="1"/>
    <col min="14" max="14" width="18.88671875" style="32" bestFit="1" customWidth="1"/>
    <col min="15" max="15" width="14.6640625" style="32" bestFit="1" customWidth="1"/>
    <col min="16" max="16" width="19.33203125" style="32" bestFit="1" customWidth="1"/>
    <col min="17" max="17" width="11" style="32" bestFit="1" customWidth="1"/>
    <col min="18" max="18" width="8.88671875" style="32" bestFit="1" customWidth="1"/>
    <col min="19" max="19" width="16.88671875" style="32" bestFit="1" customWidth="1"/>
    <col min="20" max="20" width="16.44140625" style="32" bestFit="1" customWidth="1"/>
    <col min="21" max="21" width="13.21875" style="32" bestFit="1" customWidth="1"/>
    <col min="22" max="22" width="18.109375" style="32" bestFit="1" customWidth="1"/>
    <col min="23" max="23" width="8.109375" style="32" bestFit="1" customWidth="1"/>
    <col min="24" max="24" width="18.33203125" style="32" bestFit="1" customWidth="1"/>
    <col min="25" max="25" width="6.88671875" style="32" bestFit="1" customWidth="1"/>
    <col min="26" max="26" width="21.44140625" style="32" bestFit="1" customWidth="1"/>
    <col min="27" max="27" width="12.6640625" style="32" bestFit="1" customWidth="1"/>
    <col min="28" max="28" width="9.6640625" style="32" bestFit="1" customWidth="1"/>
    <col min="29" max="16384" width="10.33203125" style="32"/>
  </cols>
  <sheetData>
    <row r="1" spans="1:28" x14ac:dyDescent="0.3">
      <c r="A1" s="32" t="s">
        <v>251</v>
      </c>
      <c r="B1" s="32" t="s">
        <v>207</v>
      </c>
      <c r="C1" s="32" t="s">
        <v>238</v>
      </c>
      <c r="D1" s="32" t="s">
        <v>173</v>
      </c>
      <c r="E1" s="32" t="s">
        <v>145</v>
      </c>
      <c r="F1" s="32" t="s">
        <v>57</v>
      </c>
      <c r="G1" s="32" t="s">
        <v>58</v>
      </c>
      <c r="H1" s="32" t="s">
        <v>59</v>
      </c>
      <c r="I1" s="32" t="s">
        <v>60</v>
      </c>
      <c r="J1" s="32" t="s">
        <v>61</v>
      </c>
      <c r="K1" s="32" t="s">
        <v>62</v>
      </c>
      <c r="L1" s="32" t="s">
        <v>63</v>
      </c>
      <c r="M1" s="32" t="s">
        <v>64</v>
      </c>
      <c r="N1" s="32" t="s">
        <v>65</v>
      </c>
      <c r="O1" s="32" t="s">
        <v>66</v>
      </c>
      <c r="P1" s="32" t="s">
        <v>67</v>
      </c>
      <c r="Q1" s="32" t="s">
        <v>68</v>
      </c>
      <c r="R1" s="32" t="s">
        <v>69</v>
      </c>
      <c r="S1" s="32" t="s">
        <v>70</v>
      </c>
      <c r="T1" s="32" t="s">
        <v>71</v>
      </c>
      <c r="U1" s="32" t="s">
        <v>72</v>
      </c>
      <c r="V1" s="32" t="s">
        <v>73</v>
      </c>
      <c r="W1" s="32" t="s">
        <v>74</v>
      </c>
      <c r="X1" s="32" t="s">
        <v>75</v>
      </c>
      <c r="Y1" s="32" t="s">
        <v>76</v>
      </c>
      <c r="Z1" s="32" t="s">
        <v>77</v>
      </c>
      <c r="AA1" s="32" t="s">
        <v>78</v>
      </c>
      <c r="AB1" s="32" t="s">
        <v>157</v>
      </c>
    </row>
    <row r="2" spans="1:28" x14ac:dyDescent="0.3">
      <c r="A2" s="32" t="s">
        <v>253</v>
      </c>
      <c r="B2" s="32" t="s">
        <v>240</v>
      </c>
      <c r="C2" s="32" t="s">
        <v>195</v>
      </c>
      <c r="D2" s="19" t="str">
        <f t="shared" ref="D2:D8" ca="1" si="0">HYPERLINK(CONCATENATE("https://bugzilla.houston.hp.com:1181/bugzilla/show_bug.cgi?id=",MID(INDIRECT($E$28&amp;ROW()),9,5)),MID(INDIRECT($E$28&amp;ROW()),9,5))</f>
        <v>42454</v>
      </c>
      <c r="E2" s="32">
        <v>56687</v>
      </c>
      <c r="F2" s="32" t="s">
        <v>41</v>
      </c>
      <c r="G2" s="32" t="s">
        <v>233</v>
      </c>
      <c r="H2" s="32" t="s">
        <v>11</v>
      </c>
      <c r="I2" s="32" t="s">
        <v>226</v>
      </c>
      <c r="J2" s="32" t="s">
        <v>99</v>
      </c>
      <c r="K2" s="32" t="s">
        <v>225</v>
      </c>
      <c r="L2" s="33">
        <v>42207.019432870373</v>
      </c>
      <c r="M2" s="32" t="s">
        <v>20</v>
      </c>
      <c r="N2" s="32" t="s">
        <v>15</v>
      </c>
      <c r="O2" s="33">
        <v>42041.700462962966</v>
      </c>
      <c r="P2" s="32" t="s">
        <v>16</v>
      </c>
      <c r="S2" s="32" t="s">
        <v>17</v>
      </c>
      <c r="T2" s="32" t="s">
        <v>18</v>
      </c>
      <c r="U2" s="32" t="s">
        <v>13</v>
      </c>
      <c r="V2" s="32" t="s">
        <v>19</v>
      </c>
      <c r="X2" s="32" t="s">
        <v>7</v>
      </c>
      <c r="Y2" s="32" t="s">
        <v>89</v>
      </c>
      <c r="Z2" s="32" t="s">
        <v>7</v>
      </c>
      <c r="AA2" s="32" t="s">
        <v>82</v>
      </c>
      <c r="AB2" s="32" t="s">
        <v>7</v>
      </c>
    </row>
    <row r="3" spans="1:28" x14ac:dyDescent="0.3">
      <c r="A3" s="32" t="s">
        <v>195</v>
      </c>
      <c r="B3" s="32" t="s">
        <v>240</v>
      </c>
      <c r="C3" s="32" t="s">
        <v>195</v>
      </c>
      <c r="D3" s="19" t="str">
        <f t="shared" ca="1" si="0"/>
        <v>49170</v>
      </c>
      <c r="E3" s="32">
        <v>56842</v>
      </c>
      <c r="F3" s="32" t="s">
        <v>54</v>
      </c>
      <c r="G3" s="32" t="s">
        <v>232</v>
      </c>
      <c r="H3" s="32" t="s">
        <v>2</v>
      </c>
      <c r="I3" s="32" t="s">
        <v>226</v>
      </c>
      <c r="J3" s="32" t="s">
        <v>81</v>
      </c>
      <c r="K3" s="32" t="s">
        <v>225</v>
      </c>
      <c r="L3" s="33">
        <v>42207.019201388888</v>
      </c>
      <c r="M3" s="32" t="s">
        <v>159</v>
      </c>
      <c r="N3" s="32" t="s">
        <v>231</v>
      </c>
      <c r="O3" s="33">
        <v>42045.449675925927</v>
      </c>
      <c r="P3" s="32" t="s">
        <v>84</v>
      </c>
      <c r="S3" s="32" t="s">
        <v>6</v>
      </c>
      <c r="T3" s="32" t="s">
        <v>7</v>
      </c>
      <c r="U3" s="32" t="s">
        <v>13</v>
      </c>
      <c r="V3" s="32" t="s">
        <v>19</v>
      </c>
      <c r="X3" s="32" t="s">
        <v>7</v>
      </c>
      <c r="Y3" s="32" t="s">
        <v>10</v>
      </c>
      <c r="Z3" s="32" t="s">
        <v>7</v>
      </c>
      <c r="AA3" s="32" t="s">
        <v>82</v>
      </c>
      <c r="AB3" s="32" t="s">
        <v>7</v>
      </c>
    </row>
    <row r="4" spans="1:28" x14ac:dyDescent="0.3">
      <c r="A4" s="32" t="s">
        <v>195</v>
      </c>
      <c r="B4" s="32" t="s">
        <v>240</v>
      </c>
      <c r="C4" s="32" t="s">
        <v>195</v>
      </c>
      <c r="D4" s="19" t="str">
        <f t="shared" ca="1" si="0"/>
        <v>61696</v>
      </c>
      <c r="E4" s="32">
        <v>61712</v>
      </c>
      <c r="F4" s="32" t="s">
        <v>164</v>
      </c>
      <c r="G4" s="32" t="s">
        <v>230</v>
      </c>
      <c r="H4" s="32" t="s">
        <v>2</v>
      </c>
      <c r="I4" s="32" t="s">
        <v>226</v>
      </c>
      <c r="J4" s="32" t="s">
        <v>81</v>
      </c>
      <c r="K4" s="32" t="s">
        <v>225</v>
      </c>
      <c r="L4" s="33">
        <v>42207.018090277779</v>
      </c>
      <c r="M4" s="32" t="s">
        <v>159</v>
      </c>
      <c r="N4" s="32" t="s">
        <v>80</v>
      </c>
      <c r="O4" s="33">
        <v>42125.516759259262</v>
      </c>
      <c r="P4" s="32" t="s">
        <v>5</v>
      </c>
      <c r="S4" s="32" t="s">
        <v>6</v>
      </c>
      <c r="T4" s="32" t="s">
        <v>30</v>
      </c>
      <c r="U4" s="32" t="s">
        <v>24</v>
      </c>
      <c r="V4" s="32" t="s">
        <v>47</v>
      </c>
      <c r="X4" s="32" t="s">
        <v>7</v>
      </c>
      <c r="Y4" s="32" t="s">
        <v>10</v>
      </c>
      <c r="Z4" s="32" t="s">
        <v>44</v>
      </c>
      <c r="AA4" s="32" t="s">
        <v>82</v>
      </c>
      <c r="AB4" s="32" t="s">
        <v>7</v>
      </c>
    </row>
    <row r="5" spans="1:28" x14ac:dyDescent="0.3">
      <c r="A5" s="32" t="s">
        <v>195</v>
      </c>
      <c r="B5" s="32" t="s">
        <v>240</v>
      </c>
      <c r="C5" s="32" t="s">
        <v>195</v>
      </c>
      <c r="D5" s="19" t="str">
        <f t="shared" ca="1" si="0"/>
        <v>60468</v>
      </c>
      <c r="E5" s="32">
        <v>62267</v>
      </c>
      <c r="F5" s="32" t="s">
        <v>191</v>
      </c>
      <c r="G5" s="32" t="s">
        <v>229</v>
      </c>
      <c r="H5" s="32" t="s">
        <v>11</v>
      </c>
      <c r="I5" s="32" t="s">
        <v>226</v>
      </c>
      <c r="J5" s="32" t="s">
        <v>81</v>
      </c>
      <c r="K5" s="32" t="s">
        <v>225</v>
      </c>
      <c r="L5" s="33">
        <v>42207.017777777779</v>
      </c>
      <c r="M5" s="32" t="s">
        <v>20</v>
      </c>
      <c r="N5" s="32" t="s">
        <v>15</v>
      </c>
      <c r="O5" s="33">
        <v>42136.578518518516</v>
      </c>
      <c r="P5" s="32" t="s">
        <v>102</v>
      </c>
      <c r="S5" s="32" t="s">
        <v>17</v>
      </c>
      <c r="T5" s="32" t="s">
        <v>30</v>
      </c>
      <c r="U5" s="32" t="s">
        <v>13</v>
      </c>
      <c r="V5" s="32" t="s">
        <v>103</v>
      </c>
      <c r="X5" s="32" t="s">
        <v>7</v>
      </c>
      <c r="Y5" s="32" t="s">
        <v>10</v>
      </c>
      <c r="Z5" s="32" t="s">
        <v>7</v>
      </c>
      <c r="AA5" s="32" t="s">
        <v>82</v>
      </c>
      <c r="AB5" s="32" t="s">
        <v>7</v>
      </c>
    </row>
    <row r="6" spans="1:28" x14ac:dyDescent="0.3">
      <c r="A6" s="32" t="s">
        <v>252</v>
      </c>
      <c r="B6" s="32" t="s">
        <v>241</v>
      </c>
      <c r="C6" s="32" t="s">
        <v>239</v>
      </c>
      <c r="D6" s="19" t="str">
        <f t="shared" ca="1" si="0"/>
        <v>62607</v>
      </c>
      <c r="E6" s="32">
        <v>62608</v>
      </c>
      <c r="F6" s="32" t="s">
        <v>234</v>
      </c>
      <c r="G6" s="32" t="s">
        <v>235</v>
      </c>
      <c r="H6" s="32" t="s">
        <v>2</v>
      </c>
      <c r="I6" s="32" t="s">
        <v>226</v>
      </c>
      <c r="J6" s="32" t="s">
        <v>81</v>
      </c>
      <c r="K6" s="32" t="s">
        <v>225</v>
      </c>
      <c r="L6" s="33">
        <v>42205.667662037034</v>
      </c>
      <c r="M6" s="32" t="s">
        <v>20</v>
      </c>
      <c r="N6" s="32" t="s">
        <v>83</v>
      </c>
      <c r="O6" s="33">
        <v>42143.376076388886</v>
      </c>
      <c r="P6" s="32" t="s">
        <v>5</v>
      </c>
      <c r="S6" s="32" t="s">
        <v>6</v>
      </c>
      <c r="T6" s="32" t="s">
        <v>30</v>
      </c>
      <c r="U6" s="32" t="s">
        <v>13</v>
      </c>
      <c r="V6" s="32" t="s">
        <v>236</v>
      </c>
      <c r="X6" s="32" t="s">
        <v>7</v>
      </c>
      <c r="Y6" s="32" t="s">
        <v>10</v>
      </c>
      <c r="Z6" s="32" t="s">
        <v>7</v>
      </c>
      <c r="AA6" s="32" t="s">
        <v>82</v>
      </c>
      <c r="AB6" s="32" t="s">
        <v>7</v>
      </c>
    </row>
    <row r="7" spans="1:28" x14ac:dyDescent="0.3">
      <c r="A7" s="32" t="s">
        <v>253</v>
      </c>
      <c r="B7" s="32" t="s">
        <v>240</v>
      </c>
      <c r="C7" s="32" t="s">
        <v>195</v>
      </c>
      <c r="D7" s="19" t="str">
        <f t="shared" ca="1" si="0"/>
        <v>64629</v>
      </c>
      <c r="E7" s="32">
        <v>64633</v>
      </c>
      <c r="F7" s="32" t="s">
        <v>54</v>
      </c>
      <c r="G7" s="32" t="s">
        <v>228</v>
      </c>
      <c r="H7" s="32" t="s">
        <v>2</v>
      </c>
      <c r="I7" s="32" t="s">
        <v>226</v>
      </c>
      <c r="J7" s="32" t="s">
        <v>81</v>
      </c>
      <c r="K7" s="32" t="s">
        <v>225</v>
      </c>
      <c r="L7" s="33">
        <v>42207.017442129632</v>
      </c>
      <c r="M7" s="32" t="s">
        <v>20</v>
      </c>
      <c r="N7" s="32" t="s">
        <v>80</v>
      </c>
      <c r="O7" s="33">
        <v>42181.017638888887</v>
      </c>
      <c r="P7" s="32" t="s">
        <v>148</v>
      </c>
      <c r="S7" s="32" t="s">
        <v>6</v>
      </c>
      <c r="T7" s="32" t="s">
        <v>30</v>
      </c>
      <c r="U7" s="32" t="s">
        <v>13</v>
      </c>
      <c r="V7" s="32" t="s">
        <v>19</v>
      </c>
      <c r="X7" s="32" t="s">
        <v>7</v>
      </c>
      <c r="Y7" s="32" t="s">
        <v>10</v>
      </c>
      <c r="Z7" s="32" t="s">
        <v>7</v>
      </c>
      <c r="AA7" s="32" t="s">
        <v>82</v>
      </c>
      <c r="AB7" s="32" t="s">
        <v>7</v>
      </c>
    </row>
    <row r="8" spans="1:28" x14ac:dyDescent="0.3">
      <c r="A8" s="32" t="s">
        <v>252</v>
      </c>
      <c r="B8" s="32" t="s">
        <v>241</v>
      </c>
      <c r="C8" s="32" t="s">
        <v>239</v>
      </c>
      <c r="D8" s="19" t="str">
        <f t="shared" ca="1" si="0"/>
        <v>64823</v>
      </c>
      <c r="E8" s="32">
        <v>64842</v>
      </c>
      <c r="F8" s="32" t="s">
        <v>234</v>
      </c>
      <c r="G8" s="32" t="s">
        <v>237</v>
      </c>
      <c r="H8" s="32" t="s">
        <v>2</v>
      </c>
      <c r="I8" s="32" t="s">
        <v>226</v>
      </c>
      <c r="J8" s="32" t="s">
        <v>81</v>
      </c>
      <c r="K8" s="32" t="s">
        <v>225</v>
      </c>
      <c r="L8" s="33">
        <v>42205.561689814815</v>
      </c>
      <c r="M8" s="32" t="s">
        <v>20</v>
      </c>
      <c r="N8" s="32" t="s">
        <v>80</v>
      </c>
      <c r="O8" s="33">
        <v>42186.02003472222</v>
      </c>
      <c r="P8" s="32" t="s">
        <v>43</v>
      </c>
      <c r="S8" s="32" t="s">
        <v>17</v>
      </c>
      <c r="T8" s="32" t="s">
        <v>30</v>
      </c>
      <c r="U8" s="32" t="s">
        <v>13</v>
      </c>
      <c r="V8" s="32" t="s">
        <v>236</v>
      </c>
      <c r="X8" s="32" t="s">
        <v>7</v>
      </c>
      <c r="Y8" s="32" t="s">
        <v>10</v>
      </c>
      <c r="Z8" s="32" t="s">
        <v>7</v>
      </c>
      <c r="AA8" s="32" t="s">
        <v>82</v>
      </c>
      <c r="AB8" s="32" t="s">
        <v>7</v>
      </c>
    </row>
    <row r="9" spans="1:28" x14ac:dyDescent="0.3">
      <c r="A9" s="32" t="s">
        <v>195</v>
      </c>
      <c r="B9" s="32" t="s">
        <v>240</v>
      </c>
      <c r="C9" s="32" t="s">
        <v>195</v>
      </c>
      <c r="D9" s="19" t="str">
        <f ca="1">HYPERLINK(CONCATENATE("https://bugzilla.houston.hp.com:1181/bugzilla/show_bug.cgi?id=",MID(INDIRECT($E$28&amp;ROW()),9,5)),MID(INDIRECT($E$28&amp;ROW()),9,5))</f>
        <v>65259</v>
      </c>
      <c r="E9" s="32">
        <v>65282</v>
      </c>
      <c r="F9" s="32" t="s">
        <v>178</v>
      </c>
      <c r="G9" s="32" t="s">
        <v>227</v>
      </c>
      <c r="H9" s="32" t="s">
        <v>11</v>
      </c>
      <c r="I9" s="32" t="s">
        <v>226</v>
      </c>
      <c r="J9" s="32" t="s">
        <v>81</v>
      </c>
      <c r="K9" s="32" t="s">
        <v>225</v>
      </c>
      <c r="L9" s="33">
        <v>42207.017118055555</v>
      </c>
      <c r="M9" s="32" t="s">
        <v>20</v>
      </c>
      <c r="N9" s="32" t="s">
        <v>3</v>
      </c>
      <c r="O9" s="33">
        <v>42194.366284722222</v>
      </c>
      <c r="P9" s="32" t="s">
        <v>16</v>
      </c>
      <c r="S9" s="32" t="s">
        <v>17</v>
      </c>
      <c r="T9" s="32" t="s">
        <v>30</v>
      </c>
      <c r="U9" s="32" t="s">
        <v>13</v>
      </c>
      <c r="V9" s="32" t="s">
        <v>19</v>
      </c>
      <c r="X9" s="32" t="s">
        <v>7</v>
      </c>
      <c r="Y9" s="32" t="s">
        <v>10</v>
      </c>
      <c r="Z9" s="32" t="s">
        <v>7</v>
      </c>
      <c r="AA9" s="32" t="s">
        <v>82</v>
      </c>
      <c r="AB9" s="32" t="s">
        <v>7</v>
      </c>
    </row>
    <row r="28" spans="4:5" x14ac:dyDescent="0.3">
      <c r="D28" s="32">
        <f>SUBTOTAL(3,E2:E12)</f>
        <v>8</v>
      </c>
      <c r="E28" s="32" t="s">
        <v>136</v>
      </c>
    </row>
  </sheetData>
  <autoFilter ref="A1:AB9"/>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A38"/>
  <sheetViews>
    <sheetView topLeftCell="A13" zoomScale="90" zoomScaleNormal="90" workbookViewId="0">
      <selection activeCell="E42" sqref="E42"/>
    </sheetView>
  </sheetViews>
  <sheetFormatPr defaultColWidth="9" defaultRowHeight="14.4" x14ac:dyDescent="0.3"/>
  <cols>
    <col min="1" max="2" width="9" style="37"/>
    <col min="3" max="3" width="6.21875" style="37" bestFit="1" customWidth="1"/>
    <col min="4" max="4" width="27.44140625" style="37" bestFit="1" customWidth="1"/>
    <col min="5" max="5" width="147.109375" style="37" bestFit="1" customWidth="1"/>
    <col min="6" max="6" width="7.44140625" style="37" bestFit="1" customWidth="1"/>
    <col min="7" max="7" width="14.88671875" style="37" bestFit="1" customWidth="1"/>
    <col min="8" max="8" width="31.21875" style="37" bestFit="1" customWidth="1"/>
    <col min="9" max="9" width="42.109375" style="37" bestFit="1" customWidth="1"/>
    <col min="10" max="10" width="13.6640625" style="37" bestFit="1" customWidth="1"/>
    <col min="11" max="11" width="10" style="37" bestFit="1" customWidth="1"/>
    <col min="12" max="12" width="15.21875" style="37" bestFit="1" customWidth="1"/>
    <col min="13" max="13" width="14.6640625" style="37" bestFit="1" customWidth="1"/>
    <col min="14" max="14" width="14" style="37" bestFit="1" customWidth="1"/>
    <col min="15" max="15" width="11" style="37" bestFit="1" customWidth="1"/>
    <col min="16" max="16" width="8.88671875" style="37" bestFit="1" customWidth="1"/>
    <col min="17" max="17" width="16.88671875" style="37" bestFit="1" customWidth="1"/>
    <col min="18" max="18" width="16.44140625" style="37" bestFit="1" customWidth="1"/>
    <col min="19" max="19" width="14.77734375" style="37" bestFit="1" customWidth="1"/>
    <col min="20" max="20" width="18.33203125" style="37" bestFit="1" customWidth="1"/>
    <col min="21" max="21" width="8.109375" style="37" bestFit="1" customWidth="1"/>
    <col min="22" max="22" width="18.33203125" style="37" bestFit="1" customWidth="1"/>
    <col min="23" max="23" width="10.21875" style="37" bestFit="1" customWidth="1"/>
    <col min="24" max="24" width="21.44140625" style="37" bestFit="1" customWidth="1"/>
    <col min="25" max="25" width="12.6640625" style="37" bestFit="1" customWidth="1"/>
    <col min="26" max="26" width="9.6640625" style="37" bestFit="1" customWidth="1"/>
    <col min="27" max="16384" width="9" style="37"/>
  </cols>
  <sheetData>
    <row r="1" spans="2:27" x14ac:dyDescent="0.3">
      <c r="B1" s="37" t="s">
        <v>248</v>
      </c>
      <c r="C1" s="37" t="s">
        <v>145</v>
      </c>
      <c r="D1" s="37" t="s">
        <v>57</v>
      </c>
      <c r="E1" s="37" t="s">
        <v>58</v>
      </c>
      <c r="F1" s="37" t="s">
        <v>59</v>
      </c>
      <c r="G1" s="37" t="s">
        <v>60</v>
      </c>
      <c r="H1" s="37" t="s">
        <v>61</v>
      </c>
      <c r="I1" s="37" t="s">
        <v>62</v>
      </c>
      <c r="J1" s="37" t="s">
        <v>63</v>
      </c>
      <c r="K1" s="37" t="s">
        <v>64</v>
      </c>
      <c r="L1" s="37" t="s">
        <v>65</v>
      </c>
      <c r="M1" s="37" t="s">
        <v>66</v>
      </c>
      <c r="N1" s="37" t="s">
        <v>67</v>
      </c>
      <c r="O1" s="37" t="s">
        <v>68</v>
      </c>
      <c r="P1" s="37" t="s">
        <v>69</v>
      </c>
      <c r="Q1" s="37" t="s">
        <v>70</v>
      </c>
      <c r="R1" s="37" t="s">
        <v>71</v>
      </c>
      <c r="S1" s="37" t="s">
        <v>72</v>
      </c>
      <c r="T1" s="37" t="s">
        <v>73</v>
      </c>
      <c r="U1" s="37" t="s">
        <v>74</v>
      </c>
      <c r="V1" s="37" t="s">
        <v>75</v>
      </c>
      <c r="W1" s="37" t="s">
        <v>76</v>
      </c>
      <c r="X1" s="37" t="s">
        <v>77</v>
      </c>
      <c r="Y1" s="37" t="s">
        <v>78</v>
      </c>
      <c r="Z1" s="37" t="s">
        <v>157</v>
      </c>
    </row>
    <row r="2" spans="2:27" x14ac:dyDescent="0.3">
      <c r="C2" s="39">
        <v>60557</v>
      </c>
      <c r="D2" s="37" t="s">
        <v>54</v>
      </c>
      <c r="E2" s="37" t="s">
        <v>88</v>
      </c>
      <c r="F2" s="37" t="s">
        <v>11</v>
      </c>
      <c r="G2" s="37" t="s">
        <v>80</v>
      </c>
      <c r="H2" s="37" t="s">
        <v>81</v>
      </c>
      <c r="I2" s="37" t="s">
        <v>175</v>
      </c>
      <c r="J2" s="38">
        <v>42181.304178240738</v>
      </c>
      <c r="K2" s="37" t="s">
        <v>4</v>
      </c>
      <c r="L2" s="37" t="s">
        <v>15</v>
      </c>
      <c r="M2" s="38">
        <v>42109.740752314814</v>
      </c>
      <c r="N2" s="37" t="s">
        <v>16</v>
      </c>
      <c r="Q2" s="37" t="s">
        <v>17</v>
      </c>
      <c r="R2" s="37" t="s">
        <v>18</v>
      </c>
      <c r="S2" s="37" t="s">
        <v>13</v>
      </c>
      <c r="T2" s="37" t="s">
        <v>19</v>
      </c>
      <c r="V2" s="37" t="s">
        <v>9</v>
      </c>
      <c r="W2" s="37" t="s">
        <v>89</v>
      </c>
      <c r="X2" s="37" t="s">
        <v>7</v>
      </c>
      <c r="Y2" s="37" t="s">
        <v>82</v>
      </c>
      <c r="Z2" s="37" t="s">
        <v>181</v>
      </c>
      <c r="AA2" s="37" t="s">
        <v>185</v>
      </c>
    </row>
    <row r="3" spans="2:27" x14ac:dyDescent="0.3">
      <c r="B3" s="37" t="s">
        <v>195</v>
      </c>
      <c r="C3" s="37">
        <v>60560</v>
      </c>
      <c r="D3" s="37" t="s">
        <v>32</v>
      </c>
      <c r="E3" s="37" t="s">
        <v>90</v>
      </c>
      <c r="F3" s="37" t="s">
        <v>11</v>
      </c>
      <c r="G3" s="37" t="s">
        <v>80</v>
      </c>
      <c r="H3" s="37" t="s">
        <v>81</v>
      </c>
      <c r="J3" s="38">
        <v>42206.086076388892</v>
      </c>
      <c r="K3" s="37" t="s">
        <v>20</v>
      </c>
      <c r="L3" s="37" t="s">
        <v>83</v>
      </c>
      <c r="M3" s="38">
        <v>42109.74486111111</v>
      </c>
      <c r="N3" s="37" t="s">
        <v>40</v>
      </c>
      <c r="Q3" s="37" t="s">
        <v>17</v>
      </c>
      <c r="R3" s="37" t="s">
        <v>30</v>
      </c>
      <c r="S3" s="37" t="s">
        <v>8</v>
      </c>
      <c r="T3" s="37" t="s">
        <v>27</v>
      </c>
      <c r="V3" s="37" t="s">
        <v>9</v>
      </c>
      <c r="W3" s="37" t="s">
        <v>10</v>
      </c>
      <c r="X3" s="37" t="s">
        <v>7</v>
      </c>
      <c r="Y3" s="37" t="s">
        <v>82</v>
      </c>
      <c r="Z3" s="37" t="s">
        <v>7</v>
      </c>
    </row>
    <row r="4" spans="2:27" x14ac:dyDescent="0.3">
      <c r="B4" s="37" t="s">
        <v>195</v>
      </c>
      <c r="C4" s="37">
        <v>60565</v>
      </c>
      <c r="D4" s="37" t="s">
        <v>33</v>
      </c>
      <c r="E4" s="37" t="s">
        <v>98</v>
      </c>
      <c r="F4" s="37" t="s">
        <v>11</v>
      </c>
      <c r="G4" s="37" t="s">
        <v>80</v>
      </c>
      <c r="H4" s="37" t="s">
        <v>81</v>
      </c>
      <c r="I4" s="37" t="s">
        <v>100</v>
      </c>
      <c r="J4" s="38">
        <v>42206.087245370371</v>
      </c>
      <c r="K4" s="37" t="s">
        <v>20</v>
      </c>
      <c r="L4" s="37" t="s">
        <v>80</v>
      </c>
      <c r="M4" s="38">
        <v>42109.748171296298</v>
      </c>
      <c r="N4" s="37" t="s">
        <v>5</v>
      </c>
      <c r="Q4" s="37" t="s">
        <v>17</v>
      </c>
      <c r="R4" s="37" t="s">
        <v>30</v>
      </c>
      <c r="S4" s="37" t="s">
        <v>13</v>
      </c>
      <c r="T4" s="37" t="s">
        <v>35</v>
      </c>
      <c r="V4" s="37" t="s">
        <v>9</v>
      </c>
      <c r="W4" s="37" t="s">
        <v>10</v>
      </c>
      <c r="X4" s="37" t="s">
        <v>7</v>
      </c>
      <c r="Y4" s="37" t="s">
        <v>82</v>
      </c>
      <c r="Z4" s="37" t="s">
        <v>7</v>
      </c>
    </row>
    <row r="5" spans="2:27" x14ac:dyDescent="0.3">
      <c r="B5" s="37" t="s">
        <v>195</v>
      </c>
      <c r="C5" s="37">
        <v>61076</v>
      </c>
      <c r="D5" s="37" t="s">
        <v>85</v>
      </c>
      <c r="E5" s="37" t="s">
        <v>86</v>
      </c>
      <c r="F5" s="37" t="s">
        <v>2</v>
      </c>
      <c r="G5" s="37" t="s">
        <v>80</v>
      </c>
      <c r="H5" s="37" t="s">
        <v>81</v>
      </c>
      <c r="I5" s="37" t="s">
        <v>87</v>
      </c>
      <c r="J5" s="38">
        <v>42184.039027777777</v>
      </c>
      <c r="K5" s="37" t="s">
        <v>20</v>
      </c>
      <c r="L5" s="37" t="s">
        <v>3</v>
      </c>
      <c r="M5" s="38">
        <v>42116.453148148146</v>
      </c>
      <c r="N5" s="37" t="s">
        <v>5</v>
      </c>
      <c r="Q5" s="37" t="s">
        <v>6</v>
      </c>
      <c r="R5" s="37" t="s">
        <v>7</v>
      </c>
      <c r="S5" s="37" t="s">
        <v>24</v>
      </c>
      <c r="T5" s="37" t="s">
        <v>31</v>
      </c>
      <c r="V5" s="37" t="s">
        <v>9</v>
      </c>
      <c r="W5" s="37" t="s">
        <v>26</v>
      </c>
      <c r="X5" s="37" t="s">
        <v>7</v>
      </c>
      <c r="Y5" s="37" t="s">
        <v>82</v>
      </c>
      <c r="Z5" s="37" t="s">
        <v>7</v>
      </c>
    </row>
    <row r="6" spans="2:27" x14ac:dyDescent="0.3">
      <c r="B6" s="37" t="s">
        <v>195</v>
      </c>
      <c r="C6" s="37">
        <v>61077</v>
      </c>
      <c r="D6" s="37" t="s">
        <v>34</v>
      </c>
      <c r="E6" s="37" t="s">
        <v>94</v>
      </c>
      <c r="F6" s="37" t="s">
        <v>2</v>
      </c>
      <c r="G6" s="37" t="s">
        <v>80</v>
      </c>
      <c r="H6" s="37" t="s">
        <v>81</v>
      </c>
      <c r="J6" s="38">
        <v>42209.254918981482</v>
      </c>
      <c r="K6" s="37" t="s">
        <v>20</v>
      </c>
      <c r="L6" s="37" t="s">
        <v>3</v>
      </c>
      <c r="M6" s="38">
        <v>42116.453344907408</v>
      </c>
      <c r="N6" s="37" t="s">
        <v>5</v>
      </c>
      <c r="Q6" s="37" t="s">
        <v>6</v>
      </c>
      <c r="R6" s="37" t="s">
        <v>30</v>
      </c>
      <c r="S6" s="37" t="s">
        <v>24</v>
      </c>
      <c r="T6" s="37" t="s">
        <v>31</v>
      </c>
      <c r="V6" s="37" t="s">
        <v>9</v>
      </c>
      <c r="W6" s="37" t="s">
        <v>10</v>
      </c>
      <c r="X6" s="37" t="s">
        <v>7</v>
      </c>
      <c r="Y6" s="37" t="s">
        <v>82</v>
      </c>
      <c r="Z6" s="37" t="s">
        <v>7</v>
      </c>
    </row>
    <row r="7" spans="2:27" x14ac:dyDescent="0.3">
      <c r="B7" s="37" t="s">
        <v>195</v>
      </c>
      <c r="C7" s="37">
        <v>61082</v>
      </c>
      <c r="D7" s="37" t="s">
        <v>23</v>
      </c>
      <c r="E7" s="37" t="s">
        <v>93</v>
      </c>
      <c r="F7" s="37" t="s">
        <v>11</v>
      </c>
      <c r="G7" s="37" t="s">
        <v>80</v>
      </c>
      <c r="H7" s="37" t="s">
        <v>81</v>
      </c>
      <c r="I7" s="37" t="s">
        <v>87</v>
      </c>
      <c r="J7" s="38">
        <v>42206.084224537037</v>
      </c>
      <c r="K7" s="37" t="s">
        <v>20</v>
      </c>
      <c r="L7" s="37" t="s">
        <v>3</v>
      </c>
      <c r="M7" s="38">
        <v>42116.454432870371</v>
      </c>
      <c r="N7" s="37" t="s">
        <v>5</v>
      </c>
      <c r="Q7" s="37" t="s">
        <v>17</v>
      </c>
      <c r="R7" s="37" t="s">
        <v>7</v>
      </c>
      <c r="S7" s="37" t="s">
        <v>24</v>
      </c>
      <c r="T7" s="37" t="s">
        <v>47</v>
      </c>
      <c r="V7" s="37" t="s">
        <v>9</v>
      </c>
      <c r="W7" s="37" t="s">
        <v>10</v>
      </c>
      <c r="X7" s="37" t="s">
        <v>44</v>
      </c>
      <c r="Y7" s="37" t="s">
        <v>82</v>
      </c>
      <c r="Z7" s="37" t="s">
        <v>7</v>
      </c>
    </row>
    <row r="8" spans="2:27" x14ac:dyDescent="0.3">
      <c r="B8" s="37" t="s">
        <v>195</v>
      </c>
      <c r="C8" s="37">
        <v>61083</v>
      </c>
      <c r="D8" s="37" t="s">
        <v>28</v>
      </c>
      <c r="E8" s="37" t="s">
        <v>97</v>
      </c>
      <c r="F8" s="37" t="s">
        <v>2</v>
      </c>
      <c r="G8" s="37" t="s">
        <v>80</v>
      </c>
      <c r="H8" s="37" t="s">
        <v>81</v>
      </c>
      <c r="I8" s="37" t="s">
        <v>87</v>
      </c>
      <c r="J8" s="38">
        <v>42206.082384259258</v>
      </c>
      <c r="K8" s="37" t="s">
        <v>20</v>
      </c>
      <c r="L8" s="37" t="s">
        <v>3</v>
      </c>
      <c r="M8" s="38">
        <v>42116.454814814817</v>
      </c>
      <c r="N8" s="37" t="s">
        <v>40</v>
      </c>
      <c r="Q8" s="37" t="s">
        <v>6</v>
      </c>
      <c r="R8" s="37" t="s">
        <v>30</v>
      </c>
      <c r="S8" s="37" t="s">
        <v>13</v>
      </c>
      <c r="T8" s="37" t="s">
        <v>19</v>
      </c>
      <c r="V8" s="37" t="s">
        <v>9</v>
      </c>
      <c r="W8" s="37" t="s">
        <v>10</v>
      </c>
      <c r="X8" s="37" t="s">
        <v>7</v>
      </c>
      <c r="Y8" s="37" t="s">
        <v>82</v>
      </c>
      <c r="Z8" s="37" t="s">
        <v>7</v>
      </c>
    </row>
    <row r="9" spans="2:27" x14ac:dyDescent="0.3">
      <c r="B9" s="37" t="s">
        <v>195</v>
      </c>
      <c r="C9" s="37">
        <v>61913</v>
      </c>
      <c r="D9" s="37" t="s">
        <v>32</v>
      </c>
      <c r="E9" s="37" t="s">
        <v>162</v>
      </c>
      <c r="F9" s="37" t="s">
        <v>2</v>
      </c>
      <c r="G9" s="37" t="s">
        <v>80</v>
      </c>
      <c r="H9" s="37" t="s">
        <v>81</v>
      </c>
      <c r="J9" s="38">
        <v>42206.114432870374</v>
      </c>
      <c r="K9" s="37" t="s">
        <v>159</v>
      </c>
      <c r="L9" s="37" t="s">
        <v>3</v>
      </c>
      <c r="M9" s="38">
        <v>42130.516365740739</v>
      </c>
      <c r="N9" s="37" t="s">
        <v>40</v>
      </c>
      <c r="Q9" s="37" t="s">
        <v>6</v>
      </c>
      <c r="R9" s="37" t="s">
        <v>30</v>
      </c>
      <c r="S9" s="37" t="s">
        <v>8</v>
      </c>
      <c r="T9" s="37" t="s">
        <v>27</v>
      </c>
      <c r="V9" s="37" t="s">
        <v>9</v>
      </c>
      <c r="W9" s="37" t="s">
        <v>10</v>
      </c>
      <c r="X9" s="37" t="s">
        <v>44</v>
      </c>
      <c r="Y9" s="37" t="s">
        <v>82</v>
      </c>
      <c r="Z9" s="37" t="s">
        <v>7</v>
      </c>
    </row>
    <row r="10" spans="2:27" x14ac:dyDescent="0.3">
      <c r="B10" s="37" t="s">
        <v>239</v>
      </c>
      <c r="C10" s="37">
        <v>60564</v>
      </c>
      <c r="D10" s="37" t="s">
        <v>170</v>
      </c>
      <c r="E10" s="37" t="s">
        <v>151</v>
      </c>
      <c r="F10" s="37" t="s">
        <v>11</v>
      </c>
      <c r="G10" s="37" t="s">
        <v>80</v>
      </c>
      <c r="H10" s="37" t="s">
        <v>81</v>
      </c>
      <c r="I10" s="37" t="s">
        <v>150</v>
      </c>
      <c r="J10" s="37">
        <v>42201.630844907406</v>
      </c>
      <c r="K10" s="37" t="s">
        <v>20</v>
      </c>
      <c r="L10" s="37" t="s">
        <v>83</v>
      </c>
      <c r="M10" s="37">
        <v>42109.74800925926</v>
      </c>
      <c r="N10" s="37" t="s">
        <v>96</v>
      </c>
      <c r="Q10" s="37" t="s">
        <v>12</v>
      </c>
      <c r="R10" s="37" t="s">
        <v>30</v>
      </c>
      <c r="S10" s="37" t="s">
        <v>8</v>
      </c>
      <c r="T10" s="37" t="s">
        <v>183</v>
      </c>
      <c r="V10" s="37" t="s">
        <v>9</v>
      </c>
      <c r="W10" s="37" t="s">
        <v>10</v>
      </c>
      <c r="X10" s="37" t="s">
        <v>44</v>
      </c>
      <c r="Y10" s="37" t="s">
        <v>82</v>
      </c>
      <c r="Z10" s="37" t="s">
        <v>243</v>
      </c>
      <c r="AA10" s="37" t="s">
        <v>7</v>
      </c>
    </row>
    <row r="11" spans="2:27" x14ac:dyDescent="0.3">
      <c r="B11" s="37" t="s">
        <v>239</v>
      </c>
      <c r="C11" s="37">
        <v>60568</v>
      </c>
      <c r="D11" s="37" t="s">
        <v>221</v>
      </c>
      <c r="E11" s="37" t="s">
        <v>149</v>
      </c>
      <c r="F11" s="37" t="s">
        <v>11</v>
      </c>
      <c r="G11" s="37" t="s">
        <v>80</v>
      </c>
      <c r="H11" s="37" t="s">
        <v>81</v>
      </c>
      <c r="J11" s="37">
        <v>42201.63108796296</v>
      </c>
      <c r="K11" s="37" t="s">
        <v>159</v>
      </c>
      <c r="L11" s="37" t="s">
        <v>80</v>
      </c>
      <c r="M11" s="37">
        <v>42109.748993055553</v>
      </c>
      <c r="N11" s="37" t="s">
        <v>5</v>
      </c>
      <c r="Q11" s="37" t="s">
        <v>17</v>
      </c>
      <c r="R11" s="37" t="s">
        <v>30</v>
      </c>
      <c r="S11" s="37" t="s">
        <v>13</v>
      </c>
      <c r="T11" s="37" t="s">
        <v>14</v>
      </c>
      <c r="V11" s="37" t="s">
        <v>9</v>
      </c>
      <c r="W11" s="37" t="s">
        <v>10</v>
      </c>
      <c r="X11" s="37" t="s">
        <v>176</v>
      </c>
      <c r="Y11" s="37" t="s">
        <v>82</v>
      </c>
      <c r="Z11" s="37" t="s">
        <v>243</v>
      </c>
      <c r="AA11" s="37" t="s">
        <v>7</v>
      </c>
    </row>
    <row r="12" spans="2:27" x14ac:dyDescent="0.3">
      <c r="B12" s="37" t="s">
        <v>239</v>
      </c>
      <c r="C12" s="37">
        <v>61079</v>
      </c>
      <c r="D12" s="37" t="s">
        <v>32</v>
      </c>
      <c r="E12" s="37" t="s">
        <v>91</v>
      </c>
      <c r="F12" s="37" t="s">
        <v>2</v>
      </c>
      <c r="G12" s="37" t="s">
        <v>80</v>
      </c>
      <c r="H12" s="37" t="s">
        <v>81</v>
      </c>
      <c r="I12" s="37" t="s">
        <v>92</v>
      </c>
      <c r="J12" s="37">
        <v>42206.090729166666</v>
      </c>
      <c r="K12" s="37" t="s">
        <v>20</v>
      </c>
      <c r="L12" s="37" t="s">
        <v>3</v>
      </c>
      <c r="M12" s="37">
        <v>42116.453750000001</v>
      </c>
      <c r="N12" s="37" t="s">
        <v>56</v>
      </c>
      <c r="Q12" s="37" t="s">
        <v>6</v>
      </c>
      <c r="R12" s="37" t="s">
        <v>30</v>
      </c>
      <c r="S12" s="37" t="s">
        <v>8</v>
      </c>
      <c r="T12" s="37" t="s">
        <v>38</v>
      </c>
      <c r="V12" s="37" t="s">
        <v>9</v>
      </c>
      <c r="W12" s="37" t="s">
        <v>10</v>
      </c>
      <c r="X12" s="37" t="s">
        <v>7</v>
      </c>
      <c r="Y12" s="37" t="s">
        <v>82</v>
      </c>
      <c r="Z12" s="37" t="s">
        <v>7</v>
      </c>
      <c r="AA12" s="37" t="s">
        <v>193</v>
      </c>
    </row>
    <row r="13" spans="2:27" x14ac:dyDescent="0.3">
      <c r="B13" s="37" t="s">
        <v>239</v>
      </c>
      <c r="C13" s="37">
        <v>61246</v>
      </c>
      <c r="D13" s="37" t="s">
        <v>42</v>
      </c>
      <c r="E13" s="37" t="s">
        <v>95</v>
      </c>
      <c r="F13" s="37" t="s">
        <v>2</v>
      </c>
      <c r="G13" s="37" t="s">
        <v>80</v>
      </c>
      <c r="H13" s="37" t="s">
        <v>81</v>
      </c>
      <c r="J13" s="37">
        <v>42206.092870370368</v>
      </c>
      <c r="K13" s="37" t="s">
        <v>20</v>
      </c>
      <c r="L13" s="37" t="s">
        <v>3</v>
      </c>
      <c r="M13" s="37">
        <v>42118.339432870373</v>
      </c>
      <c r="N13" s="37" t="s">
        <v>5</v>
      </c>
      <c r="Q13" s="37" t="s">
        <v>6</v>
      </c>
      <c r="R13" s="37" t="s">
        <v>30</v>
      </c>
      <c r="S13" s="37" t="s">
        <v>13</v>
      </c>
      <c r="T13" s="37" t="s">
        <v>19</v>
      </c>
      <c r="V13" s="37" t="s">
        <v>9</v>
      </c>
      <c r="W13" s="37" t="s">
        <v>26</v>
      </c>
      <c r="X13" s="37" t="s">
        <v>7</v>
      </c>
      <c r="Y13" s="37" t="s">
        <v>82</v>
      </c>
      <c r="Z13" s="37" t="s">
        <v>7</v>
      </c>
      <c r="AA13" s="37" t="s">
        <v>193</v>
      </c>
    </row>
    <row r="14" spans="2:27" x14ac:dyDescent="0.3">
      <c r="B14" s="37" t="s">
        <v>239</v>
      </c>
      <c r="C14" s="37">
        <v>61546</v>
      </c>
      <c r="D14" s="37" t="s">
        <v>212</v>
      </c>
      <c r="E14" s="37" t="s">
        <v>171</v>
      </c>
      <c r="F14" s="37" t="s">
        <v>11</v>
      </c>
      <c r="G14" s="37" t="s">
        <v>80</v>
      </c>
      <c r="H14" s="37" t="s">
        <v>81</v>
      </c>
      <c r="J14" s="37">
        <v>42201.631041666667</v>
      </c>
      <c r="K14" s="37" t="s">
        <v>159</v>
      </c>
      <c r="L14" s="37" t="s">
        <v>3</v>
      </c>
      <c r="M14" s="37">
        <v>42123.465462962966</v>
      </c>
      <c r="N14" s="37" t="s">
        <v>16</v>
      </c>
      <c r="Q14" s="37" t="s">
        <v>17</v>
      </c>
      <c r="R14" s="37" t="s">
        <v>30</v>
      </c>
      <c r="S14" s="37" t="s">
        <v>13</v>
      </c>
      <c r="T14" s="37" t="s">
        <v>14</v>
      </c>
      <c r="V14" s="37" t="s">
        <v>9</v>
      </c>
      <c r="W14" s="37" t="s">
        <v>10</v>
      </c>
      <c r="X14" s="37" t="s">
        <v>7</v>
      </c>
      <c r="Y14" s="37" t="s">
        <v>82</v>
      </c>
      <c r="Z14" s="37" t="s">
        <v>243</v>
      </c>
      <c r="AA14" s="37" t="s">
        <v>7</v>
      </c>
    </row>
    <row r="15" spans="2:27" x14ac:dyDescent="0.3">
      <c r="B15" s="37" t="s">
        <v>239</v>
      </c>
      <c r="C15" s="37">
        <v>62224</v>
      </c>
      <c r="D15" s="37" t="s">
        <v>21</v>
      </c>
      <c r="E15" s="37" t="s">
        <v>172</v>
      </c>
      <c r="F15" s="37" t="s">
        <v>2</v>
      </c>
      <c r="G15" s="37" t="s">
        <v>80</v>
      </c>
      <c r="H15" s="37" t="s">
        <v>99</v>
      </c>
      <c r="I15" s="37" t="s">
        <v>101</v>
      </c>
      <c r="J15" s="37">
        <v>42208.335034722222</v>
      </c>
      <c r="K15" s="37" t="s">
        <v>4</v>
      </c>
      <c r="L15" s="37" t="s">
        <v>80</v>
      </c>
      <c r="M15" s="37">
        <v>42136.329282407409</v>
      </c>
      <c r="N15" s="37" t="s">
        <v>22</v>
      </c>
      <c r="Q15" s="37" t="s">
        <v>6</v>
      </c>
      <c r="R15" s="37" t="s">
        <v>30</v>
      </c>
      <c r="S15" s="37" t="s">
        <v>8</v>
      </c>
      <c r="T15" s="37" t="s">
        <v>153</v>
      </c>
      <c r="V15" s="37" t="s">
        <v>9</v>
      </c>
      <c r="W15" s="37" t="s">
        <v>10</v>
      </c>
      <c r="X15" s="37" t="s">
        <v>176</v>
      </c>
      <c r="Y15" s="37" t="s">
        <v>82</v>
      </c>
      <c r="Z15" s="37" t="s">
        <v>7</v>
      </c>
      <c r="AA15" s="37" t="s">
        <v>193</v>
      </c>
    </row>
    <row r="16" spans="2:27" x14ac:dyDescent="0.3">
      <c r="B16" s="37" t="s">
        <v>239</v>
      </c>
      <c r="C16" s="37">
        <v>62848</v>
      </c>
      <c r="D16" s="37" t="s">
        <v>25</v>
      </c>
      <c r="E16" s="37" t="s">
        <v>214</v>
      </c>
      <c r="F16" s="37" t="s">
        <v>11</v>
      </c>
      <c r="G16" s="37" t="s">
        <v>80</v>
      </c>
      <c r="H16" s="37" t="s">
        <v>81</v>
      </c>
      <c r="J16" s="37">
        <v>42209.253379629627</v>
      </c>
      <c r="K16" s="37" t="s">
        <v>159</v>
      </c>
      <c r="L16" s="37" t="s">
        <v>80</v>
      </c>
      <c r="M16" s="37">
        <v>42146.516724537039</v>
      </c>
      <c r="N16" s="37" t="s">
        <v>215</v>
      </c>
      <c r="Q16" s="37" t="s">
        <v>12</v>
      </c>
      <c r="R16" s="37" t="s">
        <v>30</v>
      </c>
      <c r="S16" s="37" t="s">
        <v>8</v>
      </c>
      <c r="T16" s="37" t="s">
        <v>216</v>
      </c>
      <c r="V16" s="37" t="s">
        <v>9</v>
      </c>
      <c r="W16" s="37" t="s">
        <v>10</v>
      </c>
      <c r="X16" s="37" t="s">
        <v>44</v>
      </c>
      <c r="Y16" s="37" t="s">
        <v>82</v>
      </c>
      <c r="Z16" s="37" t="s">
        <v>7</v>
      </c>
      <c r="AA16" s="37" t="s">
        <v>193</v>
      </c>
    </row>
    <row r="17" spans="2:27" x14ac:dyDescent="0.3">
      <c r="C17" s="37">
        <v>63195</v>
      </c>
      <c r="D17" s="37" t="s">
        <v>42</v>
      </c>
      <c r="E17" s="37" t="s">
        <v>139</v>
      </c>
      <c r="F17" s="37" t="s">
        <v>2</v>
      </c>
      <c r="G17" s="37" t="s">
        <v>80</v>
      </c>
      <c r="H17" s="37" t="s">
        <v>81</v>
      </c>
      <c r="I17" s="37" t="s">
        <v>163</v>
      </c>
      <c r="J17" s="38">
        <v>42181.303368055553</v>
      </c>
      <c r="K17" s="37" t="s">
        <v>20</v>
      </c>
      <c r="L17" s="37" t="s">
        <v>80</v>
      </c>
      <c r="M17" s="38">
        <v>42153.756840277776</v>
      </c>
      <c r="N17" s="37" t="s">
        <v>22</v>
      </c>
      <c r="Q17" s="37" t="s">
        <v>6</v>
      </c>
      <c r="R17" s="37" t="s">
        <v>30</v>
      </c>
      <c r="S17" s="37" t="s">
        <v>13</v>
      </c>
      <c r="T17" s="37" t="s">
        <v>19</v>
      </c>
      <c r="V17" s="37" t="s">
        <v>9</v>
      </c>
      <c r="W17" s="37" t="s">
        <v>10</v>
      </c>
      <c r="X17" s="37" t="s">
        <v>7</v>
      </c>
      <c r="Y17" s="37" t="s">
        <v>82</v>
      </c>
      <c r="Z17" s="37" t="s">
        <v>7</v>
      </c>
      <c r="AA17" s="37" t="s">
        <v>192</v>
      </c>
    </row>
    <row r="18" spans="2:27" x14ac:dyDescent="0.3">
      <c r="B18" s="37" t="s">
        <v>239</v>
      </c>
      <c r="C18" s="37">
        <v>63248</v>
      </c>
      <c r="D18" s="37" t="s">
        <v>28</v>
      </c>
      <c r="E18" s="37" t="s">
        <v>165</v>
      </c>
      <c r="F18" s="37" t="s">
        <v>11</v>
      </c>
      <c r="G18" s="37" t="s">
        <v>80</v>
      </c>
      <c r="H18" s="37" t="s">
        <v>81</v>
      </c>
      <c r="J18" s="37">
        <v>42206.093680555554</v>
      </c>
      <c r="K18" s="37" t="s">
        <v>20</v>
      </c>
      <c r="L18" s="37" t="s">
        <v>80</v>
      </c>
      <c r="M18" s="37">
        <v>42156.306250000001</v>
      </c>
      <c r="N18" s="37" t="s">
        <v>5</v>
      </c>
      <c r="Q18" s="37" t="s">
        <v>12</v>
      </c>
      <c r="R18" s="37" t="s">
        <v>30</v>
      </c>
      <c r="S18" s="37" t="s">
        <v>13</v>
      </c>
      <c r="T18" s="37" t="s">
        <v>19</v>
      </c>
      <c r="V18" s="37" t="s">
        <v>9</v>
      </c>
      <c r="W18" s="37" t="s">
        <v>10</v>
      </c>
      <c r="X18" s="37" t="s">
        <v>7</v>
      </c>
      <c r="Y18" s="37" t="s">
        <v>82</v>
      </c>
      <c r="Z18" s="37" t="s">
        <v>7</v>
      </c>
      <c r="AA18" s="37" t="s">
        <v>193</v>
      </c>
    </row>
    <row r="19" spans="2:27" x14ac:dyDescent="0.3">
      <c r="B19" s="37" t="s">
        <v>239</v>
      </c>
      <c r="C19" s="37">
        <v>63280</v>
      </c>
      <c r="D19" s="37" t="s">
        <v>164</v>
      </c>
      <c r="E19" s="37" t="s">
        <v>160</v>
      </c>
      <c r="F19" s="37" t="s">
        <v>2</v>
      </c>
      <c r="G19" s="37" t="s">
        <v>80</v>
      </c>
      <c r="H19" s="37" t="s">
        <v>81</v>
      </c>
      <c r="J19" s="37">
        <v>42206.099178240744</v>
      </c>
      <c r="K19" s="37" t="s">
        <v>20</v>
      </c>
      <c r="L19" s="37" t="s">
        <v>3</v>
      </c>
      <c r="M19" s="37">
        <v>42156.537164351852</v>
      </c>
      <c r="N19" s="37" t="s">
        <v>16</v>
      </c>
      <c r="Q19" s="37" t="s">
        <v>17</v>
      </c>
      <c r="R19" s="37" t="s">
        <v>30</v>
      </c>
      <c r="S19" s="37" t="s">
        <v>13</v>
      </c>
      <c r="T19" s="37" t="s">
        <v>19</v>
      </c>
      <c r="V19" s="37" t="s">
        <v>55</v>
      </c>
      <c r="W19" s="37" t="s">
        <v>10</v>
      </c>
      <c r="X19" s="37" t="s">
        <v>7</v>
      </c>
      <c r="Y19" s="37" t="s">
        <v>82</v>
      </c>
      <c r="Z19" s="37" t="s">
        <v>7</v>
      </c>
      <c r="AA19" s="37" t="s">
        <v>193</v>
      </c>
    </row>
    <row r="20" spans="2:27" x14ac:dyDescent="0.3">
      <c r="B20" s="37" t="s">
        <v>239</v>
      </c>
      <c r="C20" s="37">
        <v>63360</v>
      </c>
      <c r="D20" s="37" t="s">
        <v>42</v>
      </c>
      <c r="E20" s="37" t="s">
        <v>166</v>
      </c>
      <c r="F20" s="37" t="s">
        <v>2</v>
      </c>
      <c r="G20" s="37" t="s">
        <v>80</v>
      </c>
      <c r="H20" s="37" t="s">
        <v>81</v>
      </c>
      <c r="J20" s="37">
        <v>42206.127627314818</v>
      </c>
      <c r="K20" s="37" t="s">
        <v>20</v>
      </c>
      <c r="L20" s="37" t="s">
        <v>167</v>
      </c>
      <c r="M20" s="37">
        <v>42158.017060185186</v>
      </c>
      <c r="N20" s="37" t="s">
        <v>102</v>
      </c>
      <c r="Q20" s="37" t="s">
        <v>6</v>
      </c>
      <c r="R20" s="37" t="s">
        <v>30</v>
      </c>
      <c r="S20" s="37" t="s">
        <v>13</v>
      </c>
      <c r="T20" s="37" t="s">
        <v>19</v>
      </c>
      <c r="V20" s="37" t="s">
        <v>9</v>
      </c>
      <c r="W20" s="37" t="s">
        <v>10</v>
      </c>
      <c r="X20" s="37" t="s">
        <v>7</v>
      </c>
      <c r="Y20" s="37" t="s">
        <v>82</v>
      </c>
      <c r="Z20" s="37" t="s">
        <v>7</v>
      </c>
      <c r="AA20" s="37" t="s">
        <v>186</v>
      </c>
    </row>
    <row r="21" spans="2:27" x14ac:dyDescent="0.3">
      <c r="C21" s="37">
        <v>63528</v>
      </c>
      <c r="D21" s="37" t="s">
        <v>54</v>
      </c>
      <c r="E21" s="37" t="s">
        <v>169</v>
      </c>
      <c r="F21" s="37" t="s">
        <v>11</v>
      </c>
      <c r="G21" s="37" t="s">
        <v>80</v>
      </c>
      <c r="H21" s="37" t="s">
        <v>81</v>
      </c>
      <c r="J21" s="38">
        <v>42178.225648148145</v>
      </c>
      <c r="K21" s="37" t="s">
        <v>20</v>
      </c>
      <c r="L21" s="37" t="s">
        <v>3</v>
      </c>
      <c r="M21" s="38">
        <v>42160.408842592595</v>
      </c>
      <c r="N21" s="37" t="s">
        <v>16</v>
      </c>
      <c r="Q21" s="37" t="s">
        <v>17</v>
      </c>
      <c r="R21" s="37" t="s">
        <v>30</v>
      </c>
      <c r="S21" s="37" t="s">
        <v>13</v>
      </c>
      <c r="T21" s="37" t="s">
        <v>19</v>
      </c>
      <c r="V21" s="37" t="s">
        <v>55</v>
      </c>
      <c r="W21" s="37" t="s">
        <v>10</v>
      </c>
      <c r="X21" s="37" t="s">
        <v>7</v>
      </c>
      <c r="Y21" s="37" t="s">
        <v>82</v>
      </c>
      <c r="Z21" s="37" t="s">
        <v>7</v>
      </c>
      <c r="AA21" s="37" t="s">
        <v>186</v>
      </c>
    </row>
    <row r="22" spans="2:27" x14ac:dyDescent="0.3">
      <c r="B22" s="37" t="s">
        <v>239</v>
      </c>
      <c r="C22" s="37">
        <v>64223</v>
      </c>
      <c r="D22" s="37" t="s">
        <v>37</v>
      </c>
      <c r="E22" s="37" t="s">
        <v>179</v>
      </c>
      <c r="F22" s="37" t="s">
        <v>2</v>
      </c>
      <c r="G22" s="37" t="s">
        <v>80</v>
      </c>
      <c r="H22" s="37" t="s">
        <v>81</v>
      </c>
      <c r="J22" s="37">
        <v>42206.103993055556</v>
      </c>
      <c r="K22" s="37" t="s">
        <v>20</v>
      </c>
      <c r="L22" s="37" t="s">
        <v>80</v>
      </c>
      <c r="M22" s="37">
        <v>42172.453125</v>
      </c>
      <c r="N22" s="37" t="s">
        <v>22</v>
      </c>
      <c r="Q22" s="37" t="s">
        <v>6</v>
      </c>
      <c r="R22" s="37" t="s">
        <v>30</v>
      </c>
      <c r="S22" s="37" t="s">
        <v>13</v>
      </c>
      <c r="T22" s="37" t="s">
        <v>19</v>
      </c>
      <c r="V22" s="37" t="s">
        <v>9</v>
      </c>
      <c r="W22" s="37" t="s">
        <v>10</v>
      </c>
      <c r="X22" s="37" t="s">
        <v>44</v>
      </c>
      <c r="Y22" s="37" t="s">
        <v>82</v>
      </c>
      <c r="Z22" s="37" t="s">
        <v>7</v>
      </c>
      <c r="AA22" s="37" t="s">
        <v>193</v>
      </c>
    </row>
    <row r="23" spans="2:27" x14ac:dyDescent="0.3">
      <c r="B23" s="37" t="s">
        <v>239</v>
      </c>
      <c r="C23" s="37">
        <v>64333</v>
      </c>
      <c r="D23" s="37" t="s">
        <v>211</v>
      </c>
      <c r="E23" s="37" t="s">
        <v>222</v>
      </c>
      <c r="F23" s="37" t="s">
        <v>2</v>
      </c>
      <c r="G23" s="37" t="s">
        <v>80</v>
      </c>
      <c r="H23" s="37" t="s">
        <v>81</v>
      </c>
      <c r="J23" s="37">
        <v>42212.335185185184</v>
      </c>
      <c r="K23" s="37" t="s">
        <v>20</v>
      </c>
      <c r="L23" s="37" t="s">
        <v>3</v>
      </c>
      <c r="M23" s="37">
        <v>42174.400312500002</v>
      </c>
      <c r="N23" s="37" t="s">
        <v>56</v>
      </c>
      <c r="O23" s="37" t="s">
        <v>16</v>
      </c>
      <c r="Q23" s="37" t="s">
        <v>6</v>
      </c>
      <c r="R23" s="37" t="s">
        <v>30</v>
      </c>
      <c r="S23" s="37" t="s">
        <v>13</v>
      </c>
      <c r="T23" s="37" t="s">
        <v>103</v>
      </c>
      <c r="V23" s="37" t="s">
        <v>9</v>
      </c>
      <c r="W23" s="37" t="s">
        <v>10</v>
      </c>
      <c r="X23" s="37" t="s">
        <v>7</v>
      </c>
      <c r="Y23" s="37" t="s">
        <v>82</v>
      </c>
      <c r="Z23" s="37" t="s">
        <v>7</v>
      </c>
      <c r="AA23" s="37" t="s">
        <v>193</v>
      </c>
    </row>
    <row r="24" spans="2:27" x14ac:dyDescent="0.3">
      <c r="C24" s="37">
        <v>64247</v>
      </c>
      <c r="D24" s="37" t="s">
        <v>33</v>
      </c>
      <c r="E24" s="37" t="s">
        <v>180</v>
      </c>
      <c r="F24" s="37" t="s">
        <v>11</v>
      </c>
      <c r="G24" s="37" t="s">
        <v>80</v>
      </c>
      <c r="H24" s="37" t="s">
        <v>81</v>
      </c>
      <c r="J24" s="38">
        <v>42192.540023148147</v>
      </c>
      <c r="K24" s="37" t="s">
        <v>20</v>
      </c>
      <c r="L24" s="37" t="s">
        <v>80</v>
      </c>
      <c r="M24" s="38">
        <v>42172.671284722222</v>
      </c>
      <c r="N24" s="37" t="s">
        <v>168</v>
      </c>
      <c r="Q24" s="37" t="s">
        <v>12</v>
      </c>
      <c r="R24" s="37" t="s">
        <v>30</v>
      </c>
      <c r="S24" s="37" t="s">
        <v>8</v>
      </c>
      <c r="T24" s="37" t="s">
        <v>122</v>
      </c>
      <c r="V24" s="37" t="s">
        <v>9</v>
      </c>
      <c r="W24" s="37" t="s">
        <v>10</v>
      </c>
      <c r="X24" s="37" t="s">
        <v>7</v>
      </c>
      <c r="Y24" s="37" t="s">
        <v>82</v>
      </c>
      <c r="Z24" s="37" t="s">
        <v>7</v>
      </c>
      <c r="AA24" s="37" t="s">
        <v>192</v>
      </c>
    </row>
    <row r="25" spans="2:27" x14ac:dyDescent="0.3">
      <c r="B25" s="37" t="s">
        <v>239</v>
      </c>
      <c r="C25" s="37">
        <v>64843</v>
      </c>
      <c r="D25" s="37" t="s">
        <v>234</v>
      </c>
      <c r="E25" s="37" t="s">
        <v>244</v>
      </c>
      <c r="F25" s="37" t="s">
        <v>2</v>
      </c>
      <c r="G25" s="37" t="s">
        <v>80</v>
      </c>
      <c r="H25" s="37" t="s">
        <v>81</v>
      </c>
      <c r="J25" s="37">
        <v>42212.0000462963</v>
      </c>
      <c r="K25" s="37" t="s">
        <v>159</v>
      </c>
      <c r="L25" s="37" t="s">
        <v>80</v>
      </c>
      <c r="M25" s="37">
        <v>42186.020115740743</v>
      </c>
      <c r="N25" s="37" t="s">
        <v>43</v>
      </c>
      <c r="Q25" s="37" t="s">
        <v>17</v>
      </c>
      <c r="R25" s="37" t="s">
        <v>30</v>
      </c>
      <c r="S25" s="37" t="s">
        <v>13</v>
      </c>
      <c r="T25" s="37" t="s">
        <v>236</v>
      </c>
      <c r="V25" s="37" t="s">
        <v>9</v>
      </c>
      <c r="W25" s="37" t="s">
        <v>10</v>
      </c>
      <c r="X25" s="37" t="s">
        <v>7</v>
      </c>
      <c r="Y25" s="37" t="s">
        <v>82</v>
      </c>
      <c r="Z25" s="37" t="s">
        <v>245</v>
      </c>
      <c r="AA25" s="37" t="s">
        <v>246</v>
      </c>
    </row>
    <row r="26" spans="2:27" x14ac:dyDescent="0.3">
      <c r="B26" s="37" t="s">
        <v>239</v>
      </c>
      <c r="C26" s="37">
        <v>64934</v>
      </c>
      <c r="D26" s="37" t="s">
        <v>21</v>
      </c>
      <c r="E26" s="37" t="s">
        <v>210</v>
      </c>
      <c r="F26" s="37" t="s">
        <v>11</v>
      </c>
      <c r="G26" s="37" t="s">
        <v>80</v>
      </c>
      <c r="H26" s="37" t="s">
        <v>81</v>
      </c>
      <c r="J26" s="37">
        <v>42197.077604166669</v>
      </c>
      <c r="K26" s="37" t="s">
        <v>20</v>
      </c>
      <c r="L26" s="37" t="s">
        <v>3</v>
      </c>
      <c r="M26" s="37">
        <v>42187.354907407411</v>
      </c>
      <c r="N26" s="37" t="s">
        <v>16</v>
      </c>
      <c r="Q26" s="37" t="s">
        <v>17</v>
      </c>
      <c r="R26" s="37" t="s">
        <v>30</v>
      </c>
      <c r="S26" s="37" t="s">
        <v>13</v>
      </c>
      <c r="T26" s="37" t="s">
        <v>35</v>
      </c>
      <c r="V26" s="37" t="s">
        <v>9</v>
      </c>
      <c r="W26" s="37" t="s">
        <v>10</v>
      </c>
      <c r="X26" s="37" t="s">
        <v>7</v>
      </c>
      <c r="Y26" s="37" t="s">
        <v>82</v>
      </c>
      <c r="Z26" s="37" t="s">
        <v>243</v>
      </c>
      <c r="AA26" s="37" t="s">
        <v>7</v>
      </c>
    </row>
    <row r="27" spans="2:27" x14ac:dyDescent="0.3">
      <c r="B27" s="37" t="s">
        <v>239</v>
      </c>
      <c r="C27" s="37">
        <v>65354</v>
      </c>
      <c r="D27" s="37" t="s">
        <v>164</v>
      </c>
      <c r="E27" s="37" t="s">
        <v>218</v>
      </c>
      <c r="F27" s="37" t="s">
        <v>11</v>
      </c>
      <c r="G27" s="37" t="s">
        <v>80</v>
      </c>
      <c r="H27" s="37" t="s">
        <v>81</v>
      </c>
      <c r="J27" s="37">
        <v>42212.315196759257</v>
      </c>
      <c r="K27" s="37" t="s">
        <v>4</v>
      </c>
      <c r="L27" s="37" t="s">
        <v>83</v>
      </c>
      <c r="M27" s="37">
        <v>42195.547500000001</v>
      </c>
      <c r="N27" s="37" t="s">
        <v>16</v>
      </c>
      <c r="Q27" s="37" t="s">
        <v>17</v>
      </c>
      <c r="R27" s="37" t="s">
        <v>30</v>
      </c>
      <c r="S27" s="37" t="s">
        <v>13</v>
      </c>
      <c r="T27" s="37" t="s">
        <v>19</v>
      </c>
      <c r="V27" s="37" t="s">
        <v>49</v>
      </c>
      <c r="W27" s="37" t="s">
        <v>10</v>
      </c>
      <c r="X27" s="37" t="s">
        <v>7</v>
      </c>
      <c r="Y27" s="37" t="s">
        <v>82</v>
      </c>
      <c r="Z27" s="37" t="s">
        <v>7</v>
      </c>
      <c r="AA27" s="37" t="s">
        <v>192</v>
      </c>
    </row>
    <row r="28" spans="2:27" x14ac:dyDescent="0.3">
      <c r="C28" s="37">
        <v>65441</v>
      </c>
      <c r="D28" s="37" t="s">
        <v>21</v>
      </c>
      <c r="E28" s="37" t="s">
        <v>220</v>
      </c>
      <c r="F28" s="37" t="s">
        <v>11</v>
      </c>
      <c r="G28" s="37" t="s">
        <v>80</v>
      </c>
      <c r="H28" s="37" t="s">
        <v>81</v>
      </c>
      <c r="J28" s="38">
        <v>42199.325162037036</v>
      </c>
      <c r="K28" s="37" t="s">
        <v>20</v>
      </c>
      <c r="L28" s="37" t="s">
        <v>80</v>
      </c>
      <c r="M28" s="38">
        <v>42198.492395833331</v>
      </c>
      <c r="N28" s="37" t="s">
        <v>29</v>
      </c>
      <c r="Q28" s="37" t="s">
        <v>17</v>
      </c>
      <c r="R28" s="37" t="s">
        <v>30</v>
      </c>
      <c r="S28" s="37" t="s">
        <v>8</v>
      </c>
      <c r="T28" s="37" t="s">
        <v>153</v>
      </c>
      <c r="V28" s="37" t="s">
        <v>9</v>
      </c>
      <c r="W28" s="37" t="s">
        <v>10</v>
      </c>
      <c r="X28" s="37" t="s">
        <v>7</v>
      </c>
      <c r="Y28" s="37" t="s">
        <v>82</v>
      </c>
      <c r="Z28" s="37" t="s">
        <v>7</v>
      </c>
      <c r="AA28" s="37" t="s">
        <v>186</v>
      </c>
    </row>
    <row r="29" spans="2:27" x14ac:dyDescent="0.3">
      <c r="B29" s="37" t="s">
        <v>239</v>
      </c>
      <c r="C29" s="37">
        <v>65690</v>
      </c>
      <c r="D29" s="37" t="s">
        <v>23</v>
      </c>
      <c r="E29" s="37" t="s">
        <v>224</v>
      </c>
      <c r="F29" s="37" t="s">
        <v>11</v>
      </c>
      <c r="G29" s="37" t="s">
        <v>80</v>
      </c>
      <c r="H29" s="37" t="s">
        <v>81</v>
      </c>
      <c r="J29" s="37">
        <v>42212.32172453704</v>
      </c>
      <c r="K29" s="37" t="s">
        <v>20</v>
      </c>
      <c r="L29" s="37" t="s">
        <v>3</v>
      </c>
      <c r="M29" s="37">
        <v>42202.290509259263</v>
      </c>
      <c r="N29" s="37" t="s">
        <v>116</v>
      </c>
      <c r="O29" s="37" t="s">
        <v>223</v>
      </c>
      <c r="P29" s="37" t="s">
        <v>53</v>
      </c>
      <c r="Q29" s="37" t="s">
        <v>17</v>
      </c>
      <c r="R29" s="37" t="s">
        <v>30</v>
      </c>
      <c r="S29" s="37" t="s">
        <v>24</v>
      </c>
      <c r="T29" s="37" t="s">
        <v>47</v>
      </c>
      <c r="V29" s="37" t="s">
        <v>49</v>
      </c>
      <c r="W29" s="37" t="s">
        <v>10</v>
      </c>
      <c r="X29" s="37" t="s">
        <v>7</v>
      </c>
      <c r="Y29" s="37" t="s">
        <v>82</v>
      </c>
      <c r="Z29" s="37" t="s">
        <v>7</v>
      </c>
      <c r="AA29" s="37" t="s">
        <v>192</v>
      </c>
    </row>
    <row r="32" spans="2:27" x14ac:dyDescent="0.3">
      <c r="C32" s="37">
        <f>SUBTOTAL(3,C3:C29)</f>
        <v>27</v>
      </c>
    </row>
    <row r="36" spans="3:27" x14ac:dyDescent="0.3">
      <c r="C36" s="37">
        <v>63744</v>
      </c>
      <c r="D36" s="37" t="s">
        <v>42</v>
      </c>
      <c r="E36" s="37" t="s">
        <v>254</v>
      </c>
      <c r="F36" s="37" t="s">
        <v>2</v>
      </c>
      <c r="G36" s="37" t="s">
        <v>80</v>
      </c>
      <c r="H36" s="37" t="s">
        <v>81</v>
      </c>
      <c r="J36" s="38">
        <v>42215.95212962963</v>
      </c>
      <c r="K36" s="37" t="s">
        <v>159</v>
      </c>
      <c r="L36" s="37" t="s">
        <v>80</v>
      </c>
      <c r="M36" s="38">
        <v>42164.017395833333</v>
      </c>
      <c r="N36" s="37" t="s">
        <v>22</v>
      </c>
      <c r="Q36" s="37" t="s">
        <v>6</v>
      </c>
      <c r="R36" s="37" t="s">
        <v>30</v>
      </c>
      <c r="S36" s="37" t="s">
        <v>24</v>
      </c>
      <c r="T36" s="37" t="s">
        <v>46</v>
      </c>
      <c r="V36" s="37" t="s">
        <v>7</v>
      </c>
      <c r="W36" s="37" t="s">
        <v>10</v>
      </c>
      <c r="X36" s="37" t="s">
        <v>7</v>
      </c>
      <c r="Y36" s="37" t="s">
        <v>82</v>
      </c>
      <c r="Z36" s="37" t="s">
        <v>7</v>
      </c>
      <c r="AA36" s="37" t="s">
        <v>7</v>
      </c>
    </row>
    <row r="37" spans="3:27" x14ac:dyDescent="0.3">
      <c r="C37" s="37">
        <v>63895</v>
      </c>
      <c r="D37" s="37" t="s">
        <v>257</v>
      </c>
      <c r="E37" s="37" t="s">
        <v>255</v>
      </c>
      <c r="F37" s="37" t="s">
        <v>11</v>
      </c>
      <c r="G37" s="37" t="s">
        <v>80</v>
      </c>
      <c r="H37" s="37" t="s">
        <v>81</v>
      </c>
      <c r="J37" s="38">
        <v>42220.336099537039</v>
      </c>
      <c r="K37" s="37" t="s">
        <v>159</v>
      </c>
      <c r="L37" s="37" t="s">
        <v>80</v>
      </c>
      <c r="M37" s="38">
        <v>42166.297685185185</v>
      </c>
      <c r="N37" s="37" t="s">
        <v>5</v>
      </c>
      <c r="Q37" s="37" t="s">
        <v>12</v>
      </c>
      <c r="R37" s="37" t="s">
        <v>30</v>
      </c>
      <c r="S37" s="37" t="s">
        <v>13</v>
      </c>
      <c r="T37" s="37" t="s">
        <v>19</v>
      </c>
      <c r="V37" s="37" t="s">
        <v>7</v>
      </c>
      <c r="W37" s="37" t="s">
        <v>10</v>
      </c>
      <c r="X37" s="37" t="s">
        <v>7</v>
      </c>
      <c r="Y37" s="37" t="s">
        <v>82</v>
      </c>
      <c r="Z37" s="37" t="s">
        <v>7</v>
      </c>
      <c r="AA37" s="37" t="s">
        <v>7</v>
      </c>
    </row>
    <row r="38" spans="3:27" x14ac:dyDescent="0.3">
      <c r="C38" s="37">
        <v>66204</v>
      </c>
      <c r="D38" s="37" t="s">
        <v>33</v>
      </c>
      <c r="E38" s="37" t="s">
        <v>250</v>
      </c>
      <c r="F38" s="37" t="s">
        <v>2</v>
      </c>
      <c r="G38" s="37" t="s">
        <v>80</v>
      </c>
      <c r="H38" s="37" t="s">
        <v>81</v>
      </c>
      <c r="J38" s="38">
        <v>42220.255902777775</v>
      </c>
      <c r="K38" s="37" t="s">
        <v>20</v>
      </c>
      <c r="L38" s="37" t="s">
        <v>80</v>
      </c>
      <c r="M38" s="38">
        <v>42213.518622685187</v>
      </c>
      <c r="N38" s="37" t="s">
        <v>22</v>
      </c>
      <c r="Q38" s="37" t="s">
        <v>12</v>
      </c>
      <c r="R38" s="37" t="s">
        <v>30</v>
      </c>
      <c r="S38" s="37" t="s">
        <v>8</v>
      </c>
      <c r="T38" s="37" t="s">
        <v>38</v>
      </c>
      <c r="V38" s="37" t="s">
        <v>9</v>
      </c>
      <c r="W38" s="37" t="s">
        <v>10</v>
      </c>
      <c r="X38" s="37" t="s">
        <v>7</v>
      </c>
      <c r="Y38" s="37" t="s">
        <v>82</v>
      </c>
      <c r="Z38" s="37" t="s">
        <v>249</v>
      </c>
      <c r="AA38" s="37" t="s">
        <v>256</v>
      </c>
    </row>
  </sheetData>
  <autoFilter ref="B1:AA29"/>
  <conditionalFormatting sqref="C2">
    <cfRule type="expression" dxfId="19" priority="17">
      <formula>IF(V2="---",IF(Z2="---",1,0),0)</formula>
    </cfRule>
    <cfRule type="expression" dxfId="18" priority="18">
      <formula>IF(FIND("Denied",V2),1,0)</formula>
    </cfRule>
    <cfRule type="expression" dxfId="17" priority="19">
      <formula>IF(FIND("Request",V2),1,0)</formula>
    </cfRule>
    <cfRule type="expression" dxfId="16" priority="20">
      <formula>IF(FIND("Approve",V2),1,0)</formula>
    </cfRule>
  </conditionalFormatting>
  <conditionalFormatting sqref="C17">
    <cfRule type="expression" dxfId="15" priority="13">
      <formula>IF(V17="---",IF(Z17="---",1,0),0)</formula>
    </cfRule>
    <cfRule type="expression" dxfId="14" priority="14">
      <formula>IF(FIND("Denied",V17),1,0)</formula>
    </cfRule>
    <cfRule type="expression" dxfId="13" priority="15">
      <formula>IF(FIND("Request",V17),1,0)</formula>
    </cfRule>
    <cfRule type="expression" dxfId="12" priority="16">
      <formula>IF(FIND("Approve",V17),1,0)</formula>
    </cfRule>
  </conditionalFormatting>
  <conditionalFormatting sqref="C21">
    <cfRule type="expression" dxfId="11" priority="9">
      <formula>IF(V21="---",IF(Z21="---",1,0),0)</formula>
    </cfRule>
    <cfRule type="expression" dxfId="10" priority="10">
      <formula>IF(FIND("Denied",V21),1,0)</formula>
    </cfRule>
    <cfRule type="expression" dxfId="9" priority="11">
      <formula>IF(FIND("Request",V21),1,0)</formula>
    </cfRule>
    <cfRule type="expression" dxfId="8" priority="12">
      <formula>IF(FIND("Approve",V21),1,0)</formula>
    </cfRule>
  </conditionalFormatting>
  <conditionalFormatting sqref="C24">
    <cfRule type="expression" dxfId="7" priority="5">
      <formula>IF(V24="---",IF(Z24="---",1,0),0)</formula>
    </cfRule>
    <cfRule type="expression" dxfId="6" priority="6">
      <formula>IF(FIND("Denied",V24),1,0)</formula>
    </cfRule>
    <cfRule type="expression" dxfId="5" priority="7">
      <formula>IF(FIND("Request",V24),1,0)</formula>
    </cfRule>
    <cfRule type="expression" dxfId="4" priority="8">
      <formula>IF(FIND("Approve",V24),1,0)</formula>
    </cfRule>
  </conditionalFormatting>
  <conditionalFormatting sqref="C28">
    <cfRule type="expression" dxfId="3" priority="1">
      <formula>IF(V28="---",IF(Z28="---",1,0),0)</formula>
    </cfRule>
    <cfRule type="expression" dxfId="2" priority="2">
      <formula>IF(FIND("Denied",V28),1,0)</formula>
    </cfRule>
    <cfRule type="expression" dxfId="1" priority="3">
      <formula>IF(FIND("Request",V28),1,0)</formula>
    </cfRule>
    <cfRule type="expression" dxfId="0" priority="4">
      <formula>IF(FIND("Approve",V28),1,0)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G7"/>
  <sheetViews>
    <sheetView workbookViewId="0">
      <selection activeCell="G1" sqref="G1"/>
    </sheetView>
  </sheetViews>
  <sheetFormatPr defaultRowHeight="14.4" x14ac:dyDescent="0.3"/>
  <cols>
    <col min="1" max="1" width="17.33203125" bestFit="1" customWidth="1"/>
    <col min="2" max="2" width="63.88671875" bestFit="1" customWidth="1"/>
  </cols>
  <sheetData>
    <row r="1" spans="1:7" x14ac:dyDescent="0.3">
      <c r="A1" t="s">
        <v>1464</v>
      </c>
      <c r="B1" t="s">
        <v>1465</v>
      </c>
      <c r="D1" t="s">
        <v>1468</v>
      </c>
      <c r="G1" s="79" t="s">
        <v>1470</v>
      </c>
    </row>
    <row r="2" spans="1:7" x14ac:dyDescent="0.3">
      <c r="A2" t="s">
        <v>1467</v>
      </c>
      <c r="B2" t="s">
        <v>1466</v>
      </c>
      <c r="D2" t="s">
        <v>1469</v>
      </c>
    </row>
    <row r="3" spans="1:7" x14ac:dyDescent="0.3">
      <c r="A3" t="s">
        <v>1471</v>
      </c>
      <c r="B3" t="s">
        <v>708</v>
      </c>
    </row>
    <row r="4" spans="1:7" x14ac:dyDescent="0.3">
      <c r="A4" s="136" t="s">
        <v>1473</v>
      </c>
      <c r="B4" s="136" t="s">
        <v>1474</v>
      </c>
    </row>
    <row r="6" spans="1:7" x14ac:dyDescent="0.3">
      <c r="A6" s="136" t="s">
        <v>1478</v>
      </c>
      <c r="B6" s="136" t="s">
        <v>1479</v>
      </c>
      <c r="D6" t="s">
        <v>1540</v>
      </c>
      <c r="E6" s="35" t="s">
        <v>1541</v>
      </c>
    </row>
    <row r="7" spans="1:7" x14ac:dyDescent="0.3">
      <c r="A7" s="136" t="s">
        <v>1480</v>
      </c>
      <c r="B7" s="136" t="s">
        <v>1481</v>
      </c>
    </row>
  </sheetData>
  <sheetProtection algorithmName="SHA-512" hashValue="ltBr+yazrou14tOe23R7LiZXagDWP3f6K6ZGbesYPCSYYOxB5thBnqe8D3CDSwukWDuzAm5W1rQRaR40rzMTmA==" saltValue="mxzUfCXHL5mzW1IqOFSA1Q==" spinCount="100000" sheet="1" objects="1" scenarios="1" insertColumns="0" insertRow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RedZone</vt:lpstr>
      <vt:lpstr>AuroraWaiver</vt:lpstr>
      <vt:lpstr>RedZoneAvitus</vt:lpstr>
      <vt:lpstr>Sheet6</vt:lpstr>
      <vt:lpstr>extractMaster</vt:lpstr>
      <vt:lpstr>RedZoneAtlasMaint</vt:lpstr>
      <vt:lpstr>mailTemplate</vt:lpstr>
      <vt:lpstr>Sheet2</vt:lpstr>
      <vt:lpstr>Sheet4</vt:lpstr>
      <vt:lpstr>2weekResolved</vt:lpstr>
      <vt:lpstr>2weekIncoming</vt:lpstr>
      <vt:lpstr>Waivers</vt:lpstr>
      <vt:lpstr>Sheet1</vt:lpstr>
      <vt:lpstr>Sheet3</vt:lpstr>
      <vt:lpstr>DevRZscrub</vt:lpstr>
      <vt:lpstr>RedZoneAtlas</vt:lpstr>
      <vt:lpstr>Atlas2Bverified</vt:lpstr>
      <vt:lpstr>YellowZone</vt:lpstr>
      <vt:lpstr>AtlasYellowZone</vt:lpstr>
      <vt:lpstr>WaiverCkLt</vt:lpstr>
      <vt:lpstr>RedZoneManchester</vt:lpstr>
      <vt:lpstr>AtlasWaivers</vt:lpstr>
      <vt:lpstr>1.1.0Maintbugs</vt:lpstr>
      <vt:lpstr>25JuneWaiver</vt:lpstr>
      <vt:lpstr>1.0.2bugs</vt:lpstr>
      <vt:lpstr>Waiver1.1.x</vt:lpstr>
      <vt:lpstr>BZurls</vt:lpstr>
      <vt:lpstr>mailTemplate!_Resolved</vt:lpstr>
      <vt:lpstr>AtlasWaivers!fixPlan</vt:lpstr>
      <vt:lpstr>AuroraWaiver!fixPlan</vt:lpstr>
      <vt:lpstr>fixPlan</vt:lpstr>
      <vt:lpstr>RedZone!TOC</vt:lpstr>
      <vt:lpstr>RedZoneAtlas!TOC</vt:lpstr>
      <vt:lpstr>RedZoneAtlasMaint!TOC</vt:lpstr>
      <vt:lpstr>RedZoneAvitus!TOC</vt:lpstr>
      <vt:lpstr>TOC</vt:lpstr>
      <vt:lpstr>top</vt:lpstr>
      <vt:lpstr>YZ</vt:lpstr>
    </vt:vector>
  </TitlesOfParts>
  <Company>Hewlett 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W. Roberts</dc:creator>
  <cp:lastModifiedBy>Michael W. Roberts</cp:lastModifiedBy>
  <cp:lastPrinted>2015-12-03T06:23:44Z</cp:lastPrinted>
  <dcterms:created xsi:type="dcterms:W3CDTF">2014-10-22T16:35:04Z</dcterms:created>
  <dcterms:modified xsi:type="dcterms:W3CDTF">2017-06-16T21:00:11Z</dcterms:modified>
</cp:coreProperties>
</file>