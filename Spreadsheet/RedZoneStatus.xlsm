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mwroberts\OneDrive - Hewlett Packard Enterprise\Documents\Bugs\"/>
    </mc:Choice>
  </mc:AlternateContent>
  <bookViews>
    <workbookView xWindow="0" yWindow="0" windowWidth="13350" windowHeight="3330"/>
  </bookViews>
  <sheets>
    <sheet name="RedZoneAzha" sheetId="43" r:id="rId1"/>
    <sheet name="rzAzhaDB" sheetId="46" state="hidden" r:id="rId2"/>
    <sheet name="rzAxionDB" sheetId="45" state="hidden" r:id="rId3"/>
    <sheet name="mailTemplate" sheetId="28" state="hidden" r:id="rId4"/>
    <sheet name="2weekResolved" sheetId="32" state="hidden" r:id="rId5"/>
    <sheet name="2weekIncoming" sheetId="31" state="hidden" r:id="rId6"/>
    <sheet name="Waivers" sheetId="9" state="hidden" r:id="rId7"/>
    <sheet name="YellowZone" sheetId="23" state="hidden" r:id="rId8"/>
    <sheet name="BZurls" sheetId="37" r:id="rId9"/>
  </sheets>
  <functionGroups builtInGroupCount="18"/>
  <definedNames>
    <definedName name="_xlnm._FilterDatabase" localSheetId="5" hidden="1">'2weekIncoming'!$A$1:$AE$100</definedName>
    <definedName name="_xlnm._FilterDatabase" localSheetId="4" hidden="1">'2weekResolved'!$A$1:$AF$214</definedName>
    <definedName name="_xlnm._FilterDatabase" localSheetId="0" hidden="1">RedZoneAzha!$A$17:$AG$110</definedName>
    <definedName name="_xlnm._FilterDatabase" localSheetId="6" hidden="1">Waivers!$B$1:$AF$42</definedName>
    <definedName name="_xlnm._FilterDatabase" localSheetId="7" hidden="1">YellowZone!$A$17:$AE$111</definedName>
    <definedName name="_Resolved" localSheetId="3">mailTemplate!$C$6</definedName>
    <definedName name="av" localSheetId="0">#REF!</definedName>
    <definedName name="av">#REF!</definedName>
    <definedName name="AW" localSheetId="0">#REF!</definedName>
    <definedName name="AW">#REF!</definedName>
    <definedName name="AWa" localSheetId="0">#REF!</definedName>
    <definedName name="AWa">#REF!</definedName>
    <definedName name="ax" localSheetId="0">#REF!</definedName>
    <definedName name="ax">#REF!</definedName>
    <definedName name="az" localSheetId="0">#REF!</definedName>
    <definedName name="az">#REF!</definedName>
    <definedName name="aza" localSheetId="0">#REF!</definedName>
    <definedName name="aza">#REF!</definedName>
    <definedName name="BE" localSheetId="0">#REF!</definedName>
    <definedName name="BE">#REF!</definedName>
    <definedName name="BEa" localSheetId="0">#REF!</definedName>
    <definedName name="BEa">#REF!</definedName>
    <definedName name="bv" localSheetId="0">#REF!</definedName>
    <definedName name="bv">#REF!</definedName>
    <definedName name="bz" localSheetId="0">#REF!</definedName>
    <definedName name="bz">#REF!</definedName>
    <definedName name="bza" localSheetId="0">#REF!</definedName>
    <definedName name="bza">#REF!</definedName>
    <definedName name="DOC" localSheetId="0">#REF!</definedName>
    <definedName name="DOC">#REF!</definedName>
    <definedName name="DOCa" localSheetId="0">#REF!</definedName>
    <definedName name="DOCa">#REF!</definedName>
    <definedName name="docaz" localSheetId="0">#REF!</definedName>
    <definedName name="docaz">#REF!</definedName>
    <definedName name="docv" localSheetId="0">#REF!</definedName>
    <definedName name="docv">#REF!</definedName>
    <definedName name="docz" localSheetId="0">#REF!</definedName>
    <definedName name="docz">#REF!</definedName>
    <definedName name="ev" localSheetId="0">#REF!</definedName>
    <definedName name="ev">#REF!</definedName>
    <definedName name="EW" localSheetId="0">#REF!</definedName>
    <definedName name="EW">#REF!</definedName>
    <definedName name="EWa" localSheetId="0">#REF!</definedName>
    <definedName name="EWa">#REF!</definedName>
    <definedName name="ewaz" localSheetId="0">#REF!</definedName>
    <definedName name="ewaz">#REF!</definedName>
    <definedName name="ez" localSheetId="0">#REF!</definedName>
    <definedName name="ez">#REF!</definedName>
    <definedName name="fixPlan">Waivers!$G$64:$G$68</definedName>
    <definedName name="SMBrzAxionBugs" localSheetId="2" hidden="1">rzAxionDB!$A$1:$AB$2</definedName>
    <definedName name="SMBrzAzhaBugs" localSheetId="1" hidden="1">rzAzhaDB!$A$1:$AB$22</definedName>
    <definedName name="TOC" localSheetId="0">RedZoneAzha!$A$2</definedName>
    <definedName name="TOC">#REF!</definedName>
    <definedName name="top">'2weekIncoming'!$A$2</definedName>
    <definedName name="YZ">#REF!</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5" i="43" l="1"/>
  <c r="C44" i="43"/>
  <c r="C43" i="43"/>
  <c r="C42" i="43"/>
  <c r="C41" i="43"/>
  <c r="C40" i="43"/>
  <c r="C39" i="43"/>
  <c r="C38" i="43"/>
  <c r="C37" i="43"/>
  <c r="C36" i="43"/>
  <c r="C35" i="43"/>
  <c r="C34" i="43"/>
  <c r="C33" i="43"/>
  <c r="C32" i="43"/>
  <c r="C31" i="43"/>
  <c r="C30" i="43"/>
  <c r="C29" i="43"/>
  <c r="C28" i="43"/>
  <c r="C27" i="43"/>
  <c r="C26" i="43"/>
  <c r="C25" i="43"/>
  <c r="C24" i="43"/>
  <c r="C23" i="43"/>
  <c r="C22" i="43"/>
  <c r="C21" i="43"/>
  <c r="C20" i="43"/>
  <c r="C19" i="43"/>
  <c r="C18" i="43"/>
  <c r="E17" i="43" l="1"/>
  <c r="C162" i="31"/>
  <c r="C160" i="31"/>
  <c r="A158" i="31"/>
  <c r="C156" i="31"/>
  <c r="C164" i="31"/>
  <c r="C161" i="31"/>
  <c r="C157" i="31"/>
  <c r="C154" i="31"/>
  <c r="C155" i="31"/>
  <c r="C153" i="31"/>
  <c r="A163" i="31"/>
  <c r="C159" i="31"/>
  <c r="E124" i="43" l="1"/>
  <c r="D117" i="43"/>
  <c r="A116" i="43"/>
  <c r="F16" i="43"/>
  <c r="E8" i="43"/>
  <c r="E4" i="43"/>
  <c r="E7" i="43"/>
  <c r="E9" i="43"/>
  <c r="A200" i="23" l="1"/>
  <c r="D45" i="9"/>
  <c r="A264" i="32"/>
  <c r="B81" i="43"/>
  <c r="G9" i="9"/>
  <c r="D191" i="43"/>
  <c r="B40" i="23"/>
  <c r="A106" i="43"/>
  <c r="A172" i="23"/>
  <c r="B23" i="23"/>
  <c r="A113" i="23"/>
  <c r="B88" i="23"/>
  <c r="B24" i="43"/>
  <c r="A135" i="23"/>
  <c r="D184" i="43"/>
  <c r="B48" i="23"/>
  <c r="D155" i="43"/>
  <c r="B108" i="43"/>
  <c r="G57" i="9"/>
  <c r="B47" i="43"/>
  <c r="A111" i="23"/>
  <c r="A70" i="23"/>
  <c r="A55" i="43"/>
  <c r="A79" i="23"/>
  <c r="A93" i="23"/>
  <c r="B61" i="43"/>
  <c r="A145" i="23"/>
  <c r="C166" i="31"/>
  <c r="A91" i="23"/>
  <c r="B71" i="23"/>
  <c r="B140" i="23"/>
  <c r="B61" i="23"/>
  <c r="B137" i="23"/>
  <c r="B174" i="23"/>
  <c r="A148" i="23"/>
  <c r="A179" i="23"/>
  <c r="A41" i="43"/>
  <c r="C262" i="32"/>
  <c r="A177" i="23"/>
  <c r="B185" i="23"/>
  <c r="A51" i="23"/>
  <c r="A49" i="23"/>
  <c r="A27" i="23"/>
  <c r="A37" i="43"/>
  <c r="B165" i="23"/>
  <c r="B177" i="23"/>
  <c r="G24" i="9"/>
  <c r="B55" i="43"/>
  <c r="D193" i="43"/>
  <c r="A62" i="43"/>
  <c r="D198" i="43"/>
  <c r="B91" i="23"/>
  <c r="B45" i="43"/>
  <c r="A106" i="23"/>
  <c r="B37" i="43"/>
  <c r="A163" i="23"/>
  <c r="B29" i="23"/>
  <c r="A33" i="23"/>
  <c r="B76" i="23"/>
  <c r="A96" i="23"/>
  <c r="A23" i="43"/>
  <c r="A194" i="23"/>
  <c r="A182" i="23"/>
  <c r="B87" i="23"/>
  <c r="D185" i="43"/>
  <c r="D167" i="43"/>
  <c r="E14" i="43"/>
  <c r="A44" i="23"/>
  <c r="G33" i="9"/>
  <c r="B63" i="23"/>
  <c r="G23" i="9"/>
  <c r="A114" i="23"/>
  <c r="B68" i="23"/>
  <c r="B38" i="43"/>
  <c r="B34" i="43"/>
  <c r="G12" i="9"/>
  <c r="A160" i="23"/>
  <c r="B5" i="43"/>
  <c r="A43" i="23"/>
  <c r="A58" i="23"/>
  <c r="B129" i="23"/>
  <c r="D171" i="43"/>
  <c r="E4" i="23"/>
  <c r="A166" i="23"/>
  <c r="A59" i="23"/>
  <c r="A185" i="23"/>
  <c r="D169" i="43"/>
  <c r="G40" i="9"/>
  <c r="B52" i="23"/>
  <c r="E12" i="23"/>
  <c r="D197" i="43"/>
  <c r="A95" i="23"/>
  <c r="E6" i="43"/>
  <c r="B151" i="23"/>
  <c r="G38" i="9"/>
  <c r="B172" i="23"/>
  <c r="B73" i="43"/>
  <c r="B178" i="23"/>
  <c r="D162" i="43"/>
  <c r="B35" i="23"/>
  <c r="B52" i="43"/>
  <c r="A105" i="43"/>
  <c r="B187" i="23"/>
  <c r="A47" i="23"/>
  <c r="B80" i="43"/>
  <c r="B4" i="43"/>
  <c r="D200" i="43"/>
  <c r="B142" i="23"/>
  <c r="B44" i="43"/>
  <c r="A62" i="23"/>
  <c r="B148" i="23"/>
  <c r="A46" i="43"/>
  <c r="B79" i="23"/>
  <c r="B83" i="23"/>
  <c r="B44" i="23"/>
  <c r="B23" i="43"/>
  <c r="A157" i="23"/>
  <c r="A84" i="43"/>
  <c r="A35" i="43"/>
  <c r="A80" i="23"/>
  <c r="A197" i="23"/>
  <c r="B32" i="43"/>
  <c r="A161" i="23"/>
  <c r="G34" i="9"/>
  <c r="A101" i="43"/>
  <c r="B22" i="23"/>
  <c r="D176" i="43"/>
  <c r="A21" i="23"/>
  <c r="A125" i="23"/>
  <c r="A156" i="23"/>
  <c r="A60" i="43"/>
  <c r="B94" i="23"/>
  <c r="B135" i="23"/>
  <c r="A81" i="43"/>
  <c r="B80" i="23"/>
  <c r="A78" i="23"/>
  <c r="C259" i="32"/>
  <c r="B192" i="23"/>
  <c r="A121" i="23"/>
  <c r="A110" i="23"/>
  <c r="A67" i="43"/>
  <c r="A97" i="43"/>
  <c r="B25" i="23"/>
  <c r="A70" i="43"/>
  <c r="B197" i="23"/>
  <c r="B76" i="43"/>
  <c r="B89" i="23"/>
  <c r="G25" i="9"/>
  <c r="A158" i="23"/>
  <c r="A58" i="43"/>
  <c r="B33" i="43"/>
  <c r="A76" i="23"/>
  <c r="D175" i="43"/>
  <c r="D148" i="43"/>
  <c r="A123" i="23"/>
  <c r="B75" i="23"/>
  <c r="G60" i="9"/>
  <c r="B95" i="43"/>
  <c r="A151" i="23"/>
  <c r="A24" i="43"/>
  <c r="G6" i="9"/>
  <c r="D154" i="43"/>
  <c r="A107" i="43"/>
  <c r="B60" i="23"/>
  <c r="G8" i="9"/>
  <c r="A86" i="43"/>
  <c r="A144" i="23"/>
  <c r="A52" i="43"/>
  <c r="D161" i="43"/>
  <c r="E10" i="23"/>
  <c r="A65" i="23"/>
  <c r="B51" i="43"/>
  <c r="B89" i="43"/>
  <c r="B72" i="43"/>
  <c r="D181" i="43"/>
  <c r="A85" i="43"/>
  <c r="A39" i="43"/>
  <c r="B101" i="23"/>
  <c r="A94" i="43"/>
  <c r="B6" i="43"/>
  <c r="B183" i="23"/>
  <c r="B58" i="23"/>
  <c r="A150" i="23"/>
  <c r="A101" i="23"/>
  <c r="G39" i="9"/>
  <c r="A178" i="23"/>
  <c r="A155" i="23"/>
  <c r="B21" i="23"/>
  <c r="B77" i="23"/>
  <c r="B57" i="43"/>
  <c r="D174" i="43"/>
  <c r="A168" i="23"/>
  <c r="A92" i="23"/>
  <c r="A34" i="43"/>
  <c r="D168" i="43"/>
  <c r="G17" i="9"/>
  <c r="B147" i="23"/>
  <c r="A57" i="43"/>
  <c r="B168" i="23"/>
  <c r="B86" i="23"/>
  <c r="A108" i="23"/>
  <c r="B69" i="43"/>
  <c r="B99" i="43"/>
  <c r="B69" i="23"/>
  <c r="B18" i="23"/>
  <c r="B111" i="23"/>
  <c r="B50" i="23"/>
  <c r="B49" i="43"/>
  <c r="B65" i="43"/>
  <c r="B195" i="23"/>
  <c r="B14" i="43"/>
  <c r="B15" i="23"/>
  <c r="B51" i="23"/>
  <c r="A68" i="23"/>
  <c r="A100" i="23"/>
  <c r="B20" i="23"/>
  <c r="B128" i="23"/>
  <c r="A104" i="43"/>
  <c r="B181" i="23"/>
  <c r="D160" i="43"/>
  <c r="A195" i="23"/>
  <c r="A149" i="23"/>
  <c r="A71" i="23"/>
  <c r="A28" i="43"/>
  <c r="A60" i="23"/>
  <c r="B41" i="43"/>
  <c r="B145" i="23"/>
  <c r="B96" i="23"/>
  <c r="G28" i="9"/>
  <c r="B19" i="23"/>
  <c r="D164" i="43"/>
  <c r="B53" i="43"/>
  <c r="E12" i="43"/>
  <c r="B59" i="23"/>
  <c r="A88" i="23"/>
  <c r="A18" i="23"/>
  <c r="A89" i="23"/>
  <c r="B22" i="43"/>
  <c r="A31" i="23"/>
  <c r="B87" i="43"/>
  <c r="D195" i="43"/>
  <c r="A43" i="43"/>
  <c r="A119" i="23"/>
  <c r="D158" i="43"/>
  <c r="A152" i="31"/>
  <c r="A67" i="23"/>
  <c r="A41" i="23"/>
  <c r="A171" i="23"/>
  <c r="A90" i="43"/>
  <c r="A49" i="43"/>
  <c r="B143" i="23"/>
  <c r="A150" i="31"/>
  <c r="A92" i="43"/>
  <c r="B70" i="43"/>
  <c r="B133" i="23"/>
  <c r="B30" i="43"/>
  <c r="A32" i="23"/>
  <c r="A44" i="43"/>
  <c r="A164" i="23"/>
  <c r="B67" i="23"/>
  <c r="A98" i="43"/>
  <c r="B13" i="43"/>
  <c r="B113" i="23"/>
  <c r="A193" i="23"/>
  <c r="A30" i="23"/>
  <c r="A19" i="43"/>
  <c r="B79" i="43"/>
  <c r="A73" i="23"/>
  <c r="E8" i="23"/>
  <c r="B90" i="43"/>
  <c r="A19" i="23"/>
  <c r="B114" i="23"/>
  <c r="A250" i="32"/>
  <c r="A22" i="43"/>
  <c r="B156" i="23"/>
  <c r="A90" i="23"/>
  <c r="A32" i="43"/>
  <c r="B63" i="43"/>
  <c r="B24" i="23"/>
  <c r="A196" i="23"/>
  <c r="B56" i="43"/>
  <c r="B28" i="43"/>
  <c r="A87" i="43"/>
  <c r="B107" i="23"/>
  <c r="B66" i="23"/>
  <c r="B110" i="43"/>
  <c r="C255" i="32"/>
  <c r="B160" i="23"/>
  <c r="B21" i="43"/>
  <c r="B131" i="23"/>
  <c r="D146" i="43"/>
  <c r="A77" i="43"/>
  <c r="A28" i="23"/>
  <c r="A24" i="23"/>
  <c r="B95" i="23"/>
  <c r="A112" i="23"/>
  <c r="A104" i="23"/>
  <c r="B47" i="23"/>
  <c r="B62" i="43"/>
  <c r="D151" i="43"/>
  <c r="D190" i="43"/>
  <c r="B68" i="43"/>
  <c r="A181" i="23"/>
  <c r="A143" i="23"/>
  <c r="B117" i="23"/>
  <c r="B182" i="23"/>
  <c r="B109" i="43"/>
  <c r="A63" i="23"/>
  <c r="A26" i="43"/>
  <c r="B97" i="43"/>
  <c r="B97" i="23"/>
  <c r="A61" i="43"/>
  <c r="A42" i="43"/>
  <c r="A187" i="23"/>
  <c r="A46" i="23"/>
  <c r="B100" i="43"/>
  <c r="B169" i="23"/>
  <c r="B99" i="23"/>
  <c r="A64" i="23"/>
  <c r="A42" i="23"/>
  <c r="B18" i="43"/>
  <c r="C253" i="32"/>
  <c r="A140" i="23"/>
  <c r="G32" i="9"/>
  <c r="A165" i="23"/>
  <c r="B193" i="23"/>
  <c r="A33" i="43"/>
  <c r="A133" i="23"/>
  <c r="B83" i="43"/>
  <c r="B155" i="23"/>
  <c r="A56" i="23"/>
  <c r="A134" i="23"/>
  <c r="A132" i="23"/>
  <c r="B31" i="23"/>
  <c r="B41" i="23"/>
  <c r="A55" i="23"/>
  <c r="A188" i="23"/>
  <c r="B74" i="23"/>
  <c r="A37" i="23"/>
  <c r="B190" i="23"/>
  <c r="B37" i="23"/>
  <c r="G7" i="9"/>
  <c r="A176" i="23"/>
  <c r="G59" i="9"/>
  <c r="B103" i="43"/>
  <c r="A38" i="43"/>
  <c r="B186" i="23"/>
  <c r="A100" i="43"/>
  <c r="B139" i="23"/>
  <c r="A183" i="23"/>
  <c r="B179" i="23"/>
  <c r="B27" i="23"/>
  <c r="G10" i="9"/>
  <c r="B96" i="43"/>
  <c r="B93" i="23"/>
  <c r="D189" i="43"/>
  <c r="C258" i="32"/>
  <c r="B82" i="43"/>
  <c r="D150" i="43"/>
  <c r="B88" i="43"/>
  <c r="B31" i="43"/>
  <c r="A22" i="23"/>
  <c r="C261" i="32"/>
  <c r="B170" i="23"/>
  <c r="B167" i="23"/>
  <c r="D183" i="43"/>
  <c r="A173" i="23"/>
  <c r="B100" i="23"/>
  <c r="A45" i="23"/>
  <c r="D159" i="43"/>
  <c r="B42" i="43"/>
  <c r="B92" i="43"/>
  <c r="A56" i="43"/>
  <c r="A120" i="23"/>
  <c r="A139" i="23"/>
  <c r="A77" i="23"/>
  <c r="B122" i="23"/>
  <c r="D144" i="43"/>
  <c r="A53" i="43"/>
  <c r="B125" i="23"/>
  <c r="B104" i="23"/>
  <c r="A152" i="23"/>
  <c r="A30" i="43"/>
  <c r="A94" i="23"/>
  <c r="A78" i="43"/>
  <c r="E13" i="43"/>
  <c r="B104" i="43"/>
  <c r="B74" i="43"/>
  <c r="D178" i="43"/>
  <c r="A107" i="23"/>
  <c r="D196" i="43"/>
  <c r="A27" i="43"/>
  <c r="B78" i="23"/>
  <c r="B110" i="23"/>
  <c r="A81" i="23"/>
  <c r="B75" i="43"/>
  <c r="B112" i="23"/>
  <c r="D142" i="43"/>
  <c r="B134" i="23"/>
  <c r="A40" i="43"/>
  <c r="A59" i="43"/>
  <c r="B102" i="23"/>
  <c r="C260" i="32"/>
  <c r="A63" i="43"/>
  <c r="B149" i="23"/>
  <c r="B35" i="43"/>
  <c r="B108" i="23"/>
  <c r="B45" i="23"/>
  <c r="D152" i="43"/>
  <c r="A69" i="43"/>
  <c r="B126" i="23"/>
  <c r="A99" i="43"/>
  <c r="B101" i="43"/>
  <c r="B159" i="23"/>
  <c r="B50" i="43"/>
  <c r="A103" i="23"/>
  <c r="A126" i="23"/>
  <c r="A68" i="43"/>
  <c r="B103" i="23"/>
  <c r="B90" i="23"/>
  <c r="B67" i="43"/>
  <c r="B56" i="23"/>
  <c r="A69" i="23"/>
  <c r="A25" i="23"/>
  <c r="A34" i="23"/>
  <c r="B171" i="23"/>
  <c r="G35" i="9"/>
  <c r="B121" i="23"/>
  <c r="A79" i="43"/>
  <c r="B98" i="43"/>
  <c r="A96" i="43"/>
  <c r="A110" i="43"/>
  <c r="D165" i="43"/>
  <c r="B39" i="23"/>
  <c r="G29" i="9"/>
  <c r="B109" i="23"/>
  <c r="C165" i="31"/>
  <c r="B150" i="23"/>
  <c r="A87" i="23"/>
  <c r="B66" i="43"/>
  <c r="A141" i="23"/>
  <c r="A154" i="23"/>
  <c r="B57" i="23"/>
  <c r="G30" i="9"/>
  <c r="A170" i="23"/>
  <c r="A80" i="43"/>
  <c r="B54" i="43"/>
  <c r="B119" i="23"/>
  <c r="D172" i="43"/>
  <c r="B30" i="23"/>
  <c r="G14" i="9"/>
  <c r="B188" i="23"/>
  <c r="B38" i="23"/>
  <c r="B157" i="23"/>
  <c r="B64" i="23"/>
  <c r="B85" i="43"/>
  <c r="A167" i="23"/>
  <c r="A85" i="23"/>
  <c r="D149" i="43"/>
  <c r="A57" i="23"/>
  <c r="A115" i="23"/>
  <c r="B162" i="23"/>
  <c r="B81" i="23"/>
  <c r="A66" i="43"/>
  <c r="A130" i="23"/>
  <c r="A109" i="23"/>
  <c r="A118" i="23"/>
  <c r="B6" i="23"/>
  <c r="A105" i="23"/>
  <c r="A136" i="23"/>
  <c r="G3" i="9"/>
  <c r="B34" i="23"/>
  <c r="A51" i="43"/>
  <c r="B105" i="23"/>
  <c r="B93" i="43"/>
  <c r="G37" i="9"/>
  <c r="D194" i="43"/>
  <c r="A147" i="23"/>
  <c r="A45" i="43"/>
  <c r="B43" i="23"/>
  <c r="C167" i="31"/>
  <c r="B42" i="23"/>
  <c r="B12" i="23"/>
  <c r="D153" i="43"/>
  <c r="A99" i="23"/>
  <c r="A66" i="23"/>
  <c r="B115" i="23"/>
  <c r="A186" i="23"/>
  <c r="A52" i="23"/>
  <c r="A102" i="43"/>
  <c r="B92" i="23"/>
  <c r="B60" i="43"/>
  <c r="A61" i="23"/>
  <c r="B106" i="43"/>
  <c r="A124" i="23"/>
  <c r="B191" i="23"/>
  <c r="A29" i="43"/>
  <c r="A137" i="23"/>
  <c r="D177" i="43"/>
  <c r="B32" i="23"/>
  <c r="A53" i="23"/>
  <c r="G27" i="9"/>
  <c r="G11" i="9"/>
  <c r="A35" i="23"/>
  <c r="A91" i="43"/>
  <c r="B123" i="23"/>
  <c r="A138" i="23"/>
  <c r="D199" i="43"/>
  <c r="G5" i="9"/>
  <c r="A109" i="43"/>
  <c r="A82" i="43"/>
  <c r="B11" i="23"/>
  <c r="G26" i="9"/>
  <c r="A36" i="23"/>
  <c r="A108" i="43"/>
  <c r="A93" i="43"/>
  <c r="B46" i="43"/>
  <c r="A25" i="43"/>
  <c r="B154" i="23"/>
  <c r="B16" i="43"/>
  <c r="B36" i="23"/>
  <c r="A174" i="23"/>
  <c r="A64" i="43"/>
  <c r="B49" i="23"/>
  <c r="B53" i="23"/>
  <c r="A50" i="43"/>
  <c r="D156" i="43"/>
  <c r="B127" i="23"/>
  <c r="A142" i="23"/>
  <c r="B196" i="23"/>
  <c r="B164" i="23"/>
  <c r="B77" i="43"/>
  <c r="B33" i="23"/>
  <c r="A82" i="23"/>
  <c r="G16" i="9"/>
  <c r="B175" i="23"/>
  <c r="A48" i="43"/>
  <c r="A83" i="23"/>
  <c r="A74" i="43"/>
  <c r="B184" i="23"/>
  <c r="A159" i="23"/>
  <c r="A54" i="23"/>
  <c r="A98" i="23"/>
  <c r="A103" i="43"/>
  <c r="B141" i="23"/>
  <c r="A102" i="23"/>
  <c r="B107" i="43"/>
  <c r="B58" i="43"/>
  <c r="A180" i="23"/>
  <c r="B189" i="23"/>
  <c r="A122" i="23"/>
  <c r="A48" i="23"/>
  <c r="A192" i="23"/>
  <c r="B55" i="23"/>
  <c r="A36" i="43"/>
  <c r="A252" i="32"/>
  <c r="B132" i="23"/>
  <c r="B161" i="23"/>
  <c r="G31" i="9"/>
  <c r="A75" i="43"/>
  <c r="D143" i="43"/>
  <c r="B20" i="43"/>
  <c r="A76" i="43"/>
  <c r="G41" i="9"/>
  <c r="A129" i="23"/>
  <c r="B26" i="43"/>
  <c r="G21" i="9"/>
  <c r="B94" i="43"/>
  <c r="G15" i="9"/>
  <c r="A18" i="43"/>
  <c r="A23" i="23"/>
  <c r="B82" i="23"/>
  <c r="A95" i="43"/>
  <c r="A29" i="23"/>
  <c r="A175" i="23"/>
  <c r="A31" i="43"/>
  <c r="B144" i="23"/>
  <c r="A117" i="23"/>
  <c r="A97" i="23"/>
  <c r="G18" i="9"/>
  <c r="B26" i="23"/>
  <c r="A146" i="23"/>
  <c r="B54" i="23"/>
  <c r="B27" i="43"/>
  <c r="G4" i="9"/>
  <c r="B39" i="43"/>
  <c r="C257" i="32"/>
  <c r="D192" i="43"/>
  <c r="B138" i="23"/>
  <c r="A47" i="43"/>
  <c r="B13" i="23"/>
  <c r="A39" i="23"/>
  <c r="B102" i="43"/>
  <c r="B12" i="43"/>
  <c r="E6" i="23"/>
  <c r="G36" i="9"/>
  <c r="A40" i="23"/>
  <c r="B105" i="43"/>
  <c r="A86" i="23"/>
  <c r="G58" i="9"/>
  <c r="B166" i="23"/>
  <c r="D188" i="43"/>
  <c r="A20" i="23"/>
  <c r="B62" i="23"/>
  <c r="B43" i="43"/>
  <c r="D173" i="43"/>
  <c r="A190" i="23"/>
  <c r="A73" i="43"/>
  <c r="A127" i="23"/>
  <c r="A26" i="23"/>
  <c r="A71" i="43"/>
  <c r="B71" i="43"/>
  <c r="A38" i="23"/>
  <c r="E11" i="43"/>
  <c r="B158" i="23"/>
  <c r="A88" i="43"/>
  <c r="B36" i="43"/>
  <c r="B116" i="23"/>
  <c r="B48" i="43"/>
  <c r="D180" i="43"/>
  <c r="B173" i="23"/>
  <c r="A50" i="23"/>
  <c r="G20" i="9"/>
  <c r="D182" i="43"/>
  <c r="G2" i="9"/>
  <c r="B19" i="43"/>
  <c r="A189" i="23"/>
  <c r="B25" i="43"/>
  <c r="B73" i="23"/>
  <c r="A65" i="43"/>
  <c r="G42" i="9"/>
  <c r="B28" i="23"/>
  <c r="D166" i="43"/>
  <c r="G13" i="9"/>
  <c r="B72" i="23"/>
  <c r="D187" i="43"/>
  <c r="A74" i="23"/>
  <c r="B98" i="23"/>
  <c r="B65" i="23"/>
  <c r="D147" i="43"/>
  <c r="B130" i="23"/>
  <c r="A21" i="43"/>
  <c r="B29" i="43"/>
  <c r="A169" i="23"/>
  <c r="A89" i="43"/>
  <c r="B85" i="23"/>
  <c r="B4" i="23"/>
  <c r="A72" i="43"/>
  <c r="A83" i="43"/>
  <c r="B46" i="23"/>
  <c r="D179" i="43"/>
  <c r="A72" i="23"/>
  <c r="B176" i="23"/>
  <c r="D157" i="43"/>
  <c r="G19" i="9"/>
  <c r="D186" i="43"/>
  <c r="A131" i="23"/>
  <c r="A153" i="23"/>
  <c r="A75" i="23"/>
  <c r="B163" i="23"/>
  <c r="A20" i="43"/>
  <c r="B180" i="23"/>
  <c r="B124" i="23"/>
  <c r="G55" i="9"/>
  <c r="A84" i="23"/>
  <c r="B59" i="43"/>
  <c r="B91" i="43"/>
  <c r="B40" i="43"/>
  <c r="B120" i="23"/>
  <c r="G22" i="9"/>
  <c r="B15" i="43"/>
  <c r="E5" i="43"/>
  <c r="B136" i="23"/>
  <c r="C256" i="32"/>
  <c r="B78" i="43"/>
  <c r="A54" i="43"/>
  <c r="B70" i="23"/>
  <c r="B194" i="23"/>
  <c r="A116" i="23"/>
  <c r="D170" i="43"/>
  <c r="B118" i="23"/>
  <c r="A162" i="23"/>
  <c r="B64" i="43"/>
  <c r="B106" i="23"/>
  <c r="B11" i="43"/>
  <c r="B1" i="43"/>
  <c r="B84" i="43"/>
  <c r="B153" i="23"/>
  <c r="A191" i="23"/>
  <c r="B86" i="43"/>
  <c r="A128" i="23"/>
  <c r="B152" i="23"/>
  <c r="B84" i="23"/>
  <c r="D163" i="43"/>
  <c r="D145" i="43"/>
  <c r="A184" i="23"/>
  <c r="B146" i="23"/>
  <c r="E16" i="43" l="1"/>
  <c r="E11" i="23"/>
  <c r="C254" i="32"/>
  <c r="B14" i="23"/>
  <c r="B8" i="23"/>
  <c r="B9" i="43"/>
  <c r="B1" i="23"/>
  <c r="C264" i="32"/>
  <c r="B7" i="23"/>
  <c r="B5" i="23"/>
  <c r="E7" i="23"/>
  <c r="E5" i="23"/>
  <c r="B8" i="43"/>
  <c r="E13" i="23" l="1"/>
  <c r="E9" i="23"/>
  <c r="E15" i="23"/>
</calcChain>
</file>

<file path=xl/connections.xml><?xml version="1.0" encoding="utf-8"?>
<connections xmlns="http://schemas.openxmlformats.org/spreadsheetml/2006/main">
  <connection id="1" name="SMB Open Axion RedZone" type="1" refreshedVersion="5" savePassword="1" saveData="1">
    <dbPr connection="DRIVER=SQL Server;SERVER=16.78.1.105;UID=bugzilla_database_reader;PWD=Bugs!;APP=Microsoft Office 2013;WSID=ROBERTSA4;DATABASE=Bugzilla" command="SELECT [BugId] ,[AssignedTo] ,[Summary] ,[Severity] ,[TargetMilestone] ,[Creator] ,[Whiteboard] ,[LastChangeTime] ,[Status] ,[Version] ,[CreationTime] ,[CfFoundBy] ,[CfAlsoSeenBy] ,[Keywords] ,[CfProbability] ,[CfDefectType] ,[Product] ,[Component] ,[CfRedZoneReviewFlag] ,[Priority] ,[CfReleaseNote] ,[CfBedrock] ,[CfTargetBuild] ,[CfCrb] ,[CfWaivers] ,[CfDuDl] ,[CfCfiNumberText] ,[CfStatusSynopsis]  FROM [Bugzilla].[dbo].[Bug]  WHERE (([Product] LIKE '%SMB%') OR ([Product] LIKE '%AAUM%') OR ([Product] LIKE '%NFS%')) AND   (([Status] LIKE 'new') OR ([Status] LIKE 'assigned')) AND  ([cfBedrock] like 'red zone') AND  (([TargetMilestone] LIKE 'Axion') OR ([TargetMilestone] LIKE 'for review'))  ORDER BY [BugId]"/>
  </connection>
  <connection id="2" name="SMB Open Azha RedZone" type="1" refreshedVersion="5" savePassword="1" saveData="1">
    <dbPr connection="DRIVER=SQL Server;SERVER=16.78.1.105;UID=bugzilla_database_reader;PWD=Bugs!;APP=Microsoft Office 2013;WSID=ROBERTSA4;DATABASE=Bugzilla" command="SELECT [BugId] ,[AssignedTo] ,[Summary] ,[Severity] ,[TargetMilestone] ,[Creator] ,[Whiteboard] ,[LastChangeTime] ,[Status] ,[Version] ,[CreationTime] ,[CfFoundBy] ,[CfAlsoSeenBy] ,[Keywords] ,[CfProbability] ,[CfDefectType] ,[Product] ,[Component] ,[CfRedZoneReviewFlag] ,[Priority] ,[CfReleaseNote] ,[CfBedrock] ,[CfTargetBuild] ,[CfCrb] ,[CfWaivers] ,[CfDuDl] ,[CfCfiNumberText] ,[CfStatusSynopsis]  FROM [Bugzilla].[dbo].[Bug]  WHERE (([Product] LIKE '%SMB%') OR ([Product] LIKE '%AAUM%') OR ([Product] LIKE '%NFS%')) AND   (([Status] LIKE 'new') OR ([Status] LIKE 'assigned')) AND  ([cfBedrock] like 'red zone') AND  (([TargetMilestone] LIKE 'Azha') OR ([TargetMilestone] LIKE 'for review'))  ORDER BY [BugId]"/>
  </connection>
</connections>
</file>

<file path=xl/sharedStrings.xml><?xml version="1.0" encoding="utf-8"?>
<sst xmlns="http://schemas.openxmlformats.org/spreadsheetml/2006/main" count="8265" uniqueCount="964">
  <si>
    <t>last activity</t>
  </si>
  <si>
    <t>age since submitted</t>
  </si>
  <si>
    <t>critical</t>
  </si>
  <si>
    <t>Astra</t>
  </si>
  <si>
    <t>ASSIGNED</t>
  </si>
  <si>
    <t>Integration Test</t>
  </si>
  <si>
    <t>Low</t>
  </si>
  <si>
    <t>---</t>
  </si>
  <si>
    <t>Protocols-AAUM</t>
  </si>
  <si>
    <t>Approved by QA</t>
  </si>
  <si>
    <t>P2</t>
  </si>
  <si>
    <t>major</t>
  </si>
  <si>
    <t>High</t>
  </si>
  <si>
    <t>Protocols-SMB</t>
  </si>
  <si>
    <t>Documentation-SMB</t>
  </si>
  <si>
    <t>6.3 (FlyingSaucer)</t>
  </si>
  <si>
    <t>Customer</t>
  </si>
  <si>
    <t>Medium</t>
  </si>
  <si>
    <t>Defect (same as --)</t>
  </si>
  <si>
    <t>Server-SMB</t>
  </si>
  <si>
    <t>NEW</t>
  </si>
  <si>
    <t>sayan.ghosh@hp.com</t>
  </si>
  <si>
    <t>SET</t>
  </si>
  <si>
    <t>nandesh.palanisamy@hp.com</t>
  </si>
  <si>
    <t>Protocols-NFS</t>
  </si>
  <si>
    <t>brian.zimpfer@hp.com</t>
  </si>
  <si>
    <t>unspecified</t>
  </si>
  <si>
    <t>User Mapping-AAUM</t>
  </si>
  <si>
    <t>steve.e.douglas@hp.com</t>
  </si>
  <si>
    <t>System Test</t>
  </si>
  <si>
    <t>Defect</t>
  </si>
  <si>
    <t>Server-NFS</t>
  </si>
  <si>
    <t>charles.wahlquist@hp.com</t>
  </si>
  <si>
    <t>thomas.jam.hromatka@hp.com</t>
  </si>
  <si>
    <t>roselle.fernandez@hp.com</t>
  </si>
  <si>
    <t>Other-SMB</t>
  </si>
  <si>
    <t>moorthy.mm@hp.com</t>
  </si>
  <si>
    <t>Authentication-AAUM</t>
  </si>
  <si>
    <t>shounak.banerjee@hp.com</t>
  </si>
  <si>
    <t>Other</t>
  </si>
  <si>
    <t>roushan.kumar.sinha@hp.com</t>
  </si>
  <si>
    <t>santanug@hp.com</t>
  </si>
  <si>
    <t>Automated Testing</t>
  </si>
  <si>
    <t>yes RN</t>
  </si>
  <si>
    <t>6.5 (Ghost)</t>
  </si>
  <si>
    <t>*Unknown (Triage)-NFS</t>
  </si>
  <si>
    <t>Manageability-NFS</t>
  </si>
  <si>
    <t>Atlas</t>
  </si>
  <si>
    <t>Request Approval</t>
  </si>
  <si>
    <t>MSDU</t>
  </si>
  <si>
    <t>Other-NFS</t>
  </si>
  <si>
    <t>jose.a.sousa@hp.com</t>
  </si>
  <si>
    <t>IncorrectBehavior</t>
  </si>
  <si>
    <t>avik.mondal@hp.com</t>
  </si>
  <si>
    <t>Denied by QA</t>
  </si>
  <si>
    <t>Final System Test</t>
  </si>
  <si>
    <t>Assignee</t>
  </si>
  <si>
    <t>Summary</t>
  </si>
  <si>
    <t>Severity</t>
  </si>
  <si>
    <t>Target Milestone</t>
  </si>
  <si>
    <t>Reporter</t>
  </si>
  <si>
    <t>Whiteboard</t>
  </si>
  <si>
    <t>Changed</t>
  </si>
  <si>
    <t>Status</t>
  </si>
  <si>
    <t>Version</t>
  </si>
  <si>
    <t>Opened</t>
  </si>
  <si>
    <t>First found by</t>
  </si>
  <si>
    <t>Also seen by</t>
  </si>
  <si>
    <t>Keywords</t>
  </si>
  <si>
    <t>Bedrock Probability</t>
  </si>
  <si>
    <t>Record type</t>
  </si>
  <si>
    <t>Product</t>
  </si>
  <si>
    <t>Component</t>
  </si>
  <si>
    <t>Deadline</t>
  </si>
  <si>
    <t>RedZone Review Flag</t>
  </si>
  <si>
    <t>Priority</t>
  </si>
  <si>
    <t>Release or Service Notes</t>
  </si>
  <si>
    <t>Bedrock Value</t>
  </si>
  <si>
    <t>Target Build</t>
  </si>
  <si>
    <t>Astra-1.1.0</t>
  </si>
  <si>
    <t>BugzillaCloningAutomation@hp.com</t>
  </si>
  <si>
    <t>Red Zone</t>
  </si>
  <si>
    <t>Astra-1.0.1</t>
  </si>
  <si>
    <t>Functional Test</t>
  </si>
  <si>
    <t>tomer.meshorer@hp.com</t>
  </si>
  <si>
    <t>[Master=48696, Astra-1.1.0] No cross-protocol locking. NFS clients can corrupt Word docs while in use</t>
  </si>
  <si>
    <t>[Cross Protocol]</t>
  </si>
  <si>
    <t>[Master=42454, Astra-1.1.0] [Customer: BT, LAWA] CIFS connections lost intermittently on certain clients, new connections not allowed until likewise restart</t>
  </si>
  <si>
    <t>P1</t>
  </si>
  <si>
    <t>[Master=57455, Astra-1.1.0] Setting LSASS provisioned mode fails to provide NFSv4 ID mapping</t>
  </si>
  <si>
    <t>[Master=57072, Astra-1.1.0] Adding LDAP group ACL from NFSv3 or on VM node using setfacl returns "Invalid Argument" and "ade_idmapd: getgrgid_r error 34 for gid "</t>
  </si>
  <si>
    <t>24-Apr ERT waived for Astra-Maint. No fix for 1.1.0 (re-waive for 1.1?)</t>
  </si>
  <si>
    <t>[Master=52552, Astra-1.1.0] mkdir on NFS share mounted on V3 client returns "mkdir: cannot create directory `&lt;name&gt;': invalid argument" - but dir is still created</t>
  </si>
  <si>
    <t>[Master=52678, Astra-1.1.0] NFSD related panic during SPECsfs</t>
  </si>
  <si>
    <t>[Master=50470, Astra-1.1.0] Purposely killing lwsmd process does not induce automatic restart of SMB or a failover.</t>
  </si>
  <si>
    <t>[Master=58079, Astra-1.1.0] (Cross-Protocol) hp-smb  doesn't handle files correctly when their names differ in case only.</t>
  </si>
  <si>
    <t>[Master=59230, Astra-1.1.0] [Unity 1.1] Even after deleting an AD user from the group, user can still modify the contents of a folder which has modify permissions for the group.</t>
  </si>
  <si>
    <t>matthew.dav.bondurant@hp.com</t>
  </si>
  <si>
    <t>8-May need more info, appears uncommon usage</t>
  </si>
  <si>
    <t>Reviewed 0429, working to reproduce</t>
  </si>
  <si>
    <t>External Advisory</t>
  </si>
  <si>
    <t>Install/Upgrade-SMB</t>
  </si>
  <si>
    <t>Blocker</t>
  </si>
  <si>
    <t>Critical</t>
  </si>
  <si>
    <t>Major</t>
  </si>
  <si>
    <t>Not set</t>
  </si>
  <si>
    <t>W/ Target build</t>
  </si>
  <si>
    <t>Day or less old</t>
  </si>
  <si>
    <t>No activity &gt; 3 days</t>
  </si>
  <si>
    <t>Currently there are</t>
  </si>
  <si>
    <t>Found in release</t>
  </si>
  <si>
    <t>Classic</t>
  </si>
  <si>
    <t>Yellow Zone</t>
  </si>
  <si>
    <t>Static Analysis Tools (e.g. Coverity)</t>
  </si>
  <si>
    <t>Feature Test</t>
  </si>
  <si>
    <t>Code Review</t>
  </si>
  <si>
    <t>Manageability-AAUM</t>
  </si>
  <si>
    <t>Last Row</t>
  </si>
  <si>
    <t>First Row</t>
  </si>
  <si>
    <t>f</t>
  </si>
  <si>
    <t>s</t>
  </si>
  <si>
    <t>l</t>
  </si>
  <si>
    <t>v</t>
  </si>
  <si>
    <t>Red Zone review flag</t>
  </si>
  <si>
    <t>b</t>
  </si>
  <si>
    <t>Age of bug</t>
  </si>
  <si>
    <t>a</t>
  </si>
  <si>
    <t>Last activity</t>
  </si>
  <si>
    <t>z</t>
  </si>
  <si>
    <t>Target build</t>
  </si>
  <si>
    <t>g</t>
  </si>
  <si>
    <t>Target milestone</t>
  </si>
  <si>
    <t>[Master=63194, Astra-1.1.0] "lwsmd: Container dead with signal 6" and loss SMB access while InServ node crashed</t>
  </si>
  <si>
    <t>m</t>
  </si>
  <si>
    <t>opened</t>
  </si>
  <si>
    <t>j</t>
  </si>
  <si>
    <t>changed</t>
  </si>
  <si>
    <t>Bug ID</t>
  </si>
  <si>
    <t>normal</t>
  </si>
  <si>
    <t>Unit \ Sub System Test</t>
  </si>
  <si>
    <t>*Unknown (Triage)-AAUM</t>
  </si>
  <si>
    <t>UDU/MSDU</t>
  </si>
  <si>
    <t>Resolution</t>
  </si>
  <si>
    <t>Product working as designed. VERY rare circumstance</t>
  </si>
  <si>
    <t>REOPENED</t>
  </si>
  <si>
    <t>[Master=63278, Astra-1.1.0] [Customer: Gilmore Overlick] Robocopy throws "ERROR 31 (0x0000001F) Copying NTFS Security to Destination Directory" when attempt is made to copy attributes</t>
  </si>
  <si>
    <t xml:space="preserve"> redzone bugs.</t>
  </si>
  <si>
    <t>[Master=61897, Astra-1.1.0] setfacl over nfsv3 fails where the UID or GID cannot be resolved to a name by the File Persona node.</t>
  </si>
  <si>
    <t>0602, investigation in progress, update on 0603</t>
  </si>
  <si>
    <t>abhisek.banerjee@hp.com</t>
  </si>
  <si>
    <t>[Master=63227, Astra-1.1.0] SMB Notify handing for Windows 2012 clients not being handled correctly (2012_R2 works OK however)</t>
  </si>
  <si>
    <t>[Master=63347, Astra-1.1.0] [Security] SMB is vulnerable to RC4 cipher vulnerability</t>
  </si>
  <si>
    <t>Halo</t>
  </si>
  <si>
    <t>UDU</t>
  </si>
  <si>
    <t>[Master=63480, Astra-1.1.0] [Customer: Keppel Fels] hp-smb stack crashes with: lwsmd[3235]: segfault at 20 ip 0000003c38009220 sp 00007f7210585cc8 error 4 in libpthread-2.12.so[3c38000000+17000]</t>
  </si>
  <si>
    <t>[Master=61184, Astra-1.1.0] rapid calls to setfacl can cause timeout "Unknown error 528" error message on NFS client side</t>
  </si>
  <si>
    <t>Master</t>
  </si>
  <si>
    <t>Review completed - Ready to check in</t>
  </si>
  <si>
    <t>yes SN</t>
  </si>
  <si>
    <t>RedZone Review Flag &amp; ! Target build</t>
  </si>
  <si>
    <t>arnab.das@hp.com</t>
  </si>
  <si>
    <t>[Master=64221, Astra-1.1.0] Windows client lost SMB share access: lwio: [lwio] RDR : RdrSocketRead  ../lwio/server/rdr/socket.c : 1893: Failed to read socket:Error code:0xc000020d]</t>
  </si>
  <si>
    <t>[Master=64245, Astra-1.1.0] [UDU 135597/138916]LDAP group member returned is missing domain name prefix (NetBIOS)</t>
  </si>
  <si>
    <t>Astra_1.1.0.28-20150702</t>
  </si>
  <si>
    <t>[Master=57761, Astra-1.1.0] [Customer: Hewlett-Packard (Schweiz) GmbH] Upgrade from 3.2.1.200P11 to latest P70 failing in to update file services as Update operation was failed due to the time out of SMB update registration hook</t>
  </si>
  <si>
    <t>PRB - Awaiting Approval</t>
  </si>
  <si>
    <t>ERT - Awaiting Waiver Form</t>
  </si>
  <si>
    <t>ERT - Awaiting Informal Review</t>
  </si>
  <si>
    <t>ERT - Awaiting Director Review</t>
  </si>
  <si>
    <t>Sharepoint</t>
  </si>
  <si>
    <t>y</t>
  </si>
  <si>
    <t xml:space="preserve">ankur.verma@hp.com </t>
  </si>
  <si>
    <t xml:space="preserve">[Master=58413, Astra-1.1.0] LoadDynamix testing runnnig ... </t>
  </si>
  <si>
    <t xml:space="preserve">cri </t>
  </si>
  <si>
    <t xml:space="preserve">BugzillaCloningAutomation@h... </t>
  </si>
  <si>
    <t xml:space="preserve">CLOS </t>
  </si>
  <si>
    <t xml:space="preserve">WONT </t>
  </si>
  <si>
    <t xml:space="preserve">Astra </t>
  </si>
  <si>
    <t xml:space="preserve">Protocol </t>
  </si>
  <si>
    <t xml:space="preserve">Server-S </t>
  </si>
  <si>
    <t xml:space="preserve">P2 </t>
  </si>
  <si>
    <t>y*</t>
  </si>
  <si>
    <t>Written</t>
  </si>
  <si>
    <t>Attached to bug</t>
  </si>
  <si>
    <t>Authentication-NFS</t>
  </si>
  <si>
    <t>[Master=62843, Astra-1.1.0] http405 error during installs and online upgrade</t>
  </si>
  <si>
    <t>Platform QA</t>
  </si>
  <si>
    <t>Install/Upgrade-AAUM</t>
  </si>
  <si>
    <t>Approved</t>
  </si>
  <si>
    <t>[Master=65346, Astra-1.1.0] [Customer: US Army National Guard] directory structure of FP share not displayed in windows explorer on Win7 64 client after upgrade to SP1</t>
  </si>
  <si>
    <t>[Master=65347, Astra-1.1.0] nfsd dead but subsys locked after repeated failovers</t>
  </si>
  <si>
    <t>[Master=65204, Astra-1.1.0] Quota limits not displayed correctly when local group is recreated with same name and different GIDs.</t>
  </si>
  <si>
    <t>Customer, Integration Testing</t>
  </si>
  <si>
    <t>[Master=64168, Astra-1.1.0] [Customer: Univ of Chicago] ha: fpg failover failed with: FAILED_TO_RMFS</t>
  </si>
  <si>
    <t>hugo.kiehl@hp.com</t>
  </si>
  <si>
    <t>Manageability-SMB</t>
  </si>
  <si>
    <t>n</t>
  </si>
  <si>
    <t>Random Test</t>
  </si>
  <si>
    <t>WithDrawn</t>
  </si>
  <si>
    <t>Astra_1.1.0.33-20150806</t>
  </si>
  <si>
    <t>[Master=66200, Astra-1.1.0] Failed to join windows domain with new default setting of enablesmb2ad==false</t>
  </si>
  <si>
    <t>[Master=63709, Astra-1.1.0] [UDU 138091] - Failed to failover FPG after panic InServ node0 and appeared error message "[lwio] RplReadFionread :: did not got data after retring 50000 times"</t>
  </si>
  <si>
    <t>[Master=63791, Astra-1.1.0] Very slow response changing Windows permissions from SMB client with Scan policy on File Open enabled - 70 times slower than a Windows 2012 share.</t>
  </si>
  <si>
    <t>PRB - Awaiting Request</t>
  </si>
  <si>
    <t>balachandrudu.vavilapalli@hp.com</t>
  </si>
  <si>
    <t>Re-waived</t>
  </si>
  <si>
    <t>Fix Plan</t>
  </si>
  <si>
    <r>
      <rPr>
        <sz val="7"/>
        <color theme="1"/>
        <rFont val="Times New Roman"/>
        <family val="1"/>
      </rPr>
      <t xml:space="preserve"> </t>
    </r>
    <r>
      <rPr>
        <sz val="11"/>
        <color theme="1"/>
        <rFont val="Calibri"/>
        <family val="2"/>
        <scheme val="minor"/>
      </rPr>
      <t>Fixable in 1.1.1 patch (no schedule)</t>
    </r>
  </si>
  <si>
    <r>
      <rPr>
        <sz val="7"/>
        <color theme="1"/>
        <rFont val="Times New Roman"/>
        <family val="1"/>
      </rPr>
      <t xml:space="preserve"> </t>
    </r>
    <r>
      <rPr>
        <sz val="11"/>
        <color theme="1"/>
        <rFont val="Calibri"/>
        <family val="2"/>
        <scheme val="minor"/>
      </rPr>
      <t>Fixable in 1.2</t>
    </r>
  </si>
  <si>
    <r>
      <rPr>
        <sz val="7"/>
        <color theme="1"/>
        <rFont val="Times New Roman"/>
        <family val="1"/>
      </rPr>
      <t xml:space="preserve"> </t>
    </r>
    <r>
      <rPr>
        <sz val="11"/>
        <color theme="1"/>
        <rFont val="Calibri"/>
        <family val="2"/>
        <scheme val="minor"/>
      </rPr>
      <t>Fixable post 1.2</t>
    </r>
  </si>
  <si>
    <r>
      <rPr>
        <sz val="7"/>
        <color theme="1"/>
        <rFont val="Times New Roman"/>
        <family val="1"/>
      </rPr>
      <t xml:space="preserve"> </t>
    </r>
    <r>
      <rPr>
        <sz val="11"/>
        <color theme="1"/>
        <rFont val="Calibri"/>
        <family val="2"/>
        <scheme val="minor"/>
      </rPr>
      <t>Never fix</t>
    </r>
  </si>
  <si>
    <t>Already fixed in 1.2</t>
  </si>
  <si>
    <t>post 1.2</t>
  </si>
  <si>
    <t>fixed 1.2 (FS)</t>
  </si>
  <si>
    <t>Service Monitor (design)</t>
  </si>
  <si>
    <t>Posix mode 1.2? Post 1.2</t>
  </si>
  <si>
    <t>?</t>
  </si>
  <si>
    <t>fixed 1.2i (NTFS mode)</t>
  </si>
  <si>
    <t>post 1.2 (Rest exists, UDU needs hook)</t>
  </si>
  <si>
    <t>post 1.2 (Store Sids/IDs in acl)</t>
  </si>
  <si>
    <t>post 1.2 (more data from Customer?)</t>
  </si>
  <si>
    <t>Post 1.2</t>
  </si>
  <si>
    <t>post 1.2 (Rare, I/O heavy load, and Kernal panic)</t>
  </si>
  <si>
    <t>Post 1.2 (FS more DCN notifies?)</t>
  </si>
  <si>
    <t>Post 1.2 (Implement KILE [replacement of NTLM])</t>
  </si>
  <si>
    <t>fix 1.2 (?)</t>
  </si>
  <si>
    <t>Need repro on recent bits (other STONITH fix already in)</t>
  </si>
  <si>
    <t>reclose/(new bug?)</t>
  </si>
  <si>
    <t>Rally/Document (post 1.2)</t>
  </si>
  <si>
    <t>Never fix</t>
  </si>
  <si>
    <t>post 1.2 (Charlie W. ideas)</t>
  </si>
  <si>
    <t>Same as 64221 (?)</t>
  </si>
  <si>
    <t>post 1.2 (control port changes cause issue)</t>
  </si>
  <si>
    <t>[Master=64077, Astra-1.1.0] [UDU 138439] - "setfs ldap" command configure ldap server on only active node0fs</t>
  </si>
  <si>
    <t>[Master=66573, Astra-1.1.0] SMB share mount failed with error message  "No more data available".</t>
  </si>
  <si>
    <r>
      <t xml:space="preserve">Rally/Document </t>
    </r>
    <r>
      <rPr>
        <b/>
        <sz val="11"/>
        <color rgb="FFFF0000"/>
        <rFont val="Calibri"/>
        <family val="2"/>
        <scheme val="minor"/>
      </rPr>
      <t>(UPDATED 5-Aug)</t>
    </r>
  </si>
  <si>
    <r>
      <t xml:space="preserve">post 1.2 (no RC for slowness) </t>
    </r>
    <r>
      <rPr>
        <b/>
        <sz val="11"/>
        <color rgb="FFFF0000"/>
        <rFont val="Calibri"/>
        <family val="2"/>
        <scheme val="minor"/>
      </rPr>
      <t>(Waiver Updated 5-Aug)</t>
    </r>
  </si>
  <si>
    <t>ReClosed</t>
  </si>
  <si>
    <t>[Master=55159, Astra-1.1.0] SMB share created on .admin fstore is not getting restored after performing config restore</t>
  </si>
  <si>
    <t>*Unknown (Triage)-SMB</t>
  </si>
  <si>
    <t>[Master=66713, Astra-1.1.0] [Customer: Coast Community College] With roaming profiles and folder redirection, up to 30 second delay in response to setinfo for SMB2_FILE_DISPOSITION_INFO</t>
  </si>
  <si>
    <t>Closed No Repro</t>
  </si>
  <si>
    <t>jeonggoo@hp.com</t>
  </si>
  <si>
    <t>[Master=62099, Astra-1.1.0] Cannot mount VFS/SMB share reliably with more than 2 interfaces simultaneously</t>
  </si>
  <si>
    <t>ReOpen waiting for repro analysis</t>
  </si>
  <si>
    <t>w</t>
  </si>
  <si>
    <t>p</t>
  </si>
  <si>
    <t>Fixed</t>
  </si>
  <si>
    <t>Provided by Hugo</t>
  </si>
  <si>
    <t>Inflight for 1.1 (?), fix in 1.2</t>
  </si>
  <si>
    <t>C18</t>
  </si>
  <si>
    <t>ODC-Opener</t>
  </si>
  <si>
    <t>ODC-Closure</t>
  </si>
  <si>
    <t>Activity</t>
  </si>
  <si>
    <t>[Master=67034, Astra-1.1.0] hp-smb lwio memory leak causes degraded performance running FSCT with 3800 users</t>
  </si>
  <si>
    <t>[Master=51093, Astra-1.1.0] SMB: RPC error umount error : filesystem mountpoint  directory is busy</t>
  </si>
  <si>
    <t>[Master=67131, Astra-1.1.0] LDAP configuration not automatically applied to nodes down at time of configuration, rescued nodes, or newly added nodes</t>
  </si>
  <si>
    <t>[Master=67242, Astra-1.1.0] [Customer: Lumina] lwsmd generating multiple cores during data migration</t>
  </si>
  <si>
    <t>QPnT: Customer Focused Test</t>
  </si>
  <si>
    <t>matthew.dav.bondurant@hpe.com</t>
  </si>
  <si>
    <t>chad.mitchell@hp.com</t>
  </si>
  <si>
    <t>[Master=65660, Astra-1.1.0] During roaming profile data synch to Unity CIFS share of 46 sessions (logout) node0 goes unresponsive - all cifs shares on node0 unavailable but no failover for hours</t>
  </si>
  <si>
    <t>[Master=67608, Astra-1.1.0] [Customer: Coast Community College]  smb2 find on directory fails with STACK_BUFFER_OVERFLOW</t>
  </si>
  <si>
    <t>[Master=67747, Astra-1.1.0] [Customer:  Bharat Forge] Kerberos ticket request for SMB share fails with KRB Error: KRB5KDC_ERR_S_PRINCIPAL_UNKNOWN</t>
  </si>
  <si>
    <t>[Master=67772, Astra-1.1.0] Wipe out LDAP configuration after upgrade system from 3.2.1.292 to 3.2.2.284</t>
  </si>
  <si>
    <t>nandesh.palanisamy@hpe.com</t>
  </si>
  <si>
    <t>[Master=67816, Astra-1.1.0] [Customer: Informatica Trentina] can not add/remove export entry to file share due to /etc/exports corruption.</t>
  </si>
  <si>
    <t>Usability Bug</t>
  </si>
  <si>
    <t>Astra_1.1.0.38-20150827</t>
  </si>
  <si>
    <t>[Master=67873, Astra-1.1.0] hp-smb srvsvc memory leak causes degraded performance running FSCT</t>
  </si>
  <si>
    <t>R</t>
  </si>
  <si>
    <t>Attached to waiver for 67042</t>
  </si>
  <si>
    <t>santanug@hpe.com</t>
  </si>
  <si>
    <t>moorthy.mm@hpe.com</t>
  </si>
  <si>
    <t>steve.e.douglas@hpe.com</t>
  </si>
  <si>
    <t>sayan.ghosh@hpe.com</t>
  </si>
  <si>
    <t>brian.zimpfer@hpe.com</t>
  </si>
  <si>
    <t>michael.roberts@hpe.com</t>
  </si>
  <si>
    <t>charles.wahlquist@hpe.com</t>
  </si>
  <si>
    <t>tomer.meshorer@hpe.com</t>
  </si>
  <si>
    <t>Previous_Waiver</t>
  </si>
  <si>
    <t>Astra-Post IR13 10-24</t>
  </si>
  <si>
    <t>Escape</t>
  </si>
  <si>
    <t>c100</t>
  </si>
  <si>
    <t>kyle.barry@hpe.com</t>
  </si>
  <si>
    <t>arnab.das@hpe.com</t>
  </si>
  <si>
    <t>shounak.banerjee@hpe.com</t>
  </si>
  <si>
    <t>matt.dumm@hpe.com</t>
  </si>
  <si>
    <t>lance.swift@hpe.com</t>
  </si>
  <si>
    <t>sue-pei.wang@hpe.com</t>
  </si>
  <si>
    <t>scott.scott.hamilton@hp.com</t>
  </si>
  <si>
    <t>Documentation-NFS</t>
  </si>
  <si>
    <t>Analysis in Progress;Complexity: [Med] Risk:[Med]</t>
  </si>
  <si>
    <t>Server-AAUM</t>
  </si>
  <si>
    <t>QPnT: ISV Test</t>
  </si>
  <si>
    <t>[Enhancement][Convert to Rally User Story]</t>
  </si>
  <si>
    <t>QPnT: Performance Test</t>
  </si>
  <si>
    <t>olga.revsin@hpe.com</t>
  </si>
  <si>
    <t>avik.mondal@hpe.com</t>
  </si>
  <si>
    <t>Aurora</t>
  </si>
  <si>
    <t>CFI</t>
  </si>
  <si>
    <t>souravb@hpe.com</t>
  </si>
  <si>
    <t>Cross-Protocols-SMB</t>
  </si>
  <si>
    <t>ramesh.velusamy@hpe.com</t>
  </si>
  <si>
    <t>sujasha.de@hpe.com</t>
  </si>
  <si>
    <t>hugo.kiehl@hpe.com</t>
  </si>
  <si>
    <t>QPnT: Release Test</t>
  </si>
  <si>
    <t>Legacy Programs - CRB and Waivers</t>
  </si>
  <si>
    <t>Regression</t>
  </si>
  <si>
    <t>CRB</t>
  </si>
  <si>
    <t>Waivers</t>
  </si>
  <si>
    <t>Waiver Requested</t>
  </si>
  <si>
    <t>QPnT: Integration Test</t>
  </si>
  <si>
    <t>QPnT: Final Regression Test</t>
  </si>
  <si>
    <t>waivers</t>
  </si>
  <si>
    <t>abhisek.banerjee@hpe.com</t>
  </si>
  <si>
    <t>blocker</t>
  </si>
  <si>
    <t>Impact</t>
  </si>
  <si>
    <t>[Master=73098, Aurora] Unable to access snapshots inside .snapshot folder from NFS client when NFS share is created on .snapshot folder.</t>
  </si>
  <si>
    <t>Analysis in progress</t>
  </si>
  <si>
    <t>jonathan.hittle@hpe.com</t>
  </si>
  <si>
    <t>[Master=68520, Aurora] User should get appropriate error message with 'createfsuser' and 'createfsgroup' command if LDAP 'gidNumber' or 'uid' is already exist.</t>
  </si>
  <si>
    <t>[Master=54350, Aurora] [UDU 122943] "No such local group" error adding AD or Local users to Administrators group with setfsgroup</t>
  </si>
  <si>
    <t>[Not GA]</t>
  </si>
  <si>
    <t>[Master=68864, Aurora] lwsmd multiple crashes of lwreg during roaming profile sync of over 50 users and provider stacking change</t>
  </si>
  <si>
    <t>[Master=51093, Aurora] SMB: RPC error umount error : filesystem mountpoint  directory is busy</t>
  </si>
  <si>
    <t>[Master=69237, Aurora] Create NFS FAILED : Connection to host: 127.127.0.11, port: 9443 timed out</t>
  </si>
  <si>
    <t>[Master=69606, Aurora] Deleting Ldap configuration does not remove Ldap from stacking order or provide warning which results in repeated errors in /var/log/messages</t>
  </si>
  <si>
    <t>[Master=69651, Aurora]Unable to Unmount FPG with long VFS, File Store and Share name</t>
  </si>
  <si>
    <t>[Master=70252, Aurora] Excessive logging of not important info</t>
  </si>
  <si>
    <t>[Master=70446, Aurora] Unable to create NFS share on .admin to copy backup artifact when FS is full.</t>
  </si>
  <si>
    <t>[Master=70919, Aurora] [Customer University Wuerzburg] Allow File Persona to support UID and GIDs below 1000</t>
  </si>
  <si>
    <t>[Master=70984, Aurora] SMB share deletion displays weird date Jan1,1970 and share name was missing in event.log file</t>
  </si>
  <si>
    <t>[Master=71195, Aurora] CURL 'get' request is returning unexpected values for ACE inheritance flags</t>
  </si>
  <si>
    <t>[Master=71797, Aurora] multiple LWSMD cores during upgrade</t>
  </si>
  <si>
    <t>[Master=71821, Aurora] NFS share deletion fails if VFS IP has been removed with error "NFS Delete Export failed with error: export path &lt;path&gt; does not exist"</t>
  </si>
  <si>
    <t>[Master=72420, Aurora] Create SMB share failed ERROR_BAD_NET_RESP  for long path greater than 130 characters</t>
  </si>
  <si>
    <t>[Master=72591, Aurora] Customer may see lwsmd crash due to network cable pull</t>
  </si>
  <si>
    <t>[Master=72779, Aurora] ONFSCK workflow : showfshare shows invalid state for nfs share with sharedir deleted</t>
  </si>
  <si>
    <t>[Master=63347, Aurora] [Security] SMB is vulnerable to RC4 cipher vulnerability</t>
  </si>
  <si>
    <t>[Master=73066, Aurora] ONFSCK workflow : showfshare shows invalid state for smb share with sharedir deleted</t>
  </si>
  <si>
    <t>[Master=73103, Aurora] [UDU - 151558] - Created VFS, Fstore, or Share named 0.0 is returned as 0 and is unusable.</t>
  </si>
  <si>
    <t>[Master=73291, Aurora] syslog says "Failed to sync system time" every time LsaSetSystemTime() function successfully updates the system time</t>
  </si>
  <si>
    <t>[Master=73866, Aurora] Deactivating FPG results in FAILED_TO_RMFS after deletion of an NFS share's directory</t>
  </si>
  <si>
    <t>arpan.chatterjee@hpe.com</t>
  </si>
  <si>
    <t>[Master=74642, Aurora] Able to create SMB shares with duplicate names when an FPG is deleted and recreated with same name, where configbackup is performed on the deleted FPG</t>
  </si>
  <si>
    <t>Green Zone</t>
  </si>
  <si>
    <t>[Master=66480, Aurora] [Customer Arvato] 'Allow' permission for Domain Admins group overrides explicit 'Deny' on files and folders</t>
  </si>
  <si>
    <t>[Master=75226, Aurora] Robocopy job infrequently failed during failover with â€œThe system cannot find the file specifiedâ€ resulting in no retry</t>
  </si>
  <si>
    <t>[Master=75243, Aurora] Cannot join Active Directory, observed error message "FAILED : could not join the domain: Sam database is locked"</t>
  </si>
  <si>
    <t>[Master=75300, Aurora] After configuring FilePersona AD config throws Alert "Health has failed unexpectedly"</t>
  </si>
  <si>
    <t>[Master=65204, Aurora] Quota limits not displayed correctly when local group is recreated with same name and different GIDs.</t>
  </si>
  <si>
    <t>[Master=43867, Aurora] Health Status results sometimes empty</t>
  </si>
  <si>
    <t>[Master=46659, Aurora] Create LDAP Config: when one VM is down, reports error but still creates it</t>
  </si>
  <si>
    <t>[Master=52482, Aurora] Add additional well known sids</t>
  </si>
  <si>
    <t>[Master=57010, Aurora] Lsass crashed while running smbtorture tests</t>
  </si>
  <si>
    <t xml:space="preserve"> yellowzone bugs that can be divided into the groups listed below.</t>
  </si>
  <si>
    <t>https://bugzilla.houston.hpecorp.net:1181/bugzilla/show_bug.cgi?id=</t>
  </si>
  <si>
    <t>New_Feature</t>
  </si>
  <si>
    <t>[Master=76407, Aurora] SMB3 - Meatgrinder - Invalid handle error upon node failover</t>
  </si>
  <si>
    <t>roushan.kumar.sinha@hpe.com</t>
  </si>
  <si>
    <t>eddy.hutson@hpe.com</t>
  </si>
  <si>
    <t>horvath@hpe.com</t>
  </si>
  <si>
    <t>jhilik.roy@hpe.com</t>
  </si>
  <si>
    <t>paul.evertson@hpe.com</t>
  </si>
  <si>
    <t>matthew.leach3@hpe.com</t>
  </si>
  <si>
    <t>bryan.mcdade@hpe.com</t>
  </si>
  <si>
    <t>[Master=76841, Aurora] [Customer: NTTDataWare] lwio crashed with SIGSEGV because pFcB is zero.</t>
  </si>
  <si>
    <t>e</t>
  </si>
  <si>
    <t>[Master=73055, Aurora] Possible Memory Leak in LSASSD??</t>
  </si>
  <si>
    <t>[Master=75017, Aurora] HPEcopy using Windows 2012 fails with exit code 10 and exit code 11.</t>
  </si>
  <si>
    <t>[Master=75133, Aurora] createfsuser error confusing</t>
  </si>
  <si>
    <t>[Master=75259, Aurora] Customer will notice nfs share in unknown state after upgrade</t>
  </si>
  <si>
    <t>Install/Upgrade-NFS</t>
  </si>
  <si>
    <t>[Master=75774, Aurora] [Master=75881, Master] Lwsmd crash loop on boot [lwio] ASSERTION FAILED: Expression = (0) File Name = '../lwio/server/srv/elements/phs.c' Line Num = '2533'</t>
  </si>
  <si>
    <t>[Master=62917, Aurora] [HP-SMB] : File after issuing chmod 444 is not getting transitioned to retained on a HP-SMB share mounted on the Linux client.</t>
  </si>
  <si>
    <t>[Master=67065, Aurora] Protocols health could swamp the cluster causing other PML commands to timeout</t>
  </si>
  <si>
    <t>[Master=53441, Aurora] HP-SMB must take Product Configuration limits from PML as the only reference point</t>
  </si>
  <si>
    <t>[Master=55490, Aurora] Request to generate event for loss of persistent handle</t>
  </si>
  <si>
    <t>Enhancement</t>
  </si>
  <si>
    <t>[Master=46771, Aurora] Unable to get 'Disk quota exceeded' message on attempting to exceed stree HARD_SIZE limit from NFS client.</t>
  </si>
  <si>
    <t>[Master=49096, Aurora] After Upgrade Online Serial isoAttached rebootTrue is performed, error 'Health has failed unexpectedly.  Socket error' is seen for the approx 10 mins for the AD domain join check on the passive node.</t>
  </si>
  <si>
    <t>[Master=46238, Aurora] Socket errors observed on 7400 during AD join &amp; also enum of local user failed</t>
  </si>
  <si>
    <t>[Master=52603, Aurora] SMB fails to list the shares(created when VFS IP was present) after removing VFS IP. Allows to create and list a new share.</t>
  </si>
  <si>
    <t>[Master=50489, Aurora] With domain access control configured, clients not in the domain should not be able to mount the share with NFSv4</t>
  </si>
  <si>
    <t>[Master=67908, Aurora] Illogical/invalid combination of no_root_squash and all_squash options not rejected</t>
  </si>
  <si>
    <t>[Master=61271, Aurora] 'setfs idmap' queues configuration changes and each has to be removed in turn to disable idmap</t>
  </si>
  <si>
    <t>[Master=48872, Aurora] Folder redirection fails when we set Target folder location as "Redirect to the following Location"</t>
  </si>
  <si>
    <t>[Master=54992, Aurora] Repeating error in /var/log/messages: [lsass] Net Bios Name not matched. Please check the input Netbios name (or) LDAP provider configuration. This is an error message.#012</t>
  </si>
  <si>
    <t>nkoul@hpe.com</t>
  </si>
  <si>
    <t>[Master=55707, Aurora] NFS Restore Fail using NBU ISV to VTL</t>
  </si>
  <si>
    <t>[Master=49329, Aurora] createfsgroup allows creation of invalid groupnames</t>
  </si>
  <si>
    <t>[Master=60601, Aurora] [UDU 132255] Restarting a robocopy session reports all newer files and copy data again</t>
  </si>
  <si>
    <t>[Master=60724, Aurora] [Unity 1.1] After setting permissions to a non-owner user on a directory created on the HP-SMB share, inconsistency observed between "cd" and accessing a directory via GUI</t>
  </si>
  <si>
    <t>[determining validity of issue]</t>
  </si>
  <si>
    <t>[Master=49412, Aurora] srv crash in SrvCheckOngoingPheReplicationCallback during shutdown</t>
  </si>
  <si>
    <t>[Master=49330, Aurora] removefsgroup does not delete groups created using createfsgroup</t>
  </si>
  <si>
    <t>[Master=66081, Aurora] Roaming profile not getting sync as showing "not enough disk space" though there is a space available on the disk.</t>
  </si>
  <si>
    <t>[Master=57016, Aurora] Config Backup Restore: SEVERE: Completion notification: Failed to create NFS share  for file system mounted on passive nodes</t>
  </si>
  <si>
    <t>[Master=57468, Aurora] Stonith Failure may cause orphan PHE</t>
  </si>
  <si>
    <t>[Master=52651, Aurora] SMB server performance statistics need to be included in the 3PAR phone home data</t>
  </si>
  <si>
    <t>[Master=54215, Aurora] NFSv4 ACLs: NFSv3 clients:  AIX reports aclget: The system call does not exist on this system.</t>
  </si>
  <si>
    <t>[Master=55269, Aurora] LDAP REST-API does not return the status of LDAP server</t>
  </si>
  <si>
    <t>[Master=55539, Aurora] Fail back failed while doing http share download/upload</t>
  </si>
  <si>
    <t>[Master=50880, Aurora] hp-smb segfault in lsass while running smbtorture tests in SSL code path</t>
  </si>
  <si>
    <t>[Master=49537, Aurora] PML fun test needed.  CRUD functionality for NFS export as stree</t>
  </si>
  <si>
    <t>[Master=65711, Aurora] statfs returns error: key "HP-SMBInfo" not known in dictionary under moderate cifs load</t>
  </si>
  <si>
    <t>[MASTER=55135, Aurora] HP-SMB services were found stuck: SERVICE_UNRESPONSIVE in astra emulator</t>
  </si>
  <si>
    <t>[Master=49332, Aurora] removefsgroup neither deletes the groups nor returns an error</t>
  </si>
  <si>
    <t>[Master=52294, Aurora] raw.acls.sd.sd test failure: ACEs are not handled in the correct order</t>
  </si>
  <si>
    <t>[SMBTorture]</t>
  </si>
  <si>
    <t>[Master=49327, Aurora] removefsuser does not delete users created using createfsuser</t>
  </si>
  <si>
    <t>[Master=50012, Aurora] Regression: NetrVFSStateChange returns error 1168 all the time</t>
  </si>
  <si>
    <t>[Master=37654, Aurora] The Oplock grant result shows strange levels</t>
  </si>
  <si>
    <t>[Master=48464, Aurora] Need mechanism to wait for async closes when running down disconnected durables.</t>
  </si>
  <si>
    <t>[Master=49164, Aurora] [UDU113325] Could not get groups for user: The authentication request could not be handled</t>
  </si>
  <si>
    <t>[Master=67507, Aurora] Configuration restore doesn't restore the ACLs applied using "setfshare" command options to NFS share .</t>
  </si>
  <si>
    <t>[Master=55915, Aurora] lsass  crash in  NtlmServerDecryptMessage() while runing smbtorture the [rpc.samba3.winreg.winreg] test</t>
  </si>
  <si>
    <t>[Master=50667, Aurora] when fuse is mounted on a nfsshare and same share is mounted on a client machine using NFS version=4, it doesn't list out the files of nfsshare at client</t>
  </si>
  <si>
    <t>[Master=49328, Aurora] removefsuser neither deletes the users nor returns an error</t>
  </si>
  <si>
    <t>[Master=54893, Aurora] Ldap status reported OK even when some of LDAP not working and lw-get-status status showing offline</t>
  </si>
  <si>
    <t>[Master=51898, Aurora] SMBTorture - raw.notify tests not passing</t>
  </si>
  <si>
    <t>[Master=65531, Aurora] Share names containing international characters can be created by Windows MMC, but they are unusable</t>
  </si>
  <si>
    <t>[Master=68497, Aurora]Remote Copy of FPG of same name breaks NFS shares</t>
  </si>
  <si>
    <t>[Master=67960, Aurora] NFS share created on .admin fstore is not restored after configuration restore.</t>
  </si>
  <si>
    <t>[Master=67662, Aurora] lwsmd core dumps after LDAP goes down</t>
  </si>
  <si>
    <t>[Master=67224, Aurora] MMC: attempting to close open file results in â€œThe system cannot find the file specifiedâ€ error</t>
  </si>
  <si>
    <t>[Master=67037, Aurora] SEVERE: NFS Create export: Adding NFS share failed with error - Unknown error was observed</t>
  </si>
  <si>
    <t>[Master=66235, Aurora] FPG Failed to RMFS when trying to umount when it was in use on the VM.</t>
  </si>
  <si>
    <t>[Master=65919, Aurora] Multiple VFS activation for single VFS results in duplicate NFS bind mount during FPG mount</t>
  </si>
  <si>
    <t>[Master=65211, Aurora] Modifying AD user quota completed with error message "Error: status=403,exception message=HTTP 403 Forbidden"</t>
  </si>
  <si>
    <t>[Master=65593, Aurora] User is not authenticated based on the authentication stacking order</t>
  </si>
  <si>
    <t>[Master=64456, Aurora] [UDU - 135789] 3.2.2.168: showalert: File Services:0:lwsmd Failed</t>
  </si>
  <si>
    <t>[Master=63777, Aurora] ACL functionality does not work as expected after username mapping enabled</t>
  </si>
  <si>
    <t>[Master=62719, Aurora] [UDU Bug 136049] - "showfs -ldap" shows LDAP configuration details even though the "setfs ldap" failed with error message.</t>
  </si>
  <si>
    <t>[Master=39099, Aurora] Persistent Handles: RPL dead lock between two node</t>
  </si>
  <si>
    <t>[Master=61555, Aurora] Some NFS shares reporting state unknown</t>
  </si>
  <si>
    <t>[Master=61468, Aurora] [UDU 133573] - Need to update error message while "createfsuser" command failed due to user limit</t>
  </si>
  <si>
    <t>[Master=61403, Aurora] "showfsquota" command displayed local group (Linux group from /etc/group) instead of ldap group on which quota limits applied.</t>
  </si>
  <si>
    <t>[Master=60556, Aurora] [UDU 132938] - Exception in showfuser and createuser commands: com.hp.storage.pml.file.protocols.api.exception.HPProtocolServiceImplException: Could not get groups for user: ERROR_WRONG_DISK</t>
  </si>
  <si>
    <t>[Master=59659, Aurora] [UDU 131575] setfsquota creates wrong user name when domain user name has space in between</t>
  </si>
  <si>
    <t>[Master=59637, Aurora] Local user is mapped to "nfsnobody" intermittently when listed quota information.</t>
  </si>
  <si>
    <t>[Master=59347, Aurora] [UDU 130538] could not modify user : ERROR_NO_SUCH_USER - Managing a local FS user that matches the name of LDAP user fails</t>
  </si>
  <si>
    <t>[Master=59348, Aurora] [UDU 130413] showfsquota does not show netbios name for Ldap user quota</t>
  </si>
  <si>
    <t>[Master=58612, Aurora] [Unity 1.1] NFSv4 share with async option showing longer write times than sync options (File size 2GB)</t>
  </si>
  <si>
    <t>[Perf]</t>
  </si>
  <si>
    <t>[Master=57964, Aurora] Insufficient diagnostic information in logs to understand reason for filesystem freeze conditions caused by smb</t>
  </si>
  <si>
    <t>[Master=57963, Aurora] Insufficient diagnostic information in logs to understand reason for filesystem freeze conditions caused by nfs</t>
  </si>
  <si>
    <t>[Master=55619, Aurora] hp-smb segfault in lsass while running smbtorture tests</t>
  </si>
  <si>
    <t>[Master=52558, Aurora] SMBtorture "RAW-ACLS-NULLDACL" failed</t>
  </si>
  <si>
    <t>Done</t>
  </si>
  <si>
    <t>[Master=56895, Aurora] SMB share list shows "no shares" even though the shares are successfully created and listed  (lost share information).</t>
  </si>
  <si>
    <t>[Master=55549, Aurora] hp-smb segfault in lsass while running smbtorture tests</t>
  </si>
  <si>
    <t>[Master=46293, Aurora] Lwsmd crashed with ASSERTION FAILED: Expression = (0) after cluster reboot</t>
  </si>
  <si>
    <t>[Master=52811, Aurora] with AD configured but AD removed from stack, GET AD status returns no providers</t>
  </si>
  <si>
    <t>[Master=52807, Aurora] configuring AD auth fails with generic error when AD isn't in the auth stack</t>
  </si>
  <si>
    <t>[Master=49746, Aurora] SMBtorture test SMB2-ACLS-GENERIC is failing</t>
  </si>
  <si>
    <t>[Master=43596, Aurora] (IR12) - User quota on a Roaming profile user allows to create upto one file less than the hard inode limit. (Win Client - WinXP, AD server - WinServer 2008)</t>
  </si>
  <si>
    <t>[Master=55719, Aurora] Not able to set and list ad group quota if group name is having caret(^) character in its name</t>
  </si>
  <si>
    <t>[Master=55972, Aurora] lsass crash in rpc__binding_free() while running smbtorture [rpc.samba3.bind.bind] test</t>
  </si>
  <si>
    <t>[MASTER=56586, Aurora] "lwsm restart lwreg" returned success even though srvsvc failed to start properly</t>
  </si>
  <si>
    <t>[Master=56502, Aurora] Ldap user can still map share and access files after Ldap configuration removed from cluster</t>
  </si>
  <si>
    <t>[Master=56450, Aurora] srvsvc crash in rpc__cn_sm_eval_event() while running smbtorture [rpc.srvsvc.srvsvc (admin access).NetNameValidate] test</t>
  </si>
  <si>
    <t>[Master=56388, Aurora] lsass crash in lwmsg_data_free_graph_visit() while running smbtorture [rpc.samba3.bind.bind] test</t>
  </si>
  <si>
    <t>[Master=56425, Aurora] lsass crash in lwmsg_type_iterate_promoted() while running smbtorture [rpc.bind.ntlm,sign.ntlm,sign] test</t>
  </si>
  <si>
    <t>[Master=56067, Aurora] lsass crash in profile_parse_file() malloc() while running smbtorture [rpc.lsa.lsa] test</t>
  </si>
  <si>
    <t>[Master=56053, Aurora] lsass crash in rpc_ss_default_free() while running smbtorure [rpc.bind.ntlm,sign,seal.ntlm,sign,seal] test</t>
  </si>
  <si>
    <t>[Master=56033, Aurora] lsass crash in rpc__cn_assoc_receive_frag() while running smbtorture [rpc.lsa] test</t>
  </si>
  <si>
    <t>[Master=55968, Aurora] With expansion of the node, LDAP entry do not exist on expanded node, so need to remove and re-join the LDAP</t>
  </si>
  <si>
    <t>[Master=55978, Aurora] lsass crash in rpc__smb_close_file_complete() while running smbtorture  [rpc.lsa.lsa] test</t>
  </si>
  <si>
    <t>[Master=55971, Aurora] lsass crash in NtlmVerifySignature() while running smbtorture [rpc.bind.ntlm,sign.ntlm,sign] test</t>
  </si>
  <si>
    <t>[Master=55928, Aurora] lsass crash in rpc__binding_free while running smbtorture [rpc.samba3.lsa.lsa] test</t>
  </si>
  <si>
    <t>[Master=55929, Aurora] lsass crash in rpc__smb_socket_destroy() while running smbtorture  [rpc.echo.echo.enum]  test</t>
  </si>
  <si>
    <t>[Master=55920, Aurora] lsass crash in rpc__smb_close_file_complete() while running smbtorture  [rpc.echo.echo.doublepointer] test</t>
  </si>
  <si>
    <t>[Master=53313, Aurora] error "The specified group does not exist" changing folder permissions from Windows Client, if a invalid gid owns the folder in question</t>
  </si>
  <si>
    <t>[Master=55314, Aurora] SrvProcessLockRequest_SMB_V2() crash (assert failure) trying to update PHS with BRL info</t>
  </si>
  <si>
    <t>[Master=55094, Aurora] quota restore from file  partially restores the quota when ldap  on passive node is not connected.</t>
  </si>
  <si>
    <t>[Master=54986, Aurora] Need to handle com.hp.storage.pml.file.policystore.api.FileSystemDoesNotExistException</t>
  </si>
  <si>
    <t>[Master=54393, Aurora] [UDU 120042] Unable to remove a previously added group named "Local".</t>
  </si>
  <si>
    <t>[Master=54221, Aurora] "lwsm start" can time out and return an error after 30 seconds, causing service monitor to fall into kill/restart loop</t>
  </si>
  <si>
    <t>[Master=52933, Aurora] Index order option doesn't work with "nfs4_setfacl" command</t>
  </si>
  <si>
    <t>[Master=52318, Aurora] coredump with lwsmd seen with "Core was generated by `lw-container lsass'."</t>
  </si>
  <si>
    <t>[Master=49740, Aurora] SMBtorture "RAW-ACLS-NULLDACL" failed</t>
  </si>
  <si>
    <t>[Master=51197, Aurora] File system unmount fails - if the fs name &amp; its mount path directory name are different</t>
  </si>
  <si>
    <t>[Master=51087, Aurora] (Post IR13 09-26) Probable Race condition of hp-smb start and PML when FS/Mtree is getting created</t>
  </si>
  <si>
    <t>[Master=50644, Aurora] Parsing mount table option string is buggy</t>
  </si>
  <si>
    <t>[Master=47269, Aurora] Error from remote readall for node while showfshare smb on s739</t>
  </si>
  <si>
    <t>[Master=41344, Aurora] persistent handles: We probably need to allow read-attribute opens even when there's a disconnected PHE</t>
  </si>
  <si>
    <t>[Master=62959, Aurora] Block invalid Adding acl for EVERYONE@&lt;domain&gt; with Full Control using setfshare applies correctly but does not grant the desired access</t>
  </si>
  <si>
    <t>[Master=76227, Aurora] Unable to create Sparse files against FilePersona with FSUTIL</t>
  </si>
  <si>
    <t>[Master=76435, Aurora] manual failover of fpg incurs FAILED_TO_RMFS</t>
  </si>
  <si>
    <t>[Master=76755, Aurora]Failures observed in 1.3 Regressions due to change in expected permission for group in any newly created file inside a shared drive</t>
  </si>
  <si>
    <t>[Master=76907, Aurora] [Customer: Anuntatech] lwio hang followed by assert ASSERTION FAILED: Expression = (0) File Name = '../lwio/server/srv/protocols/api/replicate.c' Line Num = '401'</t>
  </si>
  <si>
    <t>[Master=66944, Aurora] cross proto:locking: delete file fails with Access denied on windows share,  when file is being locked with LOCK_MAND | LOCK_DELETE on fs server</t>
  </si>
  <si>
    <t>[Master=66942, Aurora] cross proto:locking: delete file is blocked from windows share when file is being locked with LOCK_MAND | LOCK_WRITE on fs server, but no error is returned and it looks like it succeeded from Windows</t>
  </si>
  <si>
    <t>[Master=74009, Aurora] ntfs acl plugin can overrun buffer in ntfs_acl packing code</t>
  </si>
  <si>
    <t>Escape, Zone_Increased</t>
  </si>
  <si>
    <t>=HYPERLINK(CONCATENATE($A$120&amp;INDIRECT("c"&amp;(ROW()+106))),INDIRECT("c"&amp;(ROW()+106)))</t>
  </si>
  <si>
    <t>c124</t>
  </si>
  <si>
    <t>[Master=77268, Aurora] No alert generated when Ldap configured with incorrect settings.</t>
  </si>
  <si>
    <t>Usability</t>
  </si>
  <si>
    <t>[Master=68022, Aurora] [Cross Protocol] Unable to delete files with question mark "?" in file name via CIFS share windows client</t>
  </si>
  <si>
    <t>[Master=68734, Aurora] Windows client cannot view or change Local users or groups in Security Tab - Owner defaults to 10ï¼¼Administrators (BUILTINï¼¼Administrators)</t>
  </si>
  <si>
    <t>Unit ï¼¼ Sub System Test</t>
  </si>
  <si>
    <t>[Master=53105, Aurora] Unity-LOCAL_CLUSTERï¼¼cifsuser permissions issue</t>
  </si>
  <si>
    <t>Dev Performance Work/Tests</t>
  </si>
  <si>
    <t>gourashyam.moirangthem@hpe.com</t>
  </si>
  <si>
    <t>[Master=77818, Aurora] Uncaught exceptions thrown in mkdir interface will result in not removing action from action manager and block mkdir operations along the same directory path until the reaper cleans up the action manager.</t>
  </si>
  <si>
    <t>[Master=77921, Aurora] Spec violation : For Signing An Outgoing Message if Connection.Dialect is "3.000", the sender MUST compute a 16-byte hash using AES_CMAC-128 over the entire message</t>
  </si>
  <si>
    <t>Avitus</t>
  </si>
  <si>
    <t>Build</t>
  </si>
  <si>
    <t>[Master=77746, Aurora] Online upgrade from Unity 1.2(3.2.2.390-MU2)  to 3.2.2.390-MU3(24-feb)  build fails in File services pre-check</t>
  </si>
  <si>
    <t>tarun.sant@hpe.com</t>
  </si>
  <si>
    <t>suruchi.gondkar@hpe.com</t>
  </si>
  <si>
    <t>amit.debnath@hpe.com</t>
  </si>
  <si>
    <t>das.souvik@hpe.com</t>
  </si>
  <si>
    <t>P0</t>
  </si>
  <si>
    <t>prashant-kumar.pandey@hpe.com</t>
  </si>
  <si>
    <t>[Master=73365, Aurora] SMBTorture test case are failing with error "failed to connect server"</t>
  </si>
  <si>
    <t>[Master=74050, Aurora] SMB client trying to delete a retained files gets an incorrect message:  "File in Use" ..Close file and try again"</t>
  </si>
  <si>
    <t>[Master=78178, Aurora] pml-hpsmb nfs plugin fails 3 unit tests during build in chrooted environment for Unity 1.4</t>
  </si>
  <si>
    <t>[Master=78331, Aurora] [UDU:135666]SMB share creation needs a better error message when user submits named with invalid character</t>
  </si>
  <si>
    <t>* Required</t>
  </si>
  <si>
    <t>[Master=78513, Aurora] [Customer: SafeTech] Protocols PML not properly closing readers on corner cases.</t>
  </si>
  <si>
    <t>[Master=78680, Aurora] [UDU 159731]3.2.2.MU2 P15 - FPGs are stuck in the degraded after the cluster master was rebooted</t>
  </si>
  <si>
    <t>Atlas-1.2.1</t>
  </si>
  <si>
    <t>Other-AAUM</t>
  </si>
  <si>
    <t>[Master=78517, Aurora] [Customer: SafeTech] PML monitor fails to start with: SEVERE: starting pml monitor - Execution of command .... failed command (bash -c /usr/local/pml//bin//pml_monitor status) status (180) output:</t>
  </si>
  <si>
    <t>[Master=78762, Aurora] LDAP user SID failed to resolve when query type is "LSA_QUERY_TYPE_BY_SID"</t>
  </si>
  <si>
    <t>[Master=78857, Aurora] setting ACLs behavior when we have different fshare sharing the same vfs and fstore</t>
  </si>
  <si>
    <t>[Master=78730, Aurora] [Customer: SafeTech] Protocol PML plugins failed to stop on PML shutdown with: SEVERE: Can't stop component Snapshot service Component: java.lang.NullPointerException-LocalAuth</t>
  </si>
  <si>
    <t>[Master=79031, Aurora] [Customer: Sjofartsverket] lwio throws an assert in InotifySetFcbMask()</t>
  </si>
  <si>
    <t>[Master=79021, Aurora] [Customer JSC Kor Standard Bank] Group Managed Service account (gMSA) didnâ€™t work when SMB2/3 disabled</t>
  </si>
  <si>
    <t>[Master=79176, Aurora] After removing VFS IP, fm_smb command for creating same share first time showing ERROR_INVALID_PARAMETER and second time succeeds though share already exists.</t>
  </si>
  <si>
    <t>[Master=79273, Aurora] Disk size is reported incorrectly for files created at root of share from 2K12R2 client</t>
  </si>
  <si>
    <t>akshay.ballal@hpe.com</t>
  </si>
  <si>
    <t>AvitusRedZoneCSV</t>
  </si>
  <si>
    <t>robin.kumar@hpe.com</t>
  </si>
  <si>
    <t>bertram.stoeckler@hpe.com</t>
  </si>
  <si>
    <t>[Master=67205, Aurora] [Customer: Wolfson Hospital,SafeTech,Baxter] HP-SMB stack crash on shutdown, SIGABRT with: lwio: [lwio] Failed to lock mutex: 22. Aborting program</t>
  </si>
  <si>
    <t>WIPRO, Analysis in Progress</t>
  </si>
  <si>
    <t>garrett.gor.phoonswadi@hpe.com</t>
  </si>
  <si>
    <t>[Master=81920, Aurora] [Customer: Baxter Pharmaceuticals] lwio responding to Create requests from clients with STATUS_PENDING resulting in a serious performance impact for customer</t>
  </si>
  <si>
    <t>DU/DL</t>
  </si>
  <si>
    <t>Data Unavailable</t>
  </si>
  <si>
    <t>[Master=82156, Aurora] [Customer: Baxter, Colt] lwio consumes all available CPU cores, work mostly consists of reads and writes in kernel space</t>
  </si>
  <si>
    <t>[Master=82352, Aurora] lwsmd service has been crashed on node0fs while I/O is in progress.</t>
  </si>
  <si>
    <t>       </t>
  </si>
  <si>
    <t>23 bugs (! waived, ! targeted, !documentation)</t>
  </si>
  <si>
    <t>[Master=78012, Aurora] [Customer: SafeTech] Unbound crond thread growth after PML restart</t>
  </si>
  <si>
    <t>[Master=82972, Aurora] Roaming profiles - failure to load profiles on logon of 42 users simultaneously</t>
  </si>
  <si>
    <t>[Master=83073, Aurora] SMB connection to specific node not allowed after I/O had failing with out of space</t>
  </si>
  <si>
    <t>[Master=83150, Aurora] Persistent handle fails reconnect during "more" of file during HP-SMB restart on node and then file cannot be reopened for ~3-4 minutes</t>
  </si>
  <si>
    <t>[Master=83334, Aurora] Observed lwsmd crash on 8 node chimera.</t>
  </si>
  <si>
    <t>[Master=83437, Aurora] Observed error "Remote I/O error" when performed online upgrade from Unity 1.1 to 1.3 with IO from NFS shares.</t>
  </si>
  <si>
    <t>[Master=83634, Aurora] Able to create SMB share on existing VFS using MMC, and it breaks share enumeration on the CLI</t>
  </si>
  <si>
    <t>Performance degradation over SMB protocols in 1.3 compared to 1.2</t>
  </si>
  <si>
    <t>[Master=83695, Aurora] User can change permissions of C$ share, but eventually fails with error</t>
  </si>
  <si>
    <t>[Master=83500, Aurora] Ldap authentication and user mapping not available on added nodes post cluster expansion</t>
  </si>
  <si>
    <t>[Master=83804, Aurora] Customer could incur loss of ability to set group to an ldap group with many members on an NFS V4 share.</t>
  </si>
  <si>
    <t>[Master=83960, Aurora] infinite loop in while statement in backup restore code</t>
  </si>
  <si>
    <t>[Master=84040, Aurora] FSCT run failing on node0fs due to  "A process (process=protocolsservic, pid=30217) crashed." causing FPG to failover to node1fs</t>
  </si>
  <si>
    <t>[Master=84045, Aurora] Online upgrade from 3.2.2.390-MU2 to 3.2.2.444-MU3  failed to upgrade node 0  with error  code 0x102F1208, due to frozen file system</t>
  </si>
  <si>
    <t>7 of those bugs are &lt; a week old</t>
  </si>
  <si>
    <t>In flux, re-eval later</t>
  </si>
  <si>
    <t>Allow into release test (with docs)</t>
  </si>
  <si>
    <t>Waive out of release</t>
  </si>
  <si>
    <t>Close no repro</t>
  </si>
  <si>
    <t>rezone to yellow</t>
  </si>
  <si>
    <t>NO waive</t>
  </si>
  <si>
    <t>7-June scrub w/ richard/mike gaines/beck/kari/leach/steve austin</t>
  </si>
  <si>
    <t>ron.chambers@hpe.com</t>
  </si>
  <si>
    <t>2weekIncoming</t>
  </si>
  <si>
    <t>FIXED</t>
  </si>
  <si>
    <t>RESOLVED</t>
  </si>
  <si>
    <t>INVALID</t>
  </si>
  <si>
    <t>DUPLICATE</t>
  </si>
  <si>
    <t>WONTFIX</t>
  </si>
  <si>
    <t>CLOSED</t>
  </si>
  <si>
    <t>filtered</t>
  </si>
  <si>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r>
      <rPr>
        <b/>
        <sz val="11"/>
        <color rgb="FF7030A0"/>
        <rFont val="Calibri"/>
        <family val="2"/>
        <scheme val="minor"/>
      </rPr>
      <t>master</t>
    </r>
  </si>
  <si>
    <r>
      <rPr>
        <sz val="11"/>
        <color theme="7"/>
        <rFont val="Calibri"/>
        <family val="2"/>
        <scheme val="minor"/>
      </rPr>
      <t>yellow</t>
    </r>
    <r>
      <rPr>
        <sz val="11"/>
        <color theme="1"/>
        <rFont val="Calibri"/>
        <family val="2"/>
        <scheme val="minor"/>
      </rPr>
      <t xml:space="preserve"> zones all milestones</t>
    </r>
  </si>
  <si>
    <r>
      <rPr>
        <sz val="11"/>
        <color rgb="FF66F725"/>
        <rFont val="Calibri"/>
        <family val="2"/>
        <scheme val="minor"/>
      </rPr>
      <t>green</t>
    </r>
    <r>
      <rPr>
        <sz val="11"/>
        <color theme="1"/>
        <rFont val="Calibri"/>
        <family val="2"/>
        <scheme val="minor"/>
      </rPr>
      <t xml:space="preserve"> zones all milestones</t>
    </r>
  </si>
  <si>
    <t>Resolved</t>
  </si>
  <si>
    <r>
      <rPr>
        <sz val="11"/>
        <color rgb="FFFF0000"/>
        <rFont val="Calibri"/>
        <family val="2"/>
        <scheme val="minor"/>
      </rPr>
      <t>RZ</t>
    </r>
    <r>
      <rPr>
        <sz val="11"/>
        <color theme="1"/>
        <rFont val="Calibri"/>
        <family val="2"/>
        <scheme val="minor"/>
      </rPr>
      <t xml:space="preserve"> </t>
    </r>
    <r>
      <rPr>
        <b/>
        <sz val="11"/>
        <color rgb="FF7030A0"/>
        <rFont val="Calibri"/>
        <family val="2"/>
        <scheme val="minor"/>
      </rPr>
      <t>master</t>
    </r>
  </si>
  <si>
    <r>
      <rPr>
        <sz val="11"/>
        <color rgb="FFFF0000"/>
        <rFont val="Calibri"/>
        <family val="2"/>
        <scheme val="minor"/>
      </rPr>
      <t>RZ</t>
    </r>
    <r>
      <rPr>
        <sz val="11"/>
        <color theme="1"/>
        <rFont val="Calibri"/>
        <family val="2"/>
        <scheme val="minor"/>
      </rPr>
      <t xml:space="preserve"> all milestones</t>
    </r>
  </si>
  <si>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r>
      <rPr>
        <sz val="11"/>
        <rFont val="Calibri"/>
        <family val="2"/>
        <scheme val="minor"/>
      </rPr>
      <t>all milestones</t>
    </r>
  </si>
  <si>
    <t>2 week snapshot</t>
  </si>
  <si>
    <t>4 bugs with target builds</t>
  </si>
  <si>
    <t>3 blocker bugs, 1 with a target build</t>
  </si>
  <si>
    <t>5 bugs on new User Mapping feature</t>
  </si>
  <si>
    <t>1 new bug added to ‘Waiver Requested’</t>
  </si>
  <si>
    <t>Top</t>
  </si>
  <si>
    <t>CANTREPRODUCE</t>
  </si>
  <si>
    <t>target milestone</t>
  </si>
  <si>
    <t>bedrock</t>
  </si>
  <si>
    <t>resolution type</t>
  </si>
  <si>
    <t>top</t>
  </si>
  <si>
    <t>Resolved (from the 2wk incoming)</t>
  </si>
  <si>
    <t>Incoming ( &lt;= 2weeks old)</t>
  </si>
  <si>
    <t>Open (from the 2wk incoming)</t>
  </si>
  <si>
    <t>total | fixed | dup |invalid | won't | can't |moved</t>
  </si>
  <si>
    <r>
      <rPr>
        <sz val="11"/>
        <color rgb="FFFF0000"/>
        <rFont val="Calibri"/>
        <family val="2"/>
        <scheme val="minor"/>
      </rPr>
      <t>RZ</t>
    </r>
    <r>
      <rPr>
        <sz val="11"/>
        <color theme="1"/>
        <rFont val="Calibri"/>
        <family val="2"/>
        <scheme val="minor"/>
      </rPr>
      <t xml:space="preserve"> </t>
    </r>
  </si>
  <si>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</si>
  <si>
    <t>2 week</t>
  </si>
  <si>
    <t>2weekresolved</t>
  </si>
  <si>
    <t>Solution CRB Request</t>
  </si>
  <si>
    <t>Resolution choices</t>
  </si>
  <si>
    <t>Classic milestones</t>
  </si>
  <si>
    <t>Store*</t>
  </si>
  <si>
    <t>Halo*</t>
  </si>
  <si>
    <t>3*</t>
  </si>
  <si>
    <t>6*</t>
  </si>
  <si>
    <t>MOVED</t>
  </si>
  <si>
    <t xml:space="preserve"> to 3Par/Rally</t>
  </si>
  <si>
    <t>&lt;= field used in querries, do not remove</t>
  </si>
  <si>
    <t>&lt;= last row|bug cksm =&gt;</t>
  </si>
  <si>
    <t>1.3 RedZone Summary</t>
  </si>
  <si>
    <t>2 week incoming/resolve/open statistics for all targets</t>
  </si>
  <si>
    <t>Summary (1.3 bugs) [top]
Resolved (all targets)
Incoming (all targets)</t>
  </si>
  <si>
    <t>Status Synopsis</t>
  </si>
  <si>
    <t>dipak.singh@hpe.com</t>
  </si>
  <si>
    <t>last row</t>
  </si>
  <si>
    <t>For Review</t>
  </si>
  <si>
    <t>23 bugs (! waived, ! targeted, !documentation)
7 of those bugs are &lt; a week old
4 bugs with target builds
3 blocker bugs, 1 with a target build
5 bugs on new User Mapping feature</t>
  </si>
  <si>
    <t>3.14.1 Asterix</t>
  </si>
  <si>
    <t>Support Communications</t>
  </si>
  <si>
    <t>Preexisting</t>
  </si>
  <si>
    <t>vishal.goel@hpe.com</t>
  </si>
  <si>
    <t>DEV_Regression_Daily</t>
  </si>
  <si>
    <t>3.13.X Zirkel Next</t>
  </si>
  <si>
    <t>steve.houle@hpe.com</t>
  </si>
  <si>
    <t>sasha.epstein@hpe.com</t>
  </si>
  <si>
    <t>3.15.0 Botanix</t>
  </si>
  <si>
    <t>iris.yi@hpe.com</t>
  </si>
  <si>
    <t>Atlas-1.2.3</t>
  </si>
  <si>
    <t>rimpa.paul@hpe.com</t>
  </si>
  <si>
    <t>Denied</t>
  </si>
  <si>
    <t xml:space="preserve"> ---</t>
  </si>
  <si>
    <t>nitin.prakash@hpe.com</t>
  </si>
  <si>
    <t>File Access Auditing</t>
  </si>
  <si>
    <t>Axion</t>
  </si>
  <si>
    <t>AuroraProtRedZone</t>
  </si>
  <si>
    <t>http://link.osp.hpe.com/u/24wb</t>
  </si>
  <si>
    <t>http://link.osp.hpe.com/u/268u</t>
  </si>
  <si>
    <t>AvitusProtRedZone</t>
  </si>
  <si>
    <t>DO NOT DELETE!</t>
  </si>
  <si>
    <t>DATA DRIVES RZ QUERIES</t>
  </si>
  <si>
    <t>pass=bzq</t>
  </si>
  <si>
    <t>bzlink</t>
  </si>
  <si>
    <t>*Aveng*</t>
  </si>
  <si>
    <t>BugList</t>
  </si>
  <si>
    <t>https://bugzilla.houston.hpecorp.net:1181/bugzilla/buglist.cgi?quicksearch=</t>
  </si>
  <si>
    <t>Temp Internet files</t>
  </si>
  <si>
    <t>C:\Users\mwroberts\AppData\Local\Temp\</t>
  </si>
  <si>
    <t>Browser path</t>
  </si>
  <si>
    <t>arnav.karforma@hpe.com</t>
  </si>
  <si>
    <t>FilterRegion</t>
  </si>
  <si>
    <t>$A$17:$AH$110</t>
  </si>
  <si>
    <t>Director Approved</t>
  </si>
  <si>
    <t>gabriel.vicoveanu@hpe.com</t>
  </si>
  <si>
    <t>subhabrata.mallick@hpe.com</t>
  </si>
  <si>
    <t>AxionProtRedZone</t>
  </si>
  <si>
    <t>http://link.osp.hpe.com/u/28yr</t>
  </si>
  <si>
    <t>tim.beaudin@hpe.com</t>
  </si>
  <si>
    <t>michael.haeuptle@hpe.com</t>
  </si>
  <si>
    <t>AvitusMaintRZ</t>
  </si>
  <si>
    <t>https://bugzilla.houston.hpecorp.net:1181/bugzilla/buglist.cgi?bug_status=NEW&amp;bug_status=ASSIGNED&amp;bug_status=REOPENED&amp;classification=Avatar%20based%20FileSystem%2BData%20Services&amp;classification=Protocols&amp;columnlist=bug_id%2Cassigned_to%2Cshort_desc%2Cbug_severity%2Ctarget_milestone%2Creporter%2Cstatus_whiteboard%2Cchangeddate%2Cbug_status%2Cversion%2Copendate%2Ccf_foundby%2Ckeywords%2Ccf_probability%2Cproduct%2Ccomponent%2Ccf_redzonereviewflag%2Cpriority%2Ccf_rnsccomplete%2Ccf_bedrock%2Ccf_targetbuild%2Ccf_crb%2Ccf_waivers%2Ccf_du_dl%2Ccf_cfi_number_text%2Ccf_statussynopsis&amp;component=%2AUnknown%20%28Triage%29-AAUM&amp;component=%2AUnknown%20%28Triage%29-FAA&amp;component=%2AUnknown%20%28Triage%29-NFS&amp;component=%2AUnknown%20%28Triage%29-SMB&amp;component=Authentication&amp;component=Authentication-AAUM&amp;component=Authentication-NFS&amp;component=Config%20Restore&amp;component=Cross-Protocols-AAUM&amp;component=Cross-Protocols-NFS&amp;component=Cross-Protocols-SMB&amp;component=Documentation-AAUM&amp;component=Documentation-NFS&amp;component=Documentation-SMB&amp;component=FAA-SMB&amp;component=IDsOnDisk&amp;component=Install%2FUpgrade-AAUM&amp;component=Install%2FUpgrade-NFS&amp;component=Install%2FUpgrade-SMB&amp;component=Legacy%20Manageability-NFS&amp;component=Legacy%20Manageability-SMB&amp;component=Manageability-AAUM&amp;component=Manageability-NFS&amp;component=Manageability-SMB&amp;component=Other-AAUM&amp;component=Other-NFS&amp;component=Other-SMB&amp;component=Server-AAUM&amp;component=Server-NFS&amp;component=Server-SMB&amp;component=User%20Mapping-AAUM&amp;f1=target_milestone&amp;f2=cf_bedrock&amp;list_id=1703644&amp;o1=substring&amp;o2=substring&amp;product=File%20Access%20Auditing&amp;product=Protocols-AAUM&amp;product=Protocols-NFS&amp;product=Protocols-SMB&amp;query_format=advanced&amp;v1=Avitus-&amp;v2=Red&amp;ctype=csv&amp;human=1</t>
  </si>
  <si>
    <t>Avitus-1.4-Maint</t>
  </si>
  <si>
    <t>RN / Support Comm Completion</t>
  </si>
  <si>
    <t>Avitus*</t>
  </si>
  <si>
    <t>ramani@hpe.com</t>
  </si>
  <si>
    <t>3.15.1 Botanix</t>
  </si>
  <si>
    <t>vivek.patra@hpe.com</t>
  </si>
  <si>
    <t>System Test: Performance Test</t>
  </si>
  <si>
    <t>[Master=104423, Axion] Regression - Repeated lwio Leasekey errors in /var/log/messages while running meatgrinder load against SMB share share</t>
  </si>
  <si>
    <t>Self Hosting</t>
  </si>
  <si>
    <t>Axion_1.5.0.29-20170927</t>
  </si>
  <si>
    <t>[Master=104712, Axion]Linux clients mounting hp-smb shares via Smb1  can't create new files</t>
  </si>
  <si>
    <t>[Master=104803, Axion][Customer: Tetra Pak AB] lwio: [lwio] ASSERTION FAILED: Expression = (ntStatus == ((LW_NTSTATUS)0x00000000)) File Name = '../lwio/server/srv/protocols/smb2/close.c' Line Num = '301'</t>
  </si>
  <si>
    <t>Avitus-1.4.2</t>
  </si>
  <si>
    <t>[Master=104712, Avitus-1.4-Maint]Linux clients mounting hp-smb shares via Smb1  can't create new files</t>
  </si>
  <si>
    <t>[Master=104803, Avitus-1.4-Maint][Customer: Tetra Pak AB] lwio: [lwio] ASSERTION FAILED: Expression = (ntStatus == ((LW_NTSTATUS)0x00000000)) File Name = '../lwio/server/srv/protocols/smb2/close.c' Line Num = '301'</t>
  </si>
  <si>
    <t>himangshu.ojha@hpe.com</t>
  </si>
  <si>
    <t>[Master=105089, Axion] Upgrade from 1.2.4.3 to 1.5.0.95 failed with error "File Services upgrade failed.(FAILED Failed to update File Services.)"</t>
  </si>
  <si>
    <t>Problem incurred when setting acl on SMB share</t>
  </si>
  <si>
    <t>AzhaProtRedZone</t>
  </si>
  <si>
    <t>CSV option</t>
  </si>
  <si>
    <t>&amp;ctype=csv&amp;human=1</t>
  </si>
  <si>
    <t>https://bugzilla.houston.hpecorp.net:1181/bugzilla/buglist.cgi?bug_status=NEW&amp;bug_status=ASSIGNED&amp;bug_status=REOPENED&amp;classification=Avatar%20based%20FileSystem%2BData%20Services&amp;classification=Protocols&amp;columnlist=bug_id%2Cassigned_to%2Cshort_desc%2Cbug_severity%2Ctarget_milestone%2Creporter%2Cstatus_whiteboard%2Cchangeddate%2Cbug_status%2Cversion%2Copendate%2Ccf_foundby%2Ckeywords%2Ccf_probability%2Cproduct%2Ccomponent%2Ccf_redzonereviewflag%2Cpriority%2Ccf_rnsccomplete%2Ccf_bedrock%2Ccf_targetbuild%2Ccf_crb%2Ccf_waivers%2Ccf_du_dl%2Ccf_cfi_number_text%2Ccf_statussynopsis&amp;component=%2AUnknown%20%28Triage%29-AAUM&amp;component=%2AUnknown%20%28Triage%29-FAA&amp;component=%2AUnknown%20%28Triage%29-NFS&amp;component=%2AUnknown%20%28Triage%29-SMB&amp;component=Authentication&amp;component=Authentication-AAUM&amp;component=Authentication-NFS&amp;component=Config%20Restore&amp;component=Cross-Protocols-AAUM&amp;component=Cross-Protocols-NFS&amp;component=Cross-Protocols-SMB&amp;component=Documentation-AAUM&amp;component=Documentation-NFS&amp;component=Documentation-SMB&amp;component=FAA-SMB&amp;component=IDsOnDisk&amp;component=Install%2FUpgrade-AAUM&amp;component=Install%2FUpgrade-NFS&amp;component=Install%2FUpgrade-SMB&amp;component=Legacy%20Manageability-NFS&amp;component=Legacy%20Manageability-SMB&amp;component=Manageability-AAUM&amp;component=Manageability-NFS&amp;component=Manageability-SMB&amp;component=Other-AAUM&amp;component=Other-NFS&amp;component=Other-SMB&amp;component=Server-AAUM&amp;component=Server-NFS&amp;component=Server-SMB&amp;component=User%20Mapping-AAUM&amp;f1=target_milestone&amp;f2=cf_bedrock&amp;list_id=1819440&amp;o1=substring&amp;o2=substring&amp;product=File%20Access%20Auditing&amp;product=Protocols-AAUM&amp;product=Protocols-NFS&amp;product=Protocols-SMB&amp;query_format=advanced&amp;v1=Azha&amp;v2=Red&amp;ctype=csv&amp;human=1</t>
  </si>
  <si>
    <t>Azha</t>
  </si>
  <si>
    <t>Forwardport_Needed</t>
  </si>
  <si>
    <t>Azha_1.6.0-20170927</t>
  </si>
  <si>
    <t>[Master=104423, Azha] Regression - Repeated lwio Leasekey errors in /var/log/messages while running meatgrinder load against SMB share share</t>
  </si>
  <si>
    <t>WIPRO, Review Completed â€“ Ready to Check-in</t>
  </si>
  <si>
    <t>[Master=104712, Azha]Linux clients mounting hp-smb shares via Smb1  can't create new files</t>
  </si>
  <si>
    <t>[Master=104803, Azha][Customer: Tetra Pak AB] lwio: [lwio] ASSERTION FAILED: Expression = (ntStatus == ((LW_NTSTATUS)0x00000000)) File Name = '../lwio/server/srv/protocols/smb2/close.c' Line Num = '301'</t>
  </si>
  <si>
    <t>k</t>
  </si>
  <si>
    <t>Affected Target Milestone</t>
  </si>
  <si>
    <t>[Master]SMB server hang during combined File (FSCT) and block workload</t>
  </si>
  <si>
    <t>[Master] [Customer: HPE] Size on disk reported incorrectly over SMB 3.0</t>
  </si>
  <si>
    <t>chad.mitchell@hpe.com</t>
  </si>
  <si>
    <t>6.5.x (Ghost patch)</t>
  </si>
  <si>
    <t>[Master=101954, Axion] REST API requests that contain inter-node communication must be async</t>
  </si>
  <si>
    <t>[Master] [Customer:  NWS Holdings Limited] lwsmd crashed, CIFS shares not accessible</t>
  </si>
  <si>
    <t>Analysis in Progress</t>
  </si>
  <si>
    <t>[Master] [Customer: Department of Insurance Idaho, Nikon, The cloud, Accor, BigLots, Victorinox, Omnicom] HP-SMB crashes</t>
  </si>
  <si>
    <t>17241, 17341</t>
  </si>
  <si>
    <t>[Master][valgrind] apparent leak in UpdatePHSWithBRLInfo</t>
  </si>
  <si>
    <t>WIPRO - Ready to checkin</t>
  </si>
  <si>
    <t>Runtime Analysis Tools (e.g. Valgrind)</t>
  </si>
  <si>
    <t>[Master=97056, Axion] [Customer: Tetra Pak AB] Stuck in starting state - PML threads exhausted, due to hang in SMB share enumeration</t>
  </si>
  <si>
    <t>Axion_1.5.0.28-20170920</t>
  </si>
  <si>
    <t>[Master][Customer: Raytheon] Windows backup fails with "The sector size of the physical disk on which the virtual disk resides is not supported"</t>
  </si>
  <si>
    <t>[Master][Customer: Tetra Pak AB] When using the Open Files functionality in MMC, Error 6: The handle is invalid is often returned, GDB captured STATUS_INVALID_HANDLE</t>
  </si>
  <si>
    <t>Escape, One-off_Patch, Zone_Increased</t>
  </si>
  <si>
    <t>[Master][Customer: Ternium] JVM consumes all CPU cores and eventually exhausts thread pool with: The thread pool's task queue is full, limit: 75</t>
  </si>
  <si>
    <t>[Master=99364, Axion] different error messages for same failure within faa - SMB</t>
  </si>
  <si>
    <t>Axion_1.5.0.24-20170823</t>
  </si>
  <si>
    <t>[Master=99547, Axion] Problem with failover with a shutoff node</t>
  </si>
  <si>
    <t>[Master=98888, Axion] [Customer: Ternium] JVM consumes all CPU cores and eventually exhausts thread pool with: The thread pool's task queue is full, limit: 75</t>
  </si>
  <si>
    <t>[Master] REST API requests that contain inter-node communication must be async</t>
  </si>
  <si>
    <t>sobhan.patra@hpe.com</t>
  </si>
  <si>
    <t>[Master] [Protocols-SMB] HP-SMB crashes during startup when trying to retrieve VFS IPs too early from PML</t>
  </si>
  <si>
    <t>[Master=102417, Axion]All nodes went into starting state and then node1 observed in starting state multiple times.</t>
  </si>
  <si>
    <t>SMB shares unavailable:  HPEIdmapd: HPEIdmapdNetlinkServer.cc:507:sendPackets(): Failed to process response, dumping it.</t>
  </si>
  <si>
    <t>[Master]hpeidmapd client library: minor memory leak during initialization</t>
  </si>
  <si>
    <t>[Master=98755, Avitus-1.4.2][Customer: Tetra Pak AB, CHS, Mitsubishi] share access lost, 40 lsass threads waiting on AD_NetlogonAuthenticationUserEx Schannel lock calls</t>
  </si>
  <si>
    <t>Avitus_1.4.2-20170920</t>
  </si>
  <si>
    <t>[Master]Core files generated for lwsmd services while running Username mapping tests</t>
  </si>
  <si>
    <t>kaustabh.mitra@hpe.com</t>
  </si>
  <si>
    <t>[Master=104265, Azha] Core files generated for lwsmd services while running Username mapping tests</t>
  </si>
  <si>
    <t>[Master]SMB server should configure non corrupted share by skipping corrupted share entries.</t>
  </si>
  <si>
    <t>[Master=94968, Avitus-1.4.2] [Customer: Tetra Pak AB,Kforce] ASSERTION FAILED: Expression = (ntStatus == ((LW_NTSTATUS)0x00000000)) File Name = '../lwio/server/srv/protocols/smb2/lock.c' Line Num = '992'</t>
  </si>
  <si>
    <t>Avitus_1.4.2-20170927</t>
  </si>
  <si>
    <t>kankana.samanta@hpe.com</t>
  </si>
  <si>
    <t>[Master=87060, Azha] [Customer: Unipol]: lwiod crashed, NAS shares inaccessible</t>
  </si>
  <si>
    <t>Azha_1.6.0-20170920</t>
  </si>
  <si>
    <t>11730, 18157</t>
  </si>
  <si>
    <t>[Master=104485, Axion]SMB server should configure non corrupted share by skipping corrupted share entries.</t>
  </si>
  <si>
    <t>[Master=104485, Azha]SMB server should configure non corrupted share by skipping corrupted share entries.</t>
  </si>
  <si>
    <t>[Master=94968, Azha] [Customer: Tetra Pak AB,Kforce] ASSERTION FAILED: Expression = (ntStatus == ((LW_NTSTATUS)0x00000000)) File Name = '../lwio/server/srv/protocols/smb2/lock.c' Line Num = '992'</t>
  </si>
  <si>
    <t>anish.shah@hpe.com</t>
  </si>
  <si>
    <t>1.6 Build Failure; duplicate definition of ISIS_IOCTL_NATIVE_ADS_ENABLED</t>
  </si>
  <si>
    <t>12 "NtfsMode" test failures observed in funtest pipleline on latest Axion build</t>
  </si>
  <si>
    <t>Test Suite-SMB</t>
  </si>
  <si>
    <t>[Master=97056, Azha] [Customer: Tetra Pak AB, Sabic] Stuck in starting state - PML threads exhausted, due to hang in SMB share enumeration</t>
  </si>
  <si>
    <t>[Master=105089, Azha] Upgrade from 1.2.4.3 to 1.5.0.95 failed with error "File Services upgrade failed.(FAILED Failed to update File Services.)"</t>
  </si>
  <si>
    <t>[Master=78858, 66maint] [Customer: HPE] Size on disk reported incorrectly over SMB 3.0</t>
  </si>
  <si>
    <t>66maint</t>
  </si>
  <si>
    <t>[Master=74876, Avitus] The implied legacy stree ACL is no longer being rewritten into the default SMB ACL after an SMB share is added if there are hidden files</t>
  </si>
  <si>
    <t>FP - Technical Backlog</t>
  </si>
  <si>
    <t>[Master=75226, Avitus] Robocopy job infrequently failed during failover with â€œThe system cannot find the file specifiedâ€ resulting in no retry</t>
  </si>
  <si>
    <t>[Master=43596, Avitus] (IR12) - User quota on a Roaming profile user allows to create upto one file less than the hard inode limit. (Win Client - WinXP, AD server - WinServer 2008)</t>
  </si>
  <si>
    <t>QPnT &amp; SERT- Scrubbed Zoning</t>
  </si>
  <si>
    <t>[Master=53313, Avitus] error "The specified group does not exist" changing folder permissions from Windows Client, if a invalid gid owns the folder in question</t>
  </si>
  <si>
    <t>[Master] [psmt] Group User without write permission is able to write into the file in Posix File Store</t>
  </si>
  <si>
    <t>[Master=74009, Avitus] ntfs acl plugin can overrun buffer in ntfs_acl packing code</t>
  </si>
  <si>
    <t>[Master=71280, Avitus] Error " An invalid oplock acknowledgment was received by the system." observed during continuous hours of meat grinder test</t>
  </si>
  <si>
    <t>[Master=66942, Avitus] cross proto:locking: delete file is blocked from windows share when file is being locked with LOCK_MAND | LOCK_WRITE on fs server, but no error is returned and it looks like it succeeded from Windows</t>
  </si>
  <si>
    <t>[Master=93102, Avitus] SMBTorture failure is observed for Unity 1.4</t>
  </si>
  <si>
    <t>[Master=34651, 4.1.0 Avengers] Changing share permissions with MMC very slow or fails on 8-node X9730 - returns "Not Responding" or fails with "The Remote Procedure Call Failed"</t>
  </si>
  <si>
    <t>4.1.0 Avengers</t>
  </si>
  <si>
    <t>[Master=91086, 3.17.1 Dastardly] [Customer:  NWS Holdings Limited] lwsmd crashed, CIFS shares not accessible</t>
  </si>
  <si>
    <t>3.17.1 Dastardly</t>
  </si>
  <si>
    <t>CRB-Awaiting Approval</t>
  </si>
  <si>
    <t>Core Team Approved</t>
  </si>
  <si>
    <t>[Master=95394, 3.17.1 Dastardly] [Customer: Department of Insurance Idaho, Nikon, The cloud, Accor, BigLots, Victorinox, Omnicom] HP-SMB crashes</t>
  </si>
  <si>
    <t>[Master=99695, 3.17.1 Dastardly] [Customer: US Army] Need to be able to disable SMB1</t>
  </si>
  <si>
    <t>3.16.2 Cacophonix</t>
  </si>
  <si>
    <t>[Master=52716, 3.17.1 Dastardly] SMB server hang during combined File (FSCT) and block workload</t>
  </si>
  <si>
    <t>[Master=96060, 3.17.1 Dastardly] [Customer: TURKUAZ TEKSTIL, Microfinance, LaTrobe]  lwio: ASSERTION FAILED: Expression = ((((LW_NTSTATUS)0x00000103) == status) || (pIrp-&gt;IoStatusBlock.Status == status))</t>
  </si>
  <si>
    <t>[Master=87060, 3.17.1 Dastardly] [Customer: Unipol]: lwiod crashed, NAS shares inaccessible</t>
  </si>
  <si>
    <t>[Master=98917, Bellatrix] [Customer: Mitsubishi Electric Information Network Corporation, Orange] fail to remove fstore when fshare is generated with -shardir option</t>
  </si>
  <si>
    <t>Bellatrix</t>
  </si>
  <si>
    <t>Open to track F822 for ERT visibility</t>
  </si>
  <si>
    <t>shamik.basu@hpe.com</t>
  </si>
  <si>
    <t>[Coverity] - REVERSE_INULL reported by Coverity on lwreg</t>
  </si>
  <si>
    <t>[Master]Change of owner changing the Mode bits on share.</t>
  </si>
  <si>
    <t>[Coverity] -Issue of type 'REVERSE_INULL' reported by Coverity on lwdns and lwio</t>
  </si>
  <si>
    <t>[Coverity] -Issue of type 'FORWARD_NULL' reported by Coverity on lwadvapi</t>
  </si>
  <si>
    <t>[Coverity] -Issue of type 'FORWARD_NULL' reported by Coverity on lwbase</t>
  </si>
  <si>
    <t>[Master=87060, Botanix] [Customer: Unipol]: lwiod crashed, NAS shares inaccessible</t>
  </si>
  <si>
    <t>3.15.2 Botanix</t>
  </si>
  <si>
    <t>Waiting for CRB approval</t>
  </si>
  <si>
    <t>[Master=103533, 3.17.1 Dastardly] PSRT110568 - SMB service attack, likewise based code used in HPE products (Dell PSRC-4652)</t>
  </si>
  <si>
    <t>disable SMBv1 AD not happening clusterwide</t>
  </si>
  <si>
    <t>WIPRO, Retest done</t>
  </si>
  <si>
    <t>[Daily 1.6] ADE devel build failure due to MACRO re-definition</t>
  </si>
  <si>
    <t>rajesh.shaw@hpe.com</t>
  </si>
  <si>
    <t>[Master]Linux clients mounting hp-smb shares via Smb1  can't create new files</t>
  </si>
  <si>
    <t>smb1 dogfood; WIPRO, Triaging in Progress</t>
  </si>
  <si>
    <t>Config restore failed with error "Failed to send mtree state change." for component com.hp.storage.pml.file.smb.impl.backuprestore.SMBBackupRestore</t>
  </si>
  <si>
    <t>Config Restore</t>
  </si>
  <si>
    <t>Corefile got generated and lsaas process seen aborted after executing UNM tests</t>
  </si>
  <si>
    <t xml:space="preserve">WIPRO, Retest reqiured to repro </t>
  </si>
  <si>
    <t>[Daily 1.6] Azha-QR-ISO-DAILY build failure while formatting the device</t>
  </si>
  <si>
    <t>ACE "EVERYONE@rwaDdxtTnNcCoy" on a SMB share is not providing write access to AD and LDAP (samba) users on the share</t>
  </si>
  <si>
    <t>[Axion] Missing header results in Axion-RPM-Build-DAILY build failure</t>
  </si>
  <si>
    <t>Smb share not reporting the space utilization from client size</t>
  </si>
  <si>
    <t>WIPRO, Triaging in progress</t>
  </si>
  <si>
    <t>Funtest: sporadic failures of Windows client to create dir or file on legacy stree SMB share, with powershell error message "The specified server cannot perform the requested operation"</t>
  </si>
  <si>
    <t>[Master][Customer: Tetra Pak AB] lwio: [lwio] ASSERTION FAILED: Expression = (ntStatus == ((LW_NTSTATUS)0x00000000)) File Name = '../lwio/server/srv/protocols/smb2/close.c' Line Num = '301'</t>
  </si>
  <si>
    <t>kyle.jos.poirier@hpe.com</t>
  </si>
  <si>
    <t>NFS fails to mount a share during run of funtest</t>
  </si>
  <si>
    <t>WIPRO, Triaging in Progress</t>
  </si>
  <si>
    <t>[Master=104132, D2D Future] [Customer: SOUTH CENTRAL AMBULANCE SERVICE] CIFS server crash / RBTree entry corruption</t>
  </si>
  <si>
    <t>D2D future</t>
  </si>
  <si>
    <t>[Master=99695, 4.1.0 Avengers] [Customer: US Army] Need to be able to disable SMB1</t>
  </si>
  <si>
    <t>martin.mathias@hpe.com</t>
  </si>
  <si>
    <t>3.16.3 Cacophonix</t>
  </si>
  <si>
    <t>[Master] Upgrade from 1.2.4.3 to 1.5.0.95 failed with error "File Services upgrade failed.(FAILED Failed to update File Services.)"</t>
  </si>
  <si>
    <t>"Authentication token manipulation error " received while changing password in console</t>
  </si>
  <si>
    <t>4.0.0 Archangel</t>
  </si>
  <si>
    <t>uttama.banerjee@hpe.com</t>
  </si>
  <si>
    <t>MuFi</t>
  </si>
  <si>
    <t>lwsm stop sometimes hangs causing funtest instability</t>
  </si>
  <si>
    <t>Problems with tests trying to block traffic to AD</t>
  </si>
  <si>
    <t>BugId</t>
  </si>
  <si>
    <t>AssignedTo</t>
  </si>
  <si>
    <t>TargetMilestone</t>
  </si>
  <si>
    <t>Creator</t>
  </si>
  <si>
    <t>LastChangeTime</t>
  </si>
  <si>
    <t>CreationTime</t>
  </si>
  <si>
    <t>CfFoundBy</t>
  </si>
  <si>
    <t>CfAlsoSeenBy</t>
  </si>
  <si>
    <t>CfProbability</t>
  </si>
  <si>
    <t>CfDefectType</t>
  </si>
  <si>
    <t>CfRedZoneReviewFlag</t>
  </si>
  <si>
    <t>CfReleaseNote</t>
  </si>
  <si>
    <t>CfBedrock</t>
  </si>
  <si>
    <t>CfTargetBuild</t>
  </si>
  <si>
    <t>CfCrb</t>
  </si>
  <si>
    <t>CfWaivers</t>
  </si>
  <si>
    <t>CfDuDl</t>
  </si>
  <si>
    <t>CfCfiNumberText</t>
  </si>
  <si>
    <t>CfStatusSynopsis</t>
  </si>
  <si>
    <t/>
  </si>
  <si>
    <t>u</t>
  </si>
  <si>
    <t>Not Set string</t>
  </si>
  <si>
    <t>aa</t>
  </si>
  <si>
    <t>Support plan</t>
  </si>
  <si>
    <t>Axion*</t>
  </si>
  <si>
    <t>19390</t>
  </si>
  <si>
    <t>No</t>
  </si>
  <si>
    <t>Axion-1.5.1</t>
  </si>
  <si>
    <t>20970</t>
  </si>
  <si>
    <t>[Master=119951, Azha] [Customer: BlueCrest] Poor file access performance with SMB oplocks enabled</t>
  </si>
  <si>
    <t>[Master=119953, Azha] [Customer: BlueCrest] HP-SMB stack becomes unresponsive for 4-6 seconds, STATUS_ACCESS_DENIED is returned from the first create request when lwio becomes unresponsive</t>
  </si>
  <si>
    <t>john.fiorillo@hpe.com</t>
  </si>
  <si>
    <t>21195</t>
  </si>
  <si>
    <t>Previous_Deferral,Regression_NPI-1</t>
  </si>
  <si>
    <t>sivakumar.jayabalan@hpe.com</t>
  </si>
  <si>
    <t>[Master=123712, Azha] lsass memory leak with usermapping enabled and local stacked first causes slow performance and cannot map share (DU)</t>
  </si>
  <si>
    <t>Axion-1.5.5</t>
  </si>
  <si>
    <t>[Master=112966, Azha] Modification of VFS IP after upgrade resulted in timeout due to ERROR REMOVING BIND MOUNT</t>
  </si>
  <si>
    <t>21874</t>
  </si>
  <si>
    <t>[Master=124446, Azha] [Customer: Canadian Blood Service] NFS-subsystem hang. All nfsd-tasks blocked error:  nfsd: peername failed (err 107)!  seen repeatedly in syslog</t>
  </si>
  <si>
    <t>Failed to deactivate fpg - RPC error umount error : filesystem mountpoint  directory is busy. Filesystem jffpg2 host node1fs.</t>
  </si>
  <si>
    <t>WIPRO- Analysis in progress</t>
  </si>
  <si>
    <t>RN and Support Comm</t>
  </si>
  <si>
    <t>Support plan review requested</t>
  </si>
  <si>
    <t>daisuke.oouchi@hpe.com</t>
  </si>
  <si>
    <t>3-April: re-engage after 1.5.5 and 1.5.6 issues cleared, 3 weeks</t>
  </si>
  <si>
    <t>Can't reproduce, Self healed</t>
  </si>
  <si>
    <t>A C# application (like BluescreenFileWatcher) calling EnumerateFileSystemEntries API can trigger a memory leak induced SMB server crash when its not honoring the API contract</t>
  </si>
  <si>
    <t>[Customer Chung Yu Information Co. Ltd] Windows 10 overwrite pop up delay.</t>
  </si>
  <si>
    <t>Escape,Zone_Increased</t>
  </si>
  <si>
    <t>22027</t>
  </si>
  <si>
    <t>[Customer: FocusLights]  Unable to create new folder with name "02" in particular folder path, possible watch descriptor lifetime releated</t>
  </si>
  <si>
    <t>22094</t>
  </si>
  <si>
    <t>Alert: protocols-health:comp.health.unknown - Alert was generated and never cleared</t>
  </si>
  <si>
    <t>ashaw@hpe.com</t>
  </si>
  <si>
    <t>lw-healthMon kills hp-smb for some reason</t>
  </si>
  <si>
    <t>[Customer: Tetra Pak, Exeed Limited,Regionalspital Emmental AG] SRVSVC aborted and self heals because lwmsg timeout</t>
  </si>
  <si>
    <t>[Master=125496, Azha] [Customer: GEHC] After domain marked offline, programmatic reconnect attempts fail in netlogon LWNetSrvPingCLdapProcess</t>
  </si>
  <si>
    <t>22116</t>
  </si>
  <si>
    <t>[Customer: Lesta] lwio assertion failed with 'IRP cannot be completed more than once.'</t>
  </si>
  <si>
    <t>22231</t>
  </si>
  <si>
    <t>Memory leak observed for LWIO in HP-SMB with load test and packet dropping tool clumsy</t>
  </si>
  <si>
    <t>If nfs services are down on both nodes in a pair, failover may be triggered without resolving an availability issue</t>
  </si>
  <si>
    <t>Axion-1.5.4</t>
  </si>
  <si>
    <t>[Master=125972, Azha] Enumerate local objects from PML auth cache</t>
  </si>
  <si>
    <t>Axion-1.5.6</t>
  </si>
  <si>
    <t>HP-SMB code failing in 'domain join' when strong encryption enabled: need to support RFC - 6806</t>
  </si>
  <si>
    <t>LWIO Crash observed with Load test with network interruption</t>
  </si>
  <si>
    <t>Azha_1.6.0-20190619</t>
  </si>
  <si>
    <t>Azha_1.6.0-20190626</t>
  </si>
  <si>
    <t>CID 14761 (#1 of 1): Resource leak (RESOURCE_LEAK) 25. leaked_storage: Variable sessionDomain going out of scope leaks the storage it points to</t>
  </si>
  <si>
    <t>Azha_1.6.0-20190612</t>
  </si>
  <si>
    <t>pritam.saha@hpe.com</t>
  </si>
  <si>
    <t>[Master=126924, Azha] lwio segfault in new DCN code</t>
  </si>
  <si>
    <t>331p88triage</t>
  </si>
  <si>
    <t>ProtocolsSMB-RedZone</t>
  </si>
  <si>
    <t>https://bugzilla.houston.hpecorp.net:1181/bugzilla/buglist.cgi?cmdtype=runnamed&amp;namedcmd=ProtocolsSMB-RedZone&amp;ctype=csv&amp;human=1</t>
  </si>
  <si>
    <t>C:\Program Files\Mozilla Firefox\firefox.exe</t>
  </si>
  <si>
    <t>avika.tiwari@hpe.com</t>
  </si>
  <si>
    <t>HP-SMB response Windows Server 2019 to IOCTL request FSCTL_IS_VOLUME_DIRTY may not be correct.</t>
  </si>
  <si>
    <t>HP-SMB does not respond to 2 compound requests from Windows Server 2019 client causing forward progress to stop on SPECSFS Home Directory test.</t>
  </si>
  <si>
    <t>4.1.1 Avengers</t>
  </si>
  <si>
    <t>P1: - 28-Aug: Root cause known, Auth team working on fix</t>
  </si>
  <si>
    <t>[Customer: BlueCrest] poor SMB server performance with CA disabled</t>
  </si>
  <si>
    <t>P1: Analyzing possible fixes, HotFix 124364 submitted</t>
  </si>
  <si>
    <t>Can't save photo clip from Windows Photo Application to FilePersona  hp-smb share</t>
  </si>
  <si>
    <t>P1: Will triage after 96995 async Cancel requests ETA 25-Sept</t>
  </si>
  <si>
    <t>LWSMD Crash after AD join caused by health monitor</t>
  </si>
  <si>
    <t>P1: Triage schedule for 04-Sept; Prioritzed behind 3.3.1 MU5 merge and Simplivity bring-up</t>
  </si>
  <si>
    <t>andrea.tanner@hpe.com</t>
  </si>
  <si>
    <t>Target fix for 3.18.18</t>
  </si>
  <si>
    <t>Escape, Fix_Available, Reopened-Other</t>
  </si>
  <si>
    <t>[Customer: SHARDUL AMARCHAND MANGALDAS &amp; CO] lwio assertion failed in SrvProcessLockRequest_SMB_V2</t>
  </si>
  <si>
    <t>Axion-1.5.3 (1.5.1.900)</t>
  </si>
  <si>
    <t>P2 - requires rearchitecture of PH: long term fix</t>
  </si>
  <si>
    <t>[Master=126847, TestFramework] Observed multiple lwsmd crashes on the cluster while performing bluecrest(enabled oplock, DCN and rfc2307) regression for upgrade testing.</t>
  </si>
  <si>
    <t>TestFramework</t>
  </si>
  <si>
    <t>5/31: NEED DEV UPDATE</t>
  </si>
  <si>
    <t>P2: Requires deeper investigation</t>
  </si>
  <si>
    <t>[Master=124119, Azha] hp-smb server will grant a  Lease if requested, regardless if Leases are enabled/disabled in registry</t>
  </si>
  <si>
    <t>Azha_1.6.0-20191016</t>
  </si>
  <si>
    <t>P1: current investigations in Lease area may help</t>
  </si>
  <si>
    <t>P2: - substantial investigation and no root cause</t>
  </si>
  <si>
    <t>[Master=122666, Azha] [Customer: Bluecrest] smb process killed by lw-healthMon intermittent on all vm nodes.</t>
  </si>
  <si>
    <t>P1: evaluate BlueCrest's experience with 1.5.5 "go live", then proceeed as indicated</t>
  </si>
  <si>
    <t>P2 - need Bluecrest feedback; Recommend CFI monitor or close</t>
  </si>
  <si>
    <t>P1: still waiting for CU feedback; Waiting for customer to get P80 and retry</t>
  </si>
  <si>
    <t>P1: Several Self-Healing bugs; proposed work around to disable self healing at customer site;</t>
  </si>
  <si>
    <t>[Master=126691, Azha] SMB share creation on 8-node with Vlan tagging + cluster expansion failed with error "Unexpected error ERROR_GEN_FAILURE happened during Create SMB share"</t>
  </si>
  <si>
    <t>P2: - no new instances of problem, no target</t>
  </si>
  <si>
    <t>Bench Test</t>
  </si>
  <si>
    <t>P1: Work tracked in Jira PROS-723</t>
  </si>
  <si>
    <t>*cat*</t>
  </si>
  <si>
    <t>[Master=129159, Black_Cat] [Customer: CONSEL CONSORZIO] Windows service can't authenticate using computer account</t>
  </si>
  <si>
    <t>Black_Cat</t>
  </si>
  <si>
    <t>jon.bathie@hpe.com</t>
  </si>
  <si>
    <t>User unable to change attributes and ownership on FP SMB share files created on MAC Client.</t>
  </si>
  <si>
    <t>P1: Wireshark trace received, will investigate after HF01 and Win2019 issues</t>
  </si>
  <si>
    <t>P1: will investigate after HF01 releases</t>
  </si>
  <si>
    <t>Azha_1.6.0-20190925</t>
  </si>
  <si>
    <t>[Master=129503, Azha] assertion failures in PvfspOplockIncrementCounter and PvfsOplockDecrementCounter</t>
  </si>
  <si>
    <t>MAC Client is able to write on a file which is set as read-only by Windows Client(FP share).</t>
  </si>
  <si>
    <t>[Master=129159, 3.18.19 Esoteric] [Customer: CONSEL CONSORZIO] Windows service can't authenticate using computer account</t>
  </si>
  <si>
    <t>3.18.19 Esoteric</t>
  </si>
  <si>
    <t>[Master=104132, 3.18.19 Esoteric] [Customer: SOUTH CENTRAL AMBULANCE SERVICE] CIFS server crash / RBTree entry corruption</t>
  </si>
  <si>
    <t>P2: workaround exists for SO</t>
  </si>
  <si>
    <t>Escape, FP_Field_Priority</t>
  </si>
  <si>
    <t>Azha_1.6.0-20191030</t>
  </si>
  <si>
    <t>MaxRow</t>
  </si>
  <si>
    <t>.</t>
  </si>
  <si>
    <t>P0: being worked by BLR SMB team</t>
  </si>
  <si>
    <t>P1: Will investigate after Win10 and Win2019 work</t>
  </si>
  <si>
    <t>P1:triage underway, anticipate results by end of Sept</t>
  </si>
  <si>
    <t>saurabh.singh4@hpe.com</t>
  </si>
  <si>
    <t>lwio process crash running Bluecrest stress tests after fpg reached 90% capacity</t>
  </si>
  <si>
    <t>QPnT: Maintenance Release Test</t>
  </si>
  <si>
    <t>[Master=96929, Azha][Smbtorture][Customer Chung Yu Information Co. Ltd]  Notify tests failing -  Synchronous Notify Cancel request not currently implemented</t>
  </si>
  <si>
    <t>smbdev@hpe.com</t>
  </si>
  <si>
    <t>[Customer: Government Digital Service]  Contents of .snapshot in a sub-directories not displayed from the client because of Symbolic links.</t>
  </si>
  <si>
    <t>Axion-1.5.4 (1.5.1.910)</t>
  </si>
  <si>
    <t>Lost SMB share after autofailover of 128TB fpgs</t>
  </si>
  <si>
    <t>P1: Will investigate after MU5 Bug 281936</t>
  </si>
  <si>
    <t>Failed to modify share "ERROR_INVALID_PARAMETER happened during Modify SMB share eng_profile$" then share disappeared. Attempted failover to recover and lost share access - DU</t>
  </si>
  <si>
    <t>P0: PML to look at errors</t>
  </si>
  <si>
    <t>P0: Workaround for customer is available</t>
  </si>
  <si>
    <t>P1: active investigation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</si>
</sst>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
    <numFmt numFmtId="165" formatCode="????"/>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7"/>
      <color theme="1"/>
      <name val="Times New Roman"/>
      <family val="1"/>
    </font>
    <font>
      <b/>
      <sz val="11"/>
      <color rgb="FFFF0000"/>
      <name val="Calibri"/>
      <family val="2"/>
      <scheme val="minor"/>
    </font>
    <font>
      <u/>
      <sz val="11"/>
      <color theme="1"/>
      <name val="Calibri"/>
      <family val="2"/>
      <scheme val="minor"/>
    </font>
    <font>
      <sz val="11"/>
      <name val="Calibri"/>
      <family val="2"/>
      <scheme val="minor"/>
    </font>
    <font>
      <sz val="11"/>
      <color theme="7"/>
      <name val="Calibri"/>
      <family val="2"/>
      <scheme val="minor"/>
    </font>
    <font>
      <sz val="11"/>
      <color rgb="FF66F725"/>
      <name val="Calibri"/>
      <family val="2"/>
      <scheme val="minor"/>
    </font>
    <font>
      <b/>
      <sz val="11"/>
      <color rgb="FF7030A0"/>
      <name val="Calibri"/>
      <family val="2"/>
      <scheme val="minor"/>
    </font>
    <font>
      <b/>
      <sz val="14"/>
      <color theme="1"/>
      <name val="Calibri"/>
      <family val="2"/>
      <scheme val="minor"/>
    </font>
    <font>
      <sz val="16"/>
      <color rgb="FF2E74B5"/>
      <name val="Calibri Light"/>
      <family val="2"/>
    </font>
    <font>
      <sz val="11"/>
      <color rgb="FF000000"/>
      <name val="Calibri"/>
      <family val="2"/>
    </font>
  </fonts>
  <fills count="47">
    <fill>
      <patternFill patternType="none"/>
    </fill>
    <fill>
      <patternFill patternType="gray125"/>
    </fill>
    <fill>
      <patternFill patternType="solid">
        <fgColor theme="0" tint="-0.14999847407452621"/>
        <bgColor indexed="64"/>
      </patternFill>
    </fill>
    <fill>
      <patternFill patternType="solid">
        <fgColor rgb="FF00B05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5" tint="0.59999389629810485"/>
        <bgColor indexed="64"/>
      </patternFill>
    </fill>
    <fill>
      <patternFill patternType="solid">
        <fgColor rgb="FF66F72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tint="0.59999389629810485"/>
        <bgColor indexed="64"/>
      </patternFill>
    </fill>
    <fill>
      <patternFill patternType="solid">
        <fgColor theme="2"/>
        <bgColor indexed="64"/>
      </patternFill>
    </fill>
    <fill>
      <patternFill patternType="solid">
        <fgColor theme="2" tint="-9.9978637043366805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s>
  <cellStyleXfs count="43">
    <xf numFmtId="0" fontId="0" fillId="0" borderId="0"/>
    <xf numFmtId="0" fontId="3" fillId="0" borderId="0" applyNumberFormat="0" applyFill="0" applyBorder="0" applyAlignment="0" applyProtection="0"/>
    <xf numFmtId="0" fontId="5" fillId="0" borderId="0" applyNumberFormat="0" applyFill="0" applyBorder="0" applyAlignment="0" applyProtection="0"/>
    <xf numFmtId="0" fontId="6" fillId="0" borderId="2" applyNumberFormat="0" applyFill="0" applyAlignment="0" applyProtection="0"/>
    <xf numFmtId="0" fontId="7" fillId="0" borderId="3" applyNumberFormat="0" applyFill="0" applyAlignment="0" applyProtection="0"/>
    <xf numFmtId="0" fontId="8" fillId="0" borderId="4" applyNumberFormat="0" applyFill="0" applyAlignment="0" applyProtection="0"/>
    <xf numFmtId="0" fontId="8" fillId="0" borderId="0" applyNumberFormat="0" applyFill="0" applyBorder="0" applyAlignment="0" applyProtection="0"/>
    <xf numFmtId="0" fontId="9" fillId="7" borderId="0" applyNumberFormat="0" applyBorder="0" applyAlignment="0" applyProtection="0"/>
    <xf numFmtId="0" fontId="10" fillId="8" borderId="0" applyNumberFormat="0" applyBorder="0" applyAlignment="0" applyProtection="0"/>
    <xf numFmtId="0" fontId="11" fillId="9" borderId="0" applyNumberFormat="0" applyBorder="0" applyAlignment="0" applyProtection="0"/>
    <xf numFmtId="0" fontId="12" fillId="10" borderId="5" applyNumberFormat="0" applyAlignment="0" applyProtection="0"/>
    <xf numFmtId="0" fontId="13" fillId="11" borderId="6" applyNumberFormat="0" applyAlignment="0" applyProtection="0"/>
    <xf numFmtId="0" fontId="14" fillId="11" borderId="5" applyNumberFormat="0" applyAlignment="0" applyProtection="0"/>
    <xf numFmtId="0" fontId="15" fillId="0" borderId="7" applyNumberFormat="0" applyFill="0" applyAlignment="0" applyProtection="0"/>
    <xf numFmtId="0" fontId="16" fillId="12" borderId="8" applyNumberFormat="0" applyAlignment="0" applyProtection="0"/>
    <xf numFmtId="0" fontId="1" fillId="0" borderId="0" applyNumberFormat="0" applyFill="0" applyBorder="0" applyAlignment="0" applyProtection="0"/>
    <xf numFmtId="0" fontId="4" fillId="13" borderId="9" applyNumberFormat="0" applyFont="0" applyAlignment="0" applyProtection="0"/>
    <xf numFmtId="0" fontId="17" fillId="0" borderId="0" applyNumberFormat="0" applyFill="0" applyBorder="0" applyAlignment="0" applyProtection="0"/>
    <xf numFmtId="0" fontId="2" fillId="0" borderId="10" applyNumberFormat="0" applyFill="0" applyAlignment="0" applyProtection="0"/>
    <xf numFmtId="0" fontId="18"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18" fillId="37" borderId="0" applyNumberFormat="0" applyBorder="0" applyAlignment="0" applyProtection="0"/>
  </cellStyleXfs>
  <cellXfs count="77">
    <xf numFmtId="0" fontId="0" fillId="0" borderId="0" xfId="0"/>
    <xf numFmtId="0" fontId="1" fillId="0" borderId="0" xfId="0" applyFont="1"/>
    <xf numFmtId="0" fontId="0" fillId="0" borderId="0" xfId="0" applyAlignment="1">
      <alignment horizontal="left"/>
    </xf>
    <xf numFmtId="0" fontId="2" fillId="2" borderId="0" xfId="0" applyFont="1" applyFill="1" applyAlignment="1">
      <alignment horizontal="left"/>
    </xf>
    <xf numFmtId="0" fontId="2" fillId="2" borderId="0" xfId="0" applyFont="1" applyFill="1"/>
    <xf numFmtId="0" fontId="0" fillId="2" borderId="0" xfId="0" applyFill="1"/>
    <xf numFmtId="0" fontId="0" fillId="0" borderId="1" xfId="0" applyBorder="1"/>
    <xf numFmtId="0" fontId="1" fillId="0" borderId="1" xfId="0" applyFont="1" applyBorder="1"/>
    <xf numFmtId="0" fontId="0" fillId="2" borderId="1" xfId="0" applyFill="1" applyBorder="1"/>
    <xf numFmtId="0" fontId="0" fillId="6" borderId="1" xfId="0" applyFill="1" applyBorder="1"/>
    <xf numFmtId="0" fontId="0" fillId="0" borderId="1" xfId="0" applyBorder="1" applyAlignment="1">
      <alignment horizontal="left"/>
    </xf>
    <xf numFmtId="0" fontId="0" fillId="4" borderId="1" xfId="0" applyFill="1" applyBorder="1"/>
    <xf numFmtId="0" fontId="0" fillId="3" borderId="1" xfId="0" applyFill="1" applyBorder="1"/>
    <xf numFmtId="0" fontId="2" fillId="2" borderId="1" xfId="0" applyFont="1" applyFill="1" applyBorder="1"/>
    <xf numFmtId="0" fontId="2" fillId="2" borderId="1" xfId="0" applyFont="1" applyFill="1" applyBorder="1" applyAlignment="1">
      <alignment horizontal="left"/>
    </xf>
    <xf numFmtId="0" fontId="3" fillId="0" borderId="0" xfId="1"/>
    <xf numFmtId="0" fontId="0" fillId="0" borderId="1" xfId="0" applyFill="1" applyBorder="1"/>
    <xf numFmtId="0" fontId="0" fillId="2" borderId="1" xfId="0" applyFill="1" applyBorder="1" applyAlignment="1">
      <alignment wrapText="1"/>
    </xf>
    <xf numFmtId="0" fontId="0" fillId="0" borderId="0" xfId="0" applyAlignment="1">
      <alignment wrapText="1"/>
    </xf>
    <xf numFmtId="0" fontId="0" fillId="0" borderId="0" xfId="0"/>
    <xf numFmtId="22" fontId="0" fillId="0" borderId="0" xfId="0" applyNumberFormat="1"/>
    <xf numFmtId="14" fontId="0" fillId="0" borderId="0" xfId="0" applyNumberFormat="1"/>
    <xf numFmtId="0" fontId="0" fillId="0" borderId="0" xfId="0" quotePrefix="1"/>
    <xf numFmtId="0" fontId="0" fillId="38" borderId="0" xfId="0" applyFill="1"/>
    <xf numFmtId="0" fontId="0" fillId="0" borderId="0" xfId="0"/>
    <xf numFmtId="22" fontId="0" fillId="0" borderId="0" xfId="0" applyNumberFormat="1"/>
    <xf numFmtId="0" fontId="0" fillId="0" borderId="0" xfId="0" applyFill="1"/>
    <xf numFmtId="0" fontId="0" fillId="39" borderId="0" xfId="0" applyFill="1"/>
    <xf numFmtId="0" fontId="0" fillId="40" borderId="1" xfId="0" applyFill="1" applyBorder="1"/>
    <xf numFmtId="0" fontId="21" fillId="0" borderId="0" xfId="1" applyFont="1"/>
    <xf numFmtId="0" fontId="0" fillId="0" borderId="0" xfId="0"/>
    <xf numFmtId="22" fontId="0" fillId="0" borderId="0" xfId="0" applyNumberFormat="1"/>
    <xf numFmtId="0" fontId="0" fillId="0" borderId="0" xfId="0"/>
    <xf numFmtId="0" fontId="0" fillId="41" borderId="0" xfId="0" applyFill="1"/>
    <xf numFmtId="0" fontId="0" fillId="42" borderId="0" xfId="0" applyFill="1"/>
    <xf numFmtId="0" fontId="0" fillId="43" borderId="0" xfId="0" applyFill="1"/>
    <xf numFmtId="0" fontId="0" fillId="5" borderId="0" xfId="0" applyFill="1"/>
    <xf numFmtId="0" fontId="0" fillId="44" borderId="0" xfId="0" applyFill="1"/>
    <xf numFmtId="0" fontId="0" fillId="0" borderId="0" xfId="0"/>
    <xf numFmtId="22" fontId="0" fillId="0" borderId="0" xfId="0" applyNumberFormat="1"/>
    <xf numFmtId="0" fontId="26" fillId="0" borderId="1" xfId="0" applyFont="1" applyBorder="1"/>
    <xf numFmtId="0" fontId="0" fillId="45" borderId="1" xfId="0" applyFill="1" applyBorder="1"/>
    <xf numFmtId="0" fontId="0" fillId="0" borderId="1" xfId="0" applyBorder="1" applyAlignment="1"/>
    <xf numFmtId="0" fontId="0" fillId="0" borderId="11" xfId="0" applyBorder="1"/>
    <xf numFmtId="0" fontId="2" fillId="0" borderId="1" xfId="0" applyFont="1" applyBorder="1"/>
    <xf numFmtId="0" fontId="0" fillId="0" borderId="0" xfId="0" applyNumberFormat="1" applyAlignment="1">
      <alignment horizontal="left" vertical="center" indent="2"/>
    </xf>
    <xf numFmtId="0" fontId="0" fillId="0" borderId="0" xfId="0" applyNumberFormat="1" applyAlignment="1">
      <alignment horizontal="left" vertical="center"/>
    </xf>
    <xf numFmtId="0" fontId="0" fillId="0" borderId="0" xfId="0" quotePrefix="1" applyNumberFormat="1" applyAlignment="1">
      <alignment horizontal="left" vertical="center"/>
    </xf>
    <xf numFmtId="0" fontId="3" fillId="0" borderId="0" xfId="1" applyAlignment="1">
      <alignment vertical="center"/>
    </xf>
    <xf numFmtId="0" fontId="0" fillId="45" borderId="1" xfId="0" applyFill="1" applyBorder="1" applyAlignment="1">
      <alignment horizontal="left"/>
    </xf>
    <xf numFmtId="0" fontId="0" fillId="45" borderId="1" xfId="0" applyFill="1" applyBorder="1" applyAlignment="1">
      <alignment wrapText="1"/>
    </xf>
    <xf numFmtId="0" fontId="0" fillId="0" borderId="0" xfId="0" applyBorder="1" applyAlignment="1">
      <alignment horizontal="left"/>
    </xf>
    <xf numFmtId="0" fontId="0" fillId="0" borderId="0" xfId="0" applyFill="1" applyBorder="1" applyAlignment="1">
      <alignment horizontal="left"/>
    </xf>
    <xf numFmtId="0" fontId="25" fillId="45" borderId="1" xfId="0" applyFont="1" applyFill="1" applyBorder="1"/>
    <xf numFmtId="0" fontId="0" fillId="46" borderId="0" xfId="0" applyFill="1"/>
    <xf numFmtId="0" fontId="0" fillId="0" borderId="0" xfId="0" applyAlignment="1">
      <alignment vertical="center"/>
    </xf>
    <xf numFmtId="0" fontId="27" fillId="0" borderId="0" xfId="0" applyFont="1" applyAlignment="1">
      <alignment vertical="center"/>
    </xf>
    <xf numFmtId="0" fontId="0" fillId="0" borderId="0" xfId="0"/>
    <xf numFmtId="22" fontId="0" fillId="0" borderId="0" xfId="0" applyNumberFormat="1"/>
    <xf numFmtId="0" fontId="0" fillId="0" borderId="0" xfId="0"/>
    <xf numFmtId="22" fontId="0" fillId="0" borderId="0" xfId="0" applyNumberFormat="1"/>
    <xf numFmtId="0" fontId="3" fillId="0" borderId="0" xfId="1" quotePrefix="1"/>
    <xf numFmtId="0" fontId="27" fillId="0" borderId="0" xfId="0" applyFont="1" applyAlignment="1">
      <alignment vertical="center" wrapText="1"/>
    </xf>
    <xf numFmtId="165" fontId="0" fillId="0" borderId="0" xfId="0" applyNumberFormat="1" applyAlignment="1">
      <alignment horizontal="justify"/>
    </xf>
    <xf numFmtId="164" fontId="0" fillId="0" borderId="0" xfId="0" applyNumberFormat="1" applyAlignment="1">
      <alignment horizontal="left"/>
    </xf>
    <xf numFmtId="0" fontId="0" fillId="0" borderId="0" xfId="0"/>
    <xf numFmtId="0" fontId="0" fillId="0" borderId="0" xfId="0"/>
    <xf numFmtId="22" fontId="0" fillId="0" borderId="0" xfId="0" applyNumberFormat="1"/>
    <xf numFmtId="0" fontId="0" fillId="0" borderId="0" xfId="0"/>
    <xf numFmtId="22" fontId="0" fillId="0" borderId="0" xfId="0" applyNumberFormat="1"/>
    <xf numFmtId="0" fontId="0" fillId="0" borderId="0" xfId="0"/>
    <xf numFmtId="22" fontId="0" fillId="0" borderId="0" xfId="0" applyNumberFormat="1"/>
    <xf numFmtId="0" fontId="0" fillId="0" borderId="0" xfId="0"/>
    <xf numFmtId="22" fontId="0" fillId="0" borderId="0" xfId="0" applyNumberFormat="1"/>
    <xf numFmtId="49" fontId="0" fillId="0" borderId="0" xfId="0" applyNumberFormat="1"/>
    <xf numFmtId="3" fontId="0" fillId="0" borderId="0" xfId="0" applyNumberFormat="1"/>
    <xf numFmtId="0" fontId="0" fillId="42" borderId="1" xfId="0" applyFill="1"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7">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numFmt numFmtId="27" formatCode="m/d/yyyy\ h:mm"/>
    </dxf>
    <dxf>
      <numFmt numFmtId="27" formatCode="m/d/yyyy\ h:mm"/>
    </dxf>
    <dxf>
      <numFmt numFmtId="27" formatCode="m/d/yyyy\ h:mm"/>
    </dxf>
    <dxf>
      <numFmt numFmtId="27" formatCode="m/d/yyyy\ h:mm"/>
    </dxf>
    <dxf>
      <fill>
        <patternFill>
          <bgColor rgb="FF7030A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theme="0" tint="-0.14996795556505021"/>
        </patternFill>
      </fill>
    </dxf>
    <dxf>
      <fill>
        <patternFill>
          <bgColor theme="9" tint="0.79998168889431442"/>
        </patternFill>
      </fill>
    </dxf>
  </dxfs>
  <tableStyles count="0" defaultTableStyle="TableStyleMedium2" defaultPivotStyle="PivotStyleLight16"/>
  <colors>
    <mruColors>
      <color rgb="FF2AAC68"/>
      <color rgb="FF66F725"/>
      <color rgb="FF45CE08"/>
      <color rgb="FFFF99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619125</xdr:colOff>
          <xdr:row>12</xdr:row>
          <xdr:rowOff>9525</xdr:rowOff>
        </xdr:from>
        <xdr:to>
          <xdr:col>11</xdr:col>
          <xdr:colOff>561975</xdr:colOff>
          <xdr:row>13</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13</xdr:row>
          <xdr:rowOff>85725</xdr:rowOff>
        </xdr:from>
        <xdr:to>
          <xdr:col>11</xdr:col>
          <xdr:colOff>476250</xdr:colOff>
          <xdr:row>14</xdr:row>
          <xdr:rowOff>123825</xdr:rowOff>
        </xdr:to>
        <xdr:sp macro="" textlink="">
          <xdr:nvSpPr>
            <xdr:cNvPr id="76802" name="Button 2" hidden="1">
              <a:extLst>
                <a:ext uri="{63B3BB69-23CF-44E3-9099-C40C66FF867C}">
                  <a14:compatExt spid="_x0000_s768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SMB FAA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590550</xdr:colOff>
          <xdr:row>9</xdr:row>
          <xdr:rowOff>180975</xdr:rowOff>
        </xdr:from>
        <xdr:to>
          <xdr:col>11</xdr:col>
          <xdr:colOff>590550</xdr:colOff>
          <xdr:row>11</xdr:row>
          <xdr:rowOff>28575</xdr:rowOff>
        </xdr:to>
        <xdr:sp macro="" textlink="">
          <xdr:nvSpPr>
            <xdr:cNvPr id="76803" name="Button 3" hidden="1">
              <a:extLst>
                <a:ext uri="{63B3BB69-23CF-44E3-9099-C40C66FF867C}">
                  <a14:compatExt spid="_x0000_s768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RZ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12</xdr:row>
          <xdr:rowOff>0</xdr:rowOff>
        </xdr:from>
        <xdr:to>
          <xdr:col>15</xdr:col>
          <xdr:colOff>180975</xdr:colOff>
          <xdr:row>13</xdr:row>
          <xdr:rowOff>28575</xdr:rowOff>
        </xdr:to>
        <xdr:sp macro="" textlink="">
          <xdr:nvSpPr>
            <xdr:cNvPr id="76804" name="Button 4" hidden="1">
              <a:extLst>
                <a:ext uri="{63B3BB69-23CF-44E3-9099-C40C66FF867C}">
                  <a14:compatExt spid="_x0000_s768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a:t>
              </a:r>
            </a:p>
          </xdr:txBody>
        </xdr:sp>
        <xdr:clientData fPrintsWithSheet="0"/>
      </xdr:twoCellAnchor>
    </mc:Choice>
    <mc:Fallback/>
  </mc:AlternateContent>
</xdr:wsDr>
</file>

<file path=xl/queryTables/queryTable1.xml><?xml version="1.0" encoding="utf-8"?>
<queryTable xmlns="http://schemas.openxmlformats.org/spreadsheetml/2006/main" name="SMBrzAzhaBugs" backgroundRefresh="0" connectionId="2" autoFormatId="16" applyNumberFormats="0" applyBorderFormats="0" applyFontFormats="0" applyPatternFormats="0" applyAlignmentFormats="0" applyWidthHeightFormats="0">
  <queryTableRefresh nextId="29">
    <queryTableFields count="28">
      <queryTableField id="1" name="BugId" tableColumnId="1"/>
      <queryTableField id="2" name="AssignedTo" tableColumnId="2"/>
      <queryTableField id="3" name="Summary" tableColumnId="3"/>
      <queryTableField id="4" name="Severity" tableColumnId="4"/>
      <queryTableField id="5" name="TargetMilestone" tableColumnId="5"/>
      <queryTableField id="6" name="Creator" tableColumnId="6"/>
      <queryTableField id="7" name="Whiteboard" tableColumnId="7"/>
      <queryTableField id="8" name="LastChangeTime" tableColumnId="8"/>
      <queryTableField id="9" name="Status" tableColumnId="9"/>
      <queryTableField id="10" name="Version" tableColumnId="10"/>
      <queryTableField id="11" name="CreationTime" tableColumnId="11"/>
      <queryTableField id="12" name="CfFoundBy" tableColumnId="12"/>
      <queryTableField id="13" name="CfAlsoSeenBy" tableColumnId="13"/>
      <queryTableField id="14" name="Keywords" tableColumnId="14"/>
      <queryTableField id="15" name="CfProbability" tableColumnId="15"/>
      <queryTableField id="16" name="CfDefectType" tableColumnId="16"/>
      <queryTableField id="17" name="Product" tableColumnId="17"/>
      <queryTableField id="18" name="Component" tableColumnId="18"/>
      <queryTableField id="19" name="CfRedZoneReviewFlag" tableColumnId="19"/>
      <queryTableField id="20" name="Priority" tableColumnId="20"/>
      <queryTableField id="21" name="CfReleaseNote" tableColumnId="21"/>
      <queryTableField id="22" name="CfBedrock" tableColumnId="22"/>
      <queryTableField id="23" name="CfTargetBuild" tableColumnId="23"/>
      <queryTableField id="24" name="CfCrb" tableColumnId="24"/>
      <queryTableField id="25" name="CfWaivers" tableColumnId="25"/>
      <queryTableField id="26" name="CfDuDl" tableColumnId="26"/>
      <queryTableField id="27" name="CfCfiNumberText" tableColumnId="27"/>
      <queryTableField id="28" name="CfStatusSynopsis" tableColumnId="28"/>
    </queryTableFields>
  </queryTableRefresh>
</queryTable>
</file>

<file path=xl/queryTables/queryTable2.xml><?xml version="1.0" encoding="utf-8"?>
<queryTable xmlns="http://schemas.openxmlformats.org/spreadsheetml/2006/main" name="SMBrzAxionBugs" backgroundRefresh="0" connectionId="1" autoFormatId="16" applyNumberFormats="0" applyBorderFormats="0" applyFontFormats="0" applyPatternFormats="0" applyAlignmentFormats="0" applyWidthHeightFormats="0">
  <queryTableRefresh nextId="29">
    <queryTableFields count="28">
      <queryTableField id="1" name="BugId" tableColumnId="1"/>
      <queryTableField id="2" name="AssignedTo" tableColumnId="2"/>
      <queryTableField id="3" name="Summary" tableColumnId="3"/>
      <queryTableField id="4" name="Severity" tableColumnId="4"/>
      <queryTableField id="5" name="TargetMilestone" tableColumnId="5"/>
      <queryTableField id="6" name="Creator" tableColumnId="6"/>
      <queryTableField id="7" name="Whiteboard" tableColumnId="7"/>
      <queryTableField id="8" name="LastChangeTime" tableColumnId="8"/>
      <queryTableField id="9" name="Status" tableColumnId="9"/>
      <queryTableField id="10" name="Version" tableColumnId="10"/>
      <queryTableField id="11" name="CreationTime" tableColumnId="11"/>
      <queryTableField id="12" name="CfFoundBy" tableColumnId="12"/>
      <queryTableField id="13" name="CfAlsoSeenBy" tableColumnId="13"/>
      <queryTableField id="14" name="Keywords" tableColumnId="14"/>
      <queryTableField id="15" name="CfProbability" tableColumnId="15"/>
      <queryTableField id="16" name="CfDefectType" tableColumnId="16"/>
      <queryTableField id="17" name="Product" tableColumnId="17"/>
      <queryTableField id="18" name="Component" tableColumnId="18"/>
      <queryTableField id="19" name="CfRedZoneReviewFlag" tableColumnId="19"/>
      <queryTableField id="20" name="Priority" tableColumnId="20"/>
      <queryTableField id="21" name="CfReleaseNote" tableColumnId="21"/>
      <queryTableField id="22" name="CfBedrock" tableColumnId="22"/>
      <queryTableField id="23" name="CfTargetBuild" tableColumnId="23"/>
      <queryTableField id="24" name="CfCrb" tableColumnId="24"/>
      <queryTableField id="25" name="CfWaivers" tableColumnId="25"/>
      <queryTableField id="26" name="CfDuDl" tableColumnId="26"/>
      <queryTableField id="27" name="CfCfiNumberText" tableColumnId="27"/>
      <queryTableField id="28" name="CfStatusSynopsis"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SMBrzAzhaBugs" displayName="Table_SMBrzAzhaBugs" ref="A1:AB22" tableType="queryTable" totalsRowShown="0">
  <autoFilter ref="A1:AB22"/>
  <tableColumns count="28">
    <tableColumn id="1" uniqueName="1" name="BugId" queryTableFieldId="1"/>
    <tableColumn id="2" uniqueName="2" name="AssignedTo" queryTableFieldId="2"/>
    <tableColumn id="3" uniqueName="3" name="Summary" queryTableFieldId="3"/>
    <tableColumn id="4" uniqueName="4" name="Severity" queryTableFieldId="4"/>
    <tableColumn id="5" uniqueName="5" name="TargetMilestone" queryTableFieldId="5"/>
    <tableColumn id="6" uniqueName="6" name="Creator" queryTableFieldId="6"/>
    <tableColumn id="7" uniqueName="7" name="Whiteboard" queryTableFieldId="7"/>
    <tableColumn id="8" uniqueName="8" name="LastChangeTime" queryTableFieldId="8" dataDxfId="17"/>
    <tableColumn id="9" uniqueName="9" name="Status" queryTableFieldId="9"/>
    <tableColumn id="10" uniqueName="10" name="Version" queryTableFieldId="10"/>
    <tableColumn id="11" uniqueName="11" name="CreationTime" queryTableFieldId="11" dataDxfId="16"/>
    <tableColumn id="12" uniqueName="12" name="CfFoundBy" queryTableFieldId="12"/>
    <tableColumn id="13" uniqueName="13" name="CfAlsoSeenBy" queryTableFieldId="13"/>
    <tableColumn id="14" uniqueName="14" name="Keywords" queryTableFieldId="14"/>
    <tableColumn id="15" uniqueName="15" name="CfProbability" queryTableFieldId="15"/>
    <tableColumn id="16" uniqueName="16" name="CfDefectType" queryTableFieldId="16"/>
    <tableColumn id="17" uniqueName="17" name="Product" queryTableFieldId="17"/>
    <tableColumn id="18" uniqueName="18" name="Component" queryTableFieldId="18"/>
    <tableColumn id="19" uniqueName="19" name="CfRedZoneReviewFlag" queryTableFieldId="19"/>
    <tableColumn id="20" uniqueName="20" name="Priority" queryTableFieldId="20"/>
    <tableColumn id="21" uniqueName="21" name="CfReleaseNote" queryTableFieldId="21"/>
    <tableColumn id="22" uniqueName="22" name="CfBedrock" queryTableFieldId="22"/>
    <tableColumn id="23" uniqueName="23" name="CfTargetBuild" queryTableFieldId="23"/>
    <tableColumn id="24" uniqueName="24" name="CfCrb" queryTableFieldId="24"/>
    <tableColumn id="25" uniqueName="25" name="CfWaivers" queryTableFieldId="25"/>
    <tableColumn id="26" uniqueName="26" name="CfDuDl" queryTableFieldId="26"/>
    <tableColumn id="27" uniqueName="27" name="CfCfiNumberText" queryTableFieldId="27"/>
    <tableColumn id="28" uniqueName="28" name="CfStatusSynopsis" queryTableFieldId="28"/>
  </tableColumns>
  <tableStyleInfo name="TableStyleMedium2" showFirstColumn="0" showLastColumn="0" showRowStripes="1" showColumnStripes="0"/>
</table>
</file>

<file path=xl/tables/table2.xml><?xml version="1.0" encoding="utf-8"?>
<table xmlns="http://schemas.openxmlformats.org/spreadsheetml/2006/main" id="2" name="Table_SMBrzAxionBugs" displayName="Table_SMBrzAxionBugs" ref="A1:AB2" tableType="queryTable" insertRow="1" totalsRowShown="0">
  <autoFilter ref="A1:AB2"/>
  <tableColumns count="28">
    <tableColumn id="1" uniqueName="1" name="BugId" queryTableFieldId="1"/>
    <tableColumn id="2" uniqueName="2" name="AssignedTo" queryTableFieldId="2"/>
    <tableColumn id="3" uniqueName="3" name="Summary" queryTableFieldId="3"/>
    <tableColumn id="4" uniqueName="4" name="Severity" queryTableFieldId="4"/>
    <tableColumn id="5" uniqueName="5" name="TargetMilestone" queryTableFieldId="5"/>
    <tableColumn id="6" uniqueName="6" name="Creator" queryTableFieldId="6"/>
    <tableColumn id="7" uniqueName="7" name="Whiteboard" queryTableFieldId="7"/>
    <tableColumn id="8" uniqueName="8" name="LastChangeTime" queryTableFieldId="8" dataDxfId="15"/>
    <tableColumn id="9" uniqueName="9" name="Status" queryTableFieldId="9"/>
    <tableColumn id="10" uniqueName="10" name="Version" queryTableFieldId="10"/>
    <tableColumn id="11" uniqueName="11" name="CreationTime" queryTableFieldId="11" dataDxfId="14"/>
    <tableColumn id="12" uniqueName="12" name="CfFoundBy" queryTableFieldId="12"/>
    <tableColumn id="13" uniqueName="13" name="CfAlsoSeenBy" queryTableFieldId="13"/>
    <tableColumn id="14" uniqueName="14" name="Keywords" queryTableFieldId="14"/>
    <tableColumn id="15" uniqueName="15" name="CfProbability" queryTableFieldId="15"/>
    <tableColumn id="16" uniqueName="16" name="CfDefectType" queryTableFieldId="16"/>
    <tableColumn id="17" uniqueName="17" name="Product" queryTableFieldId="17"/>
    <tableColumn id="18" uniqueName="18" name="Component" queryTableFieldId="18"/>
    <tableColumn id="19" uniqueName="19" name="CfRedZoneReviewFlag" queryTableFieldId="19"/>
    <tableColumn id="20" uniqueName="20" name="Priority" queryTableFieldId="20"/>
    <tableColumn id="21" uniqueName="21" name="CfReleaseNote" queryTableFieldId="21"/>
    <tableColumn id="22" uniqueName="22" name="CfBedrock" queryTableFieldId="22"/>
    <tableColumn id="23" uniqueName="23" name="CfTargetBuild" queryTableFieldId="23"/>
    <tableColumn id="24" uniqueName="24" name="CfCrb" queryTableFieldId="24"/>
    <tableColumn id="25" uniqueName="25" name="CfWaivers" queryTableFieldId="25"/>
    <tableColumn id="26" uniqueName="26" name="CfDuDl" queryTableFieldId="26"/>
    <tableColumn id="27" uniqueName="27" name="CfCfiNumberText" queryTableFieldId="27"/>
    <tableColumn id="28" uniqueName="28" name="CfStatusSynopsis" queryTableField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roselle.fernandez@hpe.com" TargetMode="External"/><Relationship Id="rId13" Type="http://schemas.openxmlformats.org/officeDocument/2006/relationships/hyperlink" Target="mailto:shounak.banerjee@hpe.com" TargetMode="External"/><Relationship Id="rId18" Type="http://schemas.openxmlformats.org/officeDocument/2006/relationships/ctrlProp" Target="../ctrlProps/ctrlProp2.xml"/><Relationship Id="rId3" Type="http://schemas.openxmlformats.org/officeDocument/2006/relationships/hyperlink" Target="mailto:roselle.fernandez@hpe.com" TargetMode="External"/><Relationship Id="rId7" Type="http://schemas.openxmlformats.org/officeDocument/2006/relationships/hyperlink" Target="mailto:ron.chambers@hpe.com" TargetMode="External"/><Relationship Id="rId12" Type="http://schemas.openxmlformats.org/officeDocument/2006/relationships/hyperlink" Target="mailto:roselle.fernandez@hpe.com" TargetMode="External"/><Relationship Id="rId17" Type="http://schemas.openxmlformats.org/officeDocument/2006/relationships/ctrlProp" Target="../ctrlProps/ctrlProp1.xml"/><Relationship Id="rId2" Type="http://schemas.openxmlformats.org/officeDocument/2006/relationships/hyperlink" Target="https://bugzilla.houston.hpecorp.net:1181/bugzilla/show_bug.cgi?id=" TargetMode="External"/><Relationship Id="rId16" Type="http://schemas.openxmlformats.org/officeDocument/2006/relationships/vmlDrawing" Target="../drawings/vmlDrawing1.vml"/><Relationship Id="rId20" Type="http://schemas.openxmlformats.org/officeDocument/2006/relationships/ctrlProp" Target="../ctrlProps/ctrlProp4.xml"/><Relationship Id="rId1" Type="http://schemas.openxmlformats.org/officeDocument/2006/relationships/hyperlink" Target="http://link.osp.hpe.com/u/1vxj" TargetMode="External"/><Relationship Id="rId6" Type="http://schemas.openxmlformats.org/officeDocument/2006/relationships/hyperlink" Target="mailto:arnab.das@hpe.com" TargetMode="External"/><Relationship Id="rId11" Type="http://schemas.openxmlformats.org/officeDocument/2006/relationships/hyperlink" Target="mailto:santanuq@hpe.com" TargetMode="External"/><Relationship Id="rId5" Type="http://schemas.openxmlformats.org/officeDocument/2006/relationships/hyperlink" Target="mailto:steve.e.douglas@hpe.com" TargetMode="External"/><Relationship Id="rId15" Type="http://schemas.openxmlformats.org/officeDocument/2006/relationships/drawing" Target="../drawings/drawing1.xml"/><Relationship Id="rId10" Type="http://schemas.openxmlformats.org/officeDocument/2006/relationships/hyperlink" Target="mailto:arnab.das@hpe.com" TargetMode="External"/><Relationship Id="rId19" Type="http://schemas.openxmlformats.org/officeDocument/2006/relationships/ctrlProp" Target="../ctrlProps/ctrlProp3.xml"/><Relationship Id="rId4" Type="http://schemas.openxmlformats.org/officeDocument/2006/relationships/hyperlink" Target="mailto:ron.chamberts@hpe.com" TargetMode="External"/><Relationship Id="rId9" Type="http://schemas.openxmlformats.org/officeDocument/2006/relationships/hyperlink" Target="mailto:santanug@hpe.com"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hyperlink" Target="http://link.osp.hpe.com/u/2a0f"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link.osp.hpe.com/u/2a0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hyperlink" Target="https://bugzilla.houston.hpecorp.net:1181/bugzilla/buglist.cgi?cmdtype=runnamed&amp;namedcmd=ProtocolsSMB-RedZone&amp;ctype=csv&amp;human=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filterMode="1">
    <pageSetUpPr fitToPage="1"/>
  </sheetPr>
  <dimension ref="A1:AE200"/>
  <sheetViews>
    <sheetView tabSelected="1" zoomScale="90" zoomScaleNormal="90" zoomScalePageLayoutView="80" workbookViewId="0">
      <selection activeCell="Z1" sqref="Z1:AB1048576"/>
    </sheetView>
  </sheetViews>
  <sheetFormatPr defaultColWidth="8.85546875" defaultRowHeight="15" x14ac:dyDescent="0.25"/>
  <cols>
    <col min="1" max="1" width="19.140625" style="72" customWidth="1"/>
    <col min="2" max="2" width="5.5703125" style="72" customWidth="1"/>
    <col min="3" max="3" width="10.140625" style="72" customWidth="1"/>
    <col min="4" max="4" width="22.7109375" style="72" customWidth="1"/>
    <col min="5" max="5" width="114.140625" style="72" customWidth="1"/>
    <col min="6" max="6" width="8.85546875" style="72" hidden="1" customWidth="1"/>
    <col min="7" max="7" width="11.7109375" style="72" customWidth="1"/>
    <col min="8" max="9" width="8.85546875" style="72" hidden="1" customWidth="1"/>
    <col min="10" max="10" width="18.42578125" style="72" hidden="1" customWidth="1"/>
    <col min="11" max="11" width="8.85546875" style="72" hidden="1" customWidth="1"/>
    <col min="12" max="12" width="20.28515625" style="72" customWidth="1"/>
    <col min="13" max="13" width="18" style="21" hidden="1" customWidth="1"/>
    <col min="14" max="15" width="8.85546875" style="72" hidden="1" customWidth="1"/>
    <col min="16" max="16" width="8.85546875" style="72" customWidth="1"/>
    <col min="17" max="17" width="8.85546875" style="72" hidden="1" customWidth="1"/>
    <col min="18" max="18" width="14.7109375" style="72" hidden="1" customWidth="1"/>
    <col min="19" max="19" width="20.28515625" style="72" hidden="1" customWidth="1"/>
    <col min="20" max="20" width="27.28515625" style="72" hidden="1" customWidth="1"/>
    <col min="21" max="21" width="23.5703125" style="72" hidden="1" customWidth="1"/>
    <col min="22" max="23" width="8.85546875" style="72" hidden="1" customWidth="1"/>
    <col min="24" max="24" width="13.7109375" style="72" hidden="1" customWidth="1"/>
    <col min="25" max="25" width="27.140625" style="72" customWidth="1"/>
    <col min="26" max="26" width="22.28515625" style="72" hidden="1" customWidth="1"/>
    <col min="27" max="28" width="8.85546875" style="72" hidden="1" customWidth="1"/>
    <col min="29" max="29" width="14" style="72" customWidth="1"/>
    <col min="30" max="30" width="15.85546875" style="72" customWidth="1"/>
    <col min="31" max="31" width="12.85546875" style="74" bestFit="1" customWidth="1"/>
    <col min="32" max="34" width="8.85546875" style="72" customWidth="1"/>
    <col min="35" max="36" width="0" style="72" hidden="1" customWidth="1"/>
    <col min="37" max="16384" width="8.85546875" style="72"/>
  </cols>
  <sheetData>
    <row r="1" spans="1:14" x14ac:dyDescent="0.25">
      <c r="A1" s="6" t="s">
        <v>109</v>
      </c>
      <c r="B1" s="7">
        <f ca="1">COUNTIF(INDIRECT(A125&amp;A117):INDIRECT(A125&amp;A116),INDIRECT("c"&amp;ROW()))</f>
        <v>1</v>
      </c>
      <c r="C1" s="6" t="s">
        <v>930</v>
      </c>
      <c r="D1" s="6" t="s">
        <v>146</v>
      </c>
      <c r="E1" s="6"/>
    </row>
    <row r="2" spans="1:14" x14ac:dyDescent="0.25">
      <c r="A2" s="6"/>
      <c r="B2" s="6"/>
      <c r="C2" s="6"/>
      <c r="D2" s="6"/>
      <c r="E2" s="6"/>
    </row>
    <row r="3" spans="1:14" ht="42" customHeight="1" x14ac:dyDescent="0.25">
      <c r="A3" s="8" t="s">
        <v>58</v>
      </c>
      <c r="B3" s="6"/>
      <c r="C3" s="6"/>
      <c r="D3" s="17" t="s">
        <v>159</v>
      </c>
      <c r="E3" s="6"/>
    </row>
    <row r="4" spans="1:14" x14ac:dyDescent="0.25">
      <c r="A4" s="6" t="s">
        <v>102</v>
      </c>
      <c r="B4" s="6">
        <f ca="1">COUNTIF(INDIRECT(A118&amp;A117):INDIRECT(A118&amp;A116),INDIRECT("a"&amp;ROW()))</f>
        <v>0</v>
      </c>
      <c r="C4" s="6"/>
      <c r="D4" s="9" t="s">
        <v>105</v>
      </c>
      <c r="E4" s="10">
        <f ca="1">COUNTIFS(INDIRECT(A128&amp;A117):INDIRECT(A128&amp;A116),A138,INDIRECT(A124&amp;A117):INDIRECT(A124&amp;A116),A138)</f>
        <v>24</v>
      </c>
    </row>
    <row r="5" spans="1:14" x14ac:dyDescent="0.25">
      <c r="A5" s="6" t="s">
        <v>103</v>
      </c>
      <c r="B5" s="6">
        <f ca="1">COUNTIF(INDIRECT(A118&amp;A117):INDIRECT(A118&amp;A116),INDIRECT("a"&amp;ROW()))</f>
        <v>13</v>
      </c>
      <c r="C5" s="6"/>
      <c r="D5" s="11" t="s">
        <v>311</v>
      </c>
      <c r="E5" s="10">
        <f ca="1">COUNTIFS(INDIRECT(A128&amp;A117):INDIRECT(A128&amp;A116),INDIRECT("d"&amp;ROW()),INDIRECT(A124&amp;A117):INDIRECT(A124&amp;A116),A138)</f>
        <v>0</v>
      </c>
    </row>
    <row r="6" spans="1:14" x14ac:dyDescent="0.25">
      <c r="A6" s="6" t="s">
        <v>104</v>
      </c>
      <c r="B6" s="6">
        <f ca="1">COUNTIF(INDIRECT(A118&amp;A117):INDIRECT(A118&amp;A116),INDIRECT("a"&amp;ROW()))</f>
        <v>15</v>
      </c>
      <c r="C6" s="6"/>
      <c r="D6" s="28" t="s">
        <v>659</v>
      </c>
      <c r="E6" s="10">
        <f ca="1">COUNTIFS(INDIRECT(A128&amp;A117):INDIRECT(A128&amp;A116),INDIRECT("d"&amp;ROW()),INDIRECT(A124&amp;A117):INDIRECT(A124&amp;A116),A138)</f>
        <v>0</v>
      </c>
    </row>
    <row r="7" spans="1:14" x14ac:dyDescent="0.25">
      <c r="C7" s="6"/>
      <c r="D7" s="12" t="s">
        <v>9</v>
      </c>
      <c r="E7" s="10">
        <f ca="1">COUNTIFS(INDIRECT(A121&amp;A117):INDIRECT(A121&amp;A116),INDIRECT("d"&amp;ROW()),INDIRECT(A124&amp;A117):INDIRECT(A124&amp;A116),A138)</f>
        <v>0</v>
      </c>
    </row>
    <row r="8" spans="1:14" x14ac:dyDescent="0.25">
      <c r="A8" s="8" t="s">
        <v>107</v>
      </c>
      <c r="B8" s="13">
        <f ca="1">COUNTIF(INDIRECT(A122&amp;A117):INDIRECT(A122&amp;A116),"&lt;2")</f>
        <v>2</v>
      </c>
      <c r="C8" s="6"/>
      <c r="D8" s="76" t="s">
        <v>841</v>
      </c>
      <c r="E8" s="10">
        <f ca="1">COUNTIFS(INDIRECT(A128&amp;A117):INDIRECT(A128&amp;A116),INDIRECT("d"&amp;ROW())&amp;"*",INDIRECT(A124&amp;A117):INDIRECT(A124&amp;A116),A138)</f>
        <v>1</v>
      </c>
    </row>
    <row r="9" spans="1:14" x14ac:dyDescent="0.25">
      <c r="A9" s="6" t="s">
        <v>108</v>
      </c>
      <c r="B9" s="6">
        <f ca="1">COUNTIF(INDIRECT(A123&amp;A117):INDIRECT(A123&amp;A116),"&gt;3")</f>
        <v>23</v>
      </c>
      <c r="C9" s="6"/>
      <c r="D9" s="8" t="s">
        <v>106</v>
      </c>
      <c r="E9" s="14">
        <f ca="1">COUNTIF(INDIRECT(A124&amp;A117):INDIRECT(A124&amp;A116),"&lt;&gt; ---")</f>
        <v>3</v>
      </c>
    </row>
    <row r="10" spans="1:14" x14ac:dyDescent="0.25">
      <c r="A10" s="8" t="s">
        <v>110</v>
      </c>
      <c r="B10" s="6"/>
      <c r="C10" s="6"/>
      <c r="D10" s="8" t="s">
        <v>72</v>
      </c>
      <c r="E10" s="6"/>
    </row>
    <row r="11" spans="1:14" x14ac:dyDescent="0.25">
      <c r="A11" s="6" t="s">
        <v>842</v>
      </c>
      <c r="B11" s="6">
        <f ca="1">COUNTIF(INDIRECT(A120&amp;A117):INDIRECT(A120&amp;A116),INDIRECT("a"&amp;ROW()))</f>
        <v>14</v>
      </c>
      <c r="C11" s="6"/>
      <c r="D11" s="6" t="s">
        <v>13</v>
      </c>
      <c r="E11" s="10">
        <f ca="1">COUNTIF(INDIRECT(A119&amp;A117):INDIRECT(A119&amp;A116),INDIRECT("d"&amp;ROW()))</f>
        <v>28</v>
      </c>
    </row>
    <row r="12" spans="1:14" x14ac:dyDescent="0.25">
      <c r="A12" s="6" t="s">
        <v>650</v>
      </c>
      <c r="B12" s="6">
        <f ca="1">COUNTIF(INDIRECT(A120&amp;A117):INDIRECT(A120&amp;A116),INDIRECT("a"&amp;ROW()))</f>
        <v>2</v>
      </c>
      <c r="C12" s="6"/>
      <c r="D12" s="6" t="s">
        <v>8</v>
      </c>
      <c r="E12" s="10">
        <f ca="1">COUNTIF(INDIRECT(A119&amp;A117):INDIRECT(A119&amp;A116),INDIRECT("d"&amp;ROW()))</f>
        <v>0</v>
      </c>
    </row>
    <row r="13" spans="1:14" x14ac:dyDescent="0.25">
      <c r="A13" s="6" t="s">
        <v>670</v>
      </c>
      <c r="B13" s="6">
        <f ca="1">COUNTIF(INDIRECT(A120&amp;A117):INDIRECT(A120&amp;A116),INDIRECT("a"&amp;ROW()))+COUNTIF(INDIRECT(A120&amp;A117):INDIRECT(A120&amp;A116),"Astra-Post*")+COUNTIF(INDIRECT(A120&amp;A117):INDIRECT(A120&amp;A116),"Astra-IR*")</f>
        <v>2</v>
      </c>
      <c r="C13" s="6"/>
      <c r="D13" s="6" t="s">
        <v>24</v>
      </c>
      <c r="E13" s="10">
        <f ca="1">COUNTIF(INDIRECT(A119&amp;A117):INDIRECT(A119&amp;A116),INDIRECT("d"&amp;ROW()))</f>
        <v>0</v>
      </c>
    </row>
    <row r="14" spans="1:14" x14ac:dyDescent="0.25">
      <c r="A14" s="6" t="s">
        <v>111</v>
      </c>
      <c r="B14" s="6">
        <f ca="1">COUNTIF(INDIRECT(A120&amp;A117):INDIRECT(A120&amp;A116),"6*")+COUNTIF(INDIRECT(A120&amp;A117):INDIRECT(A120&amp;A116),"Halo")+COUNTIF(INDIRECT(A120&amp;A117):INDIRECT(A120&amp;A116),"Store*")+COUNTIF(INDIRECT(A120&amp;A117):INDIRECT(A120&amp;A116),"3*")</f>
        <v>1</v>
      </c>
      <c r="C14" s="6"/>
      <c r="D14" s="72" t="s">
        <v>640</v>
      </c>
      <c r="E14" s="10">
        <f ca="1">COUNTIF(INDIRECT(A119&amp;A117):INDIRECT(A119&amp;A116),INDIRECT("d"&amp;ROW()))</f>
        <v>0</v>
      </c>
    </row>
    <row r="15" spans="1:14" x14ac:dyDescent="0.25">
      <c r="A15" s="16" t="s">
        <v>930</v>
      </c>
      <c r="B15" s="6">
        <f ca="1">COUNTIF(INDIRECT(A120&amp;A117):INDIRECT(A120&amp;A116),INDIRECT("a"&amp;ROW()))</f>
        <v>0</v>
      </c>
      <c r="C15" s="6"/>
      <c r="D15" s="6"/>
      <c r="E15" s="6"/>
      <c r="N15" s="15" t="s">
        <v>283</v>
      </c>
    </row>
    <row r="16" spans="1:14" x14ac:dyDescent="0.25">
      <c r="A16" s="16" t="s">
        <v>690</v>
      </c>
      <c r="B16" s="6">
        <f ca="1">COUNTIF(INDIRECT(A120&amp;A117):INDIRECT(A120&amp;A116),INDIRECT("a"&amp;ROW()))</f>
        <v>9</v>
      </c>
      <c r="C16" s="6"/>
      <c r="D16" s="6"/>
      <c r="E16" s="6" t="str">
        <f ca="1">CONCATENATE(SUM(B11:B16),"|",SUM(E4:E9),"|",SUM(B4:B6),"|",SUM(E11:E14),"   checksums")</f>
        <v>28|28|28|28   checksums</v>
      </c>
      <c r="F16" s="72">
        <f>SUBTOTAL(3,D18:D114)</f>
        <v>28</v>
      </c>
    </row>
    <row r="17" spans="1:31" x14ac:dyDescent="0.25">
      <c r="A17" s="72" t="s">
        <v>0</v>
      </c>
      <c r="B17" s="72" t="s">
        <v>1</v>
      </c>
      <c r="C17" s="72" t="s">
        <v>818</v>
      </c>
      <c r="D17" s="72" t="s">
        <v>819</v>
      </c>
      <c r="E17" s="72" t="str">
        <f>CONCATENATE("Summary ",SUBTOTAL(3,D18:D114))</f>
        <v>Summary 28</v>
      </c>
      <c r="F17" s="72" t="s">
        <v>58</v>
      </c>
      <c r="G17" s="72" t="s">
        <v>820</v>
      </c>
      <c r="H17" s="72" t="s">
        <v>821</v>
      </c>
      <c r="I17" s="72" t="s">
        <v>61</v>
      </c>
      <c r="J17" s="21" t="s">
        <v>822</v>
      </c>
      <c r="K17" s="72" t="s">
        <v>63</v>
      </c>
      <c r="L17" s="72" t="s">
        <v>64</v>
      </c>
      <c r="M17" s="21" t="s">
        <v>823</v>
      </c>
      <c r="N17" s="72" t="s">
        <v>824</v>
      </c>
      <c r="O17" s="72" t="s">
        <v>825</v>
      </c>
      <c r="P17" s="72" t="s">
        <v>68</v>
      </c>
      <c r="Q17" s="72" t="s">
        <v>826</v>
      </c>
      <c r="R17" s="72" t="s">
        <v>827</v>
      </c>
      <c r="S17" s="72" t="s">
        <v>71</v>
      </c>
      <c r="T17" s="72" t="s">
        <v>72</v>
      </c>
      <c r="U17" s="72" t="s">
        <v>828</v>
      </c>
      <c r="V17" s="72" t="s">
        <v>75</v>
      </c>
      <c r="W17" s="72" t="s">
        <v>829</v>
      </c>
      <c r="X17" s="72" t="s">
        <v>830</v>
      </c>
      <c r="Y17" s="72" t="s">
        <v>831</v>
      </c>
      <c r="Z17" s="72" t="s">
        <v>832</v>
      </c>
      <c r="AA17" s="72" t="s">
        <v>833</v>
      </c>
      <c r="AB17" s="72" t="s">
        <v>834</v>
      </c>
      <c r="AC17" s="72" t="s">
        <v>835</v>
      </c>
      <c r="AD17" s="72" t="s">
        <v>836</v>
      </c>
      <c r="AE17" s="74" t="s">
        <v>73</v>
      </c>
    </row>
    <row r="18" spans="1:31" x14ac:dyDescent="0.25">
      <c r="A18" s="72">
        <f ca="1">DAYS360(INDIRECT(A127&amp;ROW()),TODAY())</f>
        <v>0</v>
      </c>
      <c r="B18" s="72">
        <f ca="1">DAYS360(INDIRECT(A126&amp;ROW()),TODAY())</f>
        <v>1</v>
      </c>
      <c r="C18" s="29">
        <f>HYPERLINK(BZurls!B3 &amp; 129651,129651)</f>
        <v>129651</v>
      </c>
      <c r="D18" s="72" t="s">
        <v>955</v>
      </c>
      <c r="E18" s="72" t="s">
        <v>960</v>
      </c>
      <c r="F18" s="72" t="s">
        <v>2</v>
      </c>
      <c r="G18" s="72" t="s">
        <v>623</v>
      </c>
      <c r="H18" s="72" t="s">
        <v>849</v>
      </c>
      <c r="I18" s="72" t="s">
        <v>947</v>
      </c>
      <c r="J18" s="73">
        <v>43732.343217592592</v>
      </c>
      <c r="K18" s="72" t="s">
        <v>20</v>
      </c>
      <c r="L18" s="72" t="s">
        <v>690</v>
      </c>
      <c r="M18" s="73">
        <v>43731.527812499997</v>
      </c>
      <c r="N18" s="72" t="s">
        <v>312</v>
      </c>
      <c r="O18" s="72" t="s">
        <v>947</v>
      </c>
      <c r="P18" s="72" t="s">
        <v>947</v>
      </c>
      <c r="Q18" s="72" t="s">
        <v>6</v>
      </c>
      <c r="R18" s="72" t="s">
        <v>30</v>
      </c>
      <c r="S18" s="72" t="s">
        <v>13</v>
      </c>
      <c r="T18" s="72" t="s">
        <v>239</v>
      </c>
      <c r="U18" s="72" t="s">
        <v>638</v>
      </c>
      <c r="V18" s="72" t="s">
        <v>26</v>
      </c>
      <c r="W18" s="72" t="s">
        <v>638</v>
      </c>
      <c r="X18" s="72" t="s">
        <v>81</v>
      </c>
      <c r="Y18" s="72" t="s">
        <v>638</v>
      </c>
      <c r="Z18" s="72" t="s">
        <v>638</v>
      </c>
      <c r="AA18" s="72" t="s">
        <v>638</v>
      </c>
      <c r="AB18" s="72" t="s">
        <v>544</v>
      </c>
      <c r="AC18" s="72" t="s">
        <v>947</v>
      </c>
      <c r="AD18" s="72" t="s">
        <v>961</v>
      </c>
      <c r="AE18" s="72" t="s">
        <v>947</v>
      </c>
    </row>
    <row r="19" spans="1:31" x14ac:dyDescent="0.25">
      <c r="A19" s="72">
        <f ca="1">DAYS360(INDIRECT(A127&amp;ROW()),TODAY())</f>
        <v>0</v>
      </c>
      <c r="B19" s="72">
        <f ca="1">DAYS360(INDIRECT(A126&amp;ROW()),TODAY())</f>
        <v>1</v>
      </c>
      <c r="C19" s="29">
        <f>HYPERLINK(BZurls!B3 &amp; 129636,129636)</f>
        <v>129636</v>
      </c>
      <c r="D19" s="72" t="s">
        <v>955</v>
      </c>
      <c r="E19" s="72" t="s">
        <v>956</v>
      </c>
      <c r="F19" s="72" t="s">
        <v>11</v>
      </c>
      <c r="G19" s="72" t="s">
        <v>623</v>
      </c>
      <c r="H19" s="72" t="s">
        <v>862</v>
      </c>
      <c r="I19" s="72" t="s">
        <v>947</v>
      </c>
      <c r="J19" s="73">
        <v>43732.346307870372</v>
      </c>
      <c r="K19" s="72" t="s">
        <v>20</v>
      </c>
      <c r="L19" s="72" t="s">
        <v>957</v>
      </c>
      <c r="M19" s="73">
        <v>43731.072789351849</v>
      </c>
      <c r="N19" s="72" t="s">
        <v>16</v>
      </c>
      <c r="O19" s="72" t="s">
        <v>947</v>
      </c>
      <c r="P19" s="72" t="s">
        <v>282</v>
      </c>
      <c r="Q19" s="72" t="s">
        <v>17</v>
      </c>
      <c r="R19" s="72" t="s">
        <v>30</v>
      </c>
      <c r="S19" s="72" t="s">
        <v>13</v>
      </c>
      <c r="T19" s="72" t="s">
        <v>19</v>
      </c>
      <c r="U19" s="72" t="s">
        <v>638</v>
      </c>
      <c r="V19" s="72" t="s">
        <v>88</v>
      </c>
      <c r="W19" s="72" t="s">
        <v>638</v>
      </c>
      <c r="X19" s="72" t="s">
        <v>81</v>
      </c>
      <c r="Y19" s="72" t="s">
        <v>638</v>
      </c>
      <c r="Z19" s="72" t="s">
        <v>638</v>
      </c>
      <c r="AA19" s="72" t="s">
        <v>638</v>
      </c>
      <c r="AB19" s="72" t="s">
        <v>638</v>
      </c>
      <c r="AC19" s="72">
        <v>23025</v>
      </c>
      <c r="AD19" s="72" t="s">
        <v>962</v>
      </c>
      <c r="AE19" s="72" t="s">
        <v>947</v>
      </c>
    </row>
    <row r="20" spans="1:31" x14ac:dyDescent="0.25">
      <c r="A20" s="72">
        <f ca="1">DAYS360(INDIRECT(A127&amp;ROW()),TODAY())</f>
        <v>7</v>
      </c>
      <c r="B20" s="72">
        <f ca="1">DAYS360(INDIRECT(A126&amp;ROW()),TODAY())</f>
        <v>13</v>
      </c>
      <c r="C20" s="29">
        <f>HYPERLINK(BZurls!B3 &amp; 129483,129483)</f>
        <v>129483</v>
      </c>
      <c r="D20" s="72" t="s">
        <v>951</v>
      </c>
      <c r="E20" s="72" t="s">
        <v>938</v>
      </c>
      <c r="F20" s="72" t="s">
        <v>2</v>
      </c>
      <c r="G20" s="72" t="s">
        <v>690</v>
      </c>
      <c r="H20" s="72" t="s">
        <v>287</v>
      </c>
      <c r="I20" s="72" t="s">
        <v>947</v>
      </c>
      <c r="J20" s="73">
        <v>43725.901030092595</v>
      </c>
      <c r="K20" s="72" t="s">
        <v>20</v>
      </c>
      <c r="L20" s="72" t="s">
        <v>854</v>
      </c>
      <c r="M20" s="73">
        <v>43719.462905092594</v>
      </c>
      <c r="N20" s="72" t="s">
        <v>197</v>
      </c>
      <c r="O20" s="72" t="s">
        <v>947</v>
      </c>
      <c r="P20" s="72" t="s">
        <v>282</v>
      </c>
      <c r="Q20" s="72" t="s">
        <v>6</v>
      </c>
      <c r="R20" s="72" t="s">
        <v>30</v>
      </c>
      <c r="S20" s="72" t="s">
        <v>13</v>
      </c>
      <c r="T20" s="72" t="s">
        <v>19</v>
      </c>
      <c r="U20" s="72" t="s">
        <v>638</v>
      </c>
      <c r="V20" s="72" t="s">
        <v>88</v>
      </c>
      <c r="W20" s="72" t="s">
        <v>638</v>
      </c>
      <c r="X20" s="72" t="s">
        <v>81</v>
      </c>
      <c r="Y20" s="72" t="s">
        <v>638</v>
      </c>
      <c r="Z20" s="72" t="s">
        <v>638</v>
      </c>
      <c r="AA20" s="72" t="s">
        <v>638</v>
      </c>
      <c r="AB20" s="72" t="s">
        <v>638</v>
      </c>
      <c r="AC20" s="72" t="s">
        <v>947</v>
      </c>
      <c r="AD20" s="72" t="s">
        <v>948</v>
      </c>
      <c r="AE20" s="21">
        <v>43769</v>
      </c>
    </row>
    <row r="21" spans="1:31" x14ac:dyDescent="0.25">
      <c r="A21" s="72">
        <f ca="1">DAYS360(INDIRECT(A127&amp;ROW()),TODAY())</f>
        <v>7</v>
      </c>
      <c r="B21" s="72">
        <f ca="1">DAYS360(INDIRECT(A126&amp;ROW()),TODAY())</f>
        <v>13</v>
      </c>
      <c r="C21" s="29">
        <f>HYPERLINK(BZurls!B3 &amp; 129474,129474)</f>
        <v>129474</v>
      </c>
      <c r="D21" s="72" t="s">
        <v>274</v>
      </c>
      <c r="E21" s="72" t="s">
        <v>939</v>
      </c>
      <c r="F21" s="72" t="s">
        <v>11</v>
      </c>
      <c r="G21" s="72" t="s">
        <v>690</v>
      </c>
      <c r="H21" s="72" t="s">
        <v>896</v>
      </c>
      <c r="I21" s="72" t="s">
        <v>947</v>
      </c>
      <c r="J21" s="73">
        <v>43725.350590277776</v>
      </c>
      <c r="K21" s="72" t="s">
        <v>20</v>
      </c>
      <c r="L21" s="72" t="s">
        <v>845</v>
      </c>
      <c r="M21" s="73">
        <v>43719.167129629626</v>
      </c>
      <c r="N21" s="72" t="s">
        <v>312</v>
      </c>
      <c r="O21" s="72" t="s">
        <v>947</v>
      </c>
      <c r="P21" s="72" t="s">
        <v>282</v>
      </c>
      <c r="Q21" s="72" t="s">
        <v>17</v>
      </c>
      <c r="R21" s="72" t="s">
        <v>30</v>
      </c>
      <c r="S21" s="72" t="s">
        <v>13</v>
      </c>
      <c r="T21" s="72" t="s">
        <v>239</v>
      </c>
      <c r="U21" s="72" t="s">
        <v>638</v>
      </c>
      <c r="V21" s="72" t="s">
        <v>88</v>
      </c>
      <c r="W21" s="72" t="s">
        <v>638</v>
      </c>
      <c r="X21" s="72" t="s">
        <v>81</v>
      </c>
      <c r="Y21" s="72" t="s">
        <v>638</v>
      </c>
      <c r="Z21" s="72" t="s">
        <v>638</v>
      </c>
      <c r="AA21" s="72" t="s">
        <v>638</v>
      </c>
      <c r="AB21" s="72" t="s">
        <v>638</v>
      </c>
      <c r="AC21" s="72" t="s">
        <v>947</v>
      </c>
      <c r="AD21" s="72" t="s">
        <v>949</v>
      </c>
      <c r="AE21" s="21">
        <v>43769</v>
      </c>
    </row>
    <row r="22" spans="1:31" x14ac:dyDescent="0.25">
      <c r="A22" s="72">
        <f ca="1">DAYS360(INDIRECT(A127&amp;ROW()),TODAY())</f>
        <v>7</v>
      </c>
      <c r="B22" s="72">
        <f ca="1">DAYS360(INDIRECT(A126&amp;ROW()),TODAY())</f>
        <v>15</v>
      </c>
      <c r="C22" s="29">
        <f>HYPERLINK(BZurls!B3 &amp; 129441,129441)</f>
        <v>129441</v>
      </c>
      <c r="D22" s="72" t="s">
        <v>274</v>
      </c>
      <c r="E22" s="72" t="s">
        <v>934</v>
      </c>
      <c r="F22" s="72" t="s">
        <v>2</v>
      </c>
      <c r="G22" s="72" t="s">
        <v>690</v>
      </c>
      <c r="H22" s="72" t="s">
        <v>896</v>
      </c>
      <c r="I22" s="72" t="s">
        <v>947</v>
      </c>
      <c r="J22" s="73">
        <v>43725.348587962966</v>
      </c>
      <c r="K22" s="72" t="s">
        <v>20</v>
      </c>
      <c r="L22" s="72" t="s">
        <v>845</v>
      </c>
      <c r="M22" s="73">
        <v>43717.294803240744</v>
      </c>
      <c r="N22" s="72" t="s">
        <v>312</v>
      </c>
      <c r="O22" s="72" t="s">
        <v>947</v>
      </c>
      <c r="P22" s="72" t="s">
        <v>282</v>
      </c>
      <c r="Q22" s="72" t="s">
        <v>17</v>
      </c>
      <c r="R22" s="72" t="s">
        <v>30</v>
      </c>
      <c r="S22" s="72" t="s">
        <v>13</v>
      </c>
      <c r="T22" s="72" t="s">
        <v>19</v>
      </c>
      <c r="U22" s="72" t="s">
        <v>638</v>
      </c>
      <c r="V22" s="72" t="s">
        <v>88</v>
      </c>
      <c r="W22" s="72" t="s">
        <v>638</v>
      </c>
      <c r="X22" s="72" t="s">
        <v>81</v>
      </c>
      <c r="Y22" s="72" t="s">
        <v>638</v>
      </c>
      <c r="Z22" s="72" t="s">
        <v>638</v>
      </c>
      <c r="AA22" s="72" t="s">
        <v>638</v>
      </c>
      <c r="AB22" s="72" t="s">
        <v>638</v>
      </c>
      <c r="AC22" s="72" t="s">
        <v>947</v>
      </c>
      <c r="AD22" s="72" t="s">
        <v>935</v>
      </c>
      <c r="AE22" s="21">
        <v>43769</v>
      </c>
    </row>
    <row r="23" spans="1:31" x14ac:dyDescent="0.25">
      <c r="A23" s="72">
        <f ca="1">DAYS360(INDIRECT(A127&amp;ROW()),TODAY())</f>
        <v>8</v>
      </c>
      <c r="B23" s="72">
        <f ca="1">DAYS360(INDIRECT(A126&amp;ROW()),TODAY())</f>
        <v>19</v>
      </c>
      <c r="C23" s="29">
        <f>HYPERLINK(BZurls!B3 &amp; 129332,129332)</f>
        <v>129332</v>
      </c>
      <c r="D23" s="72" t="s">
        <v>277</v>
      </c>
      <c r="E23" s="72" t="s">
        <v>931</v>
      </c>
      <c r="F23" s="72" t="s">
        <v>11</v>
      </c>
      <c r="G23" s="72" t="s">
        <v>932</v>
      </c>
      <c r="H23" s="72" t="s">
        <v>933</v>
      </c>
      <c r="I23" s="72" t="s">
        <v>947</v>
      </c>
      <c r="J23" s="73">
        <v>43724.492800925924</v>
      </c>
      <c r="K23" s="72" t="s">
        <v>20</v>
      </c>
      <c r="L23" s="72" t="s">
        <v>899</v>
      </c>
      <c r="M23" s="73">
        <v>43713.634768518517</v>
      </c>
      <c r="N23" s="72" t="s">
        <v>16</v>
      </c>
      <c r="O23" s="72" t="s">
        <v>947</v>
      </c>
      <c r="P23" s="72" t="s">
        <v>282</v>
      </c>
      <c r="Q23" s="72" t="s">
        <v>17</v>
      </c>
      <c r="R23" s="72" t="s">
        <v>30</v>
      </c>
      <c r="S23" s="72" t="s">
        <v>13</v>
      </c>
      <c r="T23" s="72" t="s">
        <v>19</v>
      </c>
      <c r="U23" s="72" t="s">
        <v>638</v>
      </c>
      <c r="V23" s="72" t="s">
        <v>88</v>
      </c>
      <c r="W23" s="72" t="s">
        <v>638</v>
      </c>
      <c r="X23" s="72" t="s">
        <v>81</v>
      </c>
      <c r="Y23" s="72" t="s">
        <v>638</v>
      </c>
      <c r="Z23" s="72" t="s">
        <v>638</v>
      </c>
      <c r="AA23" s="72" t="s">
        <v>638</v>
      </c>
      <c r="AB23" s="72" t="s">
        <v>638</v>
      </c>
      <c r="AC23" s="72" t="s">
        <v>947</v>
      </c>
      <c r="AD23" s="72" t="s">
        <v>900</v>
      </c>
      <c r="AE23" s="21">
        <v>43769</v>
      </c>
    </row>
    <row r="24" spans="1:31" x14ac:dyDescent="0.25">
      <c r="A24" s="72">
        <f ca="1">DAYS360(INDIRECT(A127&amp;ROW()),TODAY())</f>
        <v>1</v>
      </c>
      <c r="B24" s="72">
        <f ca="1">DAYS360(INDIRECT(A126&amp;ROW()),TODAY())</f>
        <v>19</v>
      </c>
      <c r="C24" s="29">
        <f>HYPERLINK(BZurls!B3 &amp; 129327,129327)</f>
        <v>129327</v>
      </c>
      <c r="D24" s="72" t="s">
        <v>277</v>
      </c>
      <c r="E24" s="72" t="s">
        <v>958</v>
      </c>
      <c r="F24" s="72" t="s">
        <v>2</v>
      </c>
      <c r="G24" s="72" t="s">
        <v>690</v>
      </c>
      <c r="H24" s="72" t="s">
        <v>664</v>
      </c>
      <c r="I24" s="72" t="s">
        <v>947</v>
      </c>
      <c r="J24" s="73">
        <v>43731.405960648146</v>
      </c>
      <c r="K24" s="72" t="s">
        <v>20</v>
      </c>
      <c r="L24" s="72" t="s">
        <v>690</v>
      </c>
      <c r="M24" s="73">
        <v>43713.608090277776</v>
      </c>
      <c r="N24" s="72" t="s">
        <v>312</v>
      </c>
      <c r="O24" s="72" t="s">
        <v>947</v>
      </c>
      <c r="P24" s="72" t="s">
        <v>947</v>
      </c>
      <c r="Q24" s="72" t="s">
        <v>6</v>
      </c>
      <c r="R24" s="72" t="s">
        <v>30</v>
      </c>
      <c r="S24" s="72" t="s">
        <v>13</v>
      </c>
      <c r="T24" s="72" t="s">
        <v>239</v>
      </c>
      <c r="U24" s="72" t="s">
        <v>638</v>
      </c>
      <c r="V24" s="72" t="s">
        <v>88</v>
      </c>
      <c r="W24" s="72" t="s">
        <v>638</v>
      </c>
      <c r="X24" s="72" t="s">
        <v>81</v>
      </c>
      <c r="Y24" s="72" t="s">
        <v>638</v>
      </c>
      <c r="Z24" s="72" t="s">
        <v>638</v>
      </c>
      <c r="AA24" s="72" t="s">
        <v>638</v>
      </c>
      <c r="AB24" s="72" t="s">
        <v>544</v>
      </c>
      <c r="AC24" s="72" t="s">
        <v>947</v>
      </c>
      <c r="AD24" s="72" t="s">
        <v>959</v>
      </c>
      <c r="AE24" s="21">
        <v>43769</v>
      </c>
    </row>
    <row r="25" spans="1:31" x14ac:dyDescent="0.25">
      <c r="A25" s="72">
        <f ca="1">DAYS360(INDIRECT(A127&amp;ROW()),TODAY())</f>
        <v>0</v>
      </c>
      <c r="B25" s="72">
        <f ca="1">DAYS360(INDIRECT(A126&amp;ROW()),TODAY())</f>
        <v>21</v>
      </c>
      <c r="C25" s="29">
        <f>HYPERLINK(BZurls!B3 &amp; 129271,129271)</f>
        <v>129271</v>
      </c>
      <c r="D25" s="72" t="s">
        <v>344</v>
      </c>
      <c r="E25" s="72" t="s">
        <v>952</v>
      </c>
      <c r="F25" s="72" t="s">
        <v>11</v>
      </c>
      <c r="G25" s="72" t="s">
        <v>690</v>
      </c>
      <c r="H25" s="72" t="s">
        <v>849</v>
      </c>
      <c r="I25" s="72" t="s">
        <v>947</v>
      </c>
      <c r="J25" s="73">
        <v>43732.340104166666</v>
      </c>
      <c r="K25" s="72" t="s">
        <v>20</v>
      </c>
      <c r="L25" s="72" t="s">
        <v>854</v>
      </c>
      <c r="M25" s="73">
        <v>43711.416226851848</v>
      </c>
      <c r="N25" s="72" t="s">
        <v>953</v>
      </c>
      <c r="O25" s="72" t="s">
        <v>947</v>
      </c>
      <c r="P25" s="72" t="s">
        <v>282</v>
      </c>
      <c r="Q25" s="72" t="s">
        <v>17</v>
      </c>
      <c r="R25" s="72" t="s">
        <v>30</v>
      </c>
      <c r="S25" s="72" t="s">
        <v>13</v>
      </c>
      <c r="T25" s="72" t="s">
        <v>19</v>
      </c>
      <c r="U25" s="72" t="s">
        <v>638</v>
      </c>
      <c r="V25" s="72" t="s">
        <v>10</v>
      </c>
      <c r="W25" s="72" t="s">
        <v>638</v>
      </c>
      <c r="X25" s="72" t="s">
        <v>81</v>
      </c>
      <c r="Y25" s="72" t="s">
        <v>638</v>
      </c>
      <c r="Z25" s="72" t="s">
        <v>638</v>
      </c>
      <c r="AA25" s="72" t="s">
        <v>638</v>
      </c>
      <c r="AB25" s="72" t="s">
        <v>638</v>
      </c>
      <c r="AC25" s="72" t="s">
        <v>947</v>
      </c>
      <c r="AD25" s="72" t="s">
        <v>963</v>
      </c>
      <c r="AE25" s="21">
        <v>43769</v>
      </c>
    </row>
    <row r="26" spans="1:31" x14ac:dyDescent="0.25">
      <c r="A26" s="72">
        <f ca="1">DAYS360(INDIRECT(A127&amp;ROW()),TODAY())</f>
        <v>5</v>
      </c>
      <c r="B26" s="72">
        <f ca="1">DAYS360(INDIRECT(A126&amp;ROW()),TODAY())</f>
        <v>26</v>
      </c>
      <c r="C26" s="29">
        <f>HYPERLINK(BZurls!B3 &amp; 129182,129182)</f>
        <v>129182</v>
      </c>
      <c r="D26" s="72" t="s">
        <v>274</v>
      </c>
      <c r="E26" s="72" t="s">
        <v>897</v>
      </c>
      <c r="F26" s="72" t="s">
        <v>11</v>
      </c>
      <c r="G26" s="72" t="s">
        <v>690</v>
      </c>
      <c r="H26" s="72" t="s">
        <v>364</v>
      </c>
      <c r="I26" s="72" t="s">
        <v>947</v>
      </c>
      <c r="J26" s="73">
        <v>43727.463645833333</v>
      </c>
      <c r="K26" s="72" t="s">
        <v>20</v>
      </c>
      <c r="L26" s="72" t="s">
        <v>690</v>
      </c>
      <c r="M26" s="73">
        <v>43705.421226851853</v>
      </c>
      <c r="N26" s="72" t="s">
        <v>674</v>
      </c>
      <c r="O26" s="72" t="s">
        <v>947</v>
      </c>
      <c r="P26" s="72" t="s">
        <v>282</v>
      </c>
      <c r="Q26" s="72" t="s">
        <v>12</v>
      </c>
      <c r="R26" s="72" t="s">
        <v>30</v>
      </c>
      <c r="S26" s="72" t="s">
        <v>13</v>
      </c>
      <c r="T26" s="72" t="s">
        <v>19</v>
      </c>
      <c r="U26" s="72" t="s">
        <v>638</v>
      </c>
      <c r="V26" s="72" t="s">
        <v>88</v>
      </c>
      <c r="W26" s="72" t="s">
        <v>638</v>
      </c>
      <c r="X26" s="72" t="s">
        <v>81</v>
      </c>
      <c r="Y26" s="72" t="s">
        <v>638</v>
      </c>
      <c r="Z26" s="72" t="s">
        <v>638</v>
      </c>
      <c r="AA26" s="72" t="s">
        <v>638</v>
      </c>
      <c r="AB26" s="72" t="s">
        <v>638</v>
      </c>
      <c r="AC26" s="72" t="s">
        <v>947</v>
      </c>
      <c r="AD26" s="72" t="s">
        <v>936</v>
      </c>
      <c r="AE26" s="21">
        <v>43738</v>
      </c>
    </row>
    <row r="27" spans="1:31" x14ac:dyDescent="0.25">
      <c r="A27" s="72">
        <f ca="1">DAYS360(INDIRECT(A127&amp;ROW()),TODAY())</f>
        <v>5</v>
      </c>
      <c r="B27" s="72">
        <f ca="1">DAYS360(INDIRECT(A126&amp;ROW()),TODAY())</f>
        <v>26</v>
      </c>
      <c r="C27" s="29">
        <f>HYPERLINK(BZurls!B3 &amp; 129181,129181)</f>
        <v>129181</v>
      </c>
      <c r="D27" s="72" t="s">
        <v>344</v>
      </c>
      <c r="E27" s="72" t="s">
        <v>898</v>
      </c>
      <c r="F27" s="72" t="s">
        <v>2</v>
      </c>
      <c r="G27" s="72" t="s">
        <v>690</v>
      </c>
      <c r="H27" s="72" t="s">
        <v>364</v>
      </c>
      <c r="I27" s="72" t="s">
        <v>947</v>
      </c>
      <c r="J27" s="73">
        <v>43727.407962962963</v>
      </c>
      <c r="K27" s="72" t="s">
        <v>20</v>
      </c>
      <c r="L27" s="72" t="s">
        <v>690</v>
      </c>
      <c r="M27" s="73">
        <v>43705.407418981478</v>
      </c>
      <c r="N27" s="72" t="s">
        <v>674</v>
      </c>
      <c r="O27" s="72" t="s">
        <v>947</v>
      </c>
      <c r="P27" s="72" t="s">
        <v>282</v>
      </c>
      <c r="Q27" s="72" t="s">
        <v>12</v>
      </c>
      <c r="R27" s="72" t="s">
        <v>30</v>
      </c>
      <c r="S27" s="72" t="s">
        <v>13</v>
      </c>
      <c r="T27" s="72" t="s">
        <v>19</v>
      </c>
      <c r="U27" s="72" t="s">
        <v>638</v>
      </c>
      <c r="V27" s="72" t="s">
        <v>88</v>
      </c>
      <c r="W27" s="72" t="s">
        <v>638</v>
      </c>
      <c r="X27" s="72" t="s">
        <v>81</v>
      </c>
      <c r="Y27" s="72" t="s">
        <v>638</v>
      </c>
      <c r="Z27" s="72" t="s">
        <v>638</v>
      </c>
      <c r="AA27" s="72" t="s">
        <v>638</v>
      </c>
      <c r="AB27" s="72" t="s">
        <v>638</v>
      </c>
      <c r="AC27" s="72" t="s">
        <v>947</v>
      </c>
      <c r="AD27" s="72" t="s">
        <v>936</v>
      </c>
      <c r="AE27" s="21">
        <v>43738</v>
      </c>
    </row>
    <row r="28" spans="1:31" x14ac:dyDescent="0.25">
      <c r="A28" s="72">
        <f ca="1">DAYS360(INDIRECT(A127&amp;ROW()),TODAY())</f>
        <v>8</v>
      </c>
      <c r="B28" s="72">
        <f ca="1">DAYS360(INDIRECT(A126&amp;ROW()),TODAY())</f>
        <v>26</v>
      </c>
      <c r="C28" s="29">
        <f>HYPERLINK(BZurls!B3 &amp; 129162,129162)</f>
        <v>129162</v>
      </c>
      <c r="D28" s="72" t="s">
        <v>537</v>
      </c>
      <c r="E28" s="72" t="s">
        <v>940</v>
      </c>
      <c r="F28" s="72" t="s">
        <v>11</v>
      </c>
      <c r="G28" s="72" t="s">
        <v>941</v>
      </c>
      <c r="H28" s="72" t="s">
        <v>537</v>
      </c>
      <c r="I28" s="72" t="s">
        <v>947</v>
      </c>
      <c r="J28" s="73">
        <v>43724.492800925924</v>
      </c>
      <c r="K28" s="72" t="s">
        <v>20</v>
      </c>
      <c r="L28" s="72" t="s">
        <v>899</v>
      </c>
      <c r="M28" s="73">
        <v>43705.004594907405</v>
      </c>
      <c r="N28" s="72" t="s">
        <v>16</v>
      </c>
      <c r="O28" s="72" t="s">
        <v>947</v>
      </c>
      <c r="P28" s="72" t="s">
        <v>282</v>
      </c>
      <c r="Q28" s="72" t="s">
        <v>17</v>
      </c>
      <c r="R28" s="72" t="s">
        <v>30</v>
      </c>
      <c r="S28" s="72" t="s">
        <v>13</v>
      </c>
      <c r="T28" s="72" t="s">
        <v>19</v>
      </c>
      <c r="U28" s="72" t="s">
        <v>638</v>
      </c>
      <c r="V28" s="72" t="s">
        <v>88</v>
      </c>
      <c r="W28" s="72" t="s">
        <v>638</v>
      </c>
      <c r="X28" s="72" t="s">
        <v>81</v>
      </c>
      <c r="Y28" s="72" t="s">
        <v>638</v>
      </c>
      <c r="Z28" s="72" t="s">
        <v>638</v>
      </c>
      <c r="AA28" s="72" t="s">
        <v>638</v>
      </c>
      <c r="AB28" s="72" t="s">
        <v>638</v>
      </c>
      <c r="AC28" s="72" t="s">
        <v>947</v>
      </c>
      <c r="AD28" s="72" t="s">
        <v>900</v>
      </c>
      <c r="AE28" s="21">
        <v>43769</v>
      </c>
    </row>
    <row r="29" spans="1:31" x14ac:dyDescent="0.25">
      <c r="A29" s="72">
        <f ca="1">DAYS360(INDIRECT(A127&amp;ROW()),TODAY())</f>
        <v>11</v>
      </c>
      <c r="B29" s="72">
        <f ca="1">DAYS360(INDIRECT(A126&amp;ROW()),TODAY())</f>
        <v>39</v>
      </c>
      <c r="C29" s="29">
        <f>HYPERLINK(BZurls!B3 &amp; 128972,128972)</f>
        <v>128972</v>
      </c>
      <c r="D29" s="72" t="s">
        <v>287</v>
      </c>
      <c r="E29" s="72" t="s">
        <v>901</v>
      </c>
      <c r="F29" s="72" t="s">
        <v>2</v>
      </c>
      <c r="G29" s="72" t="s">
        <v>690</v>
      </c>
      <c r="H29" s="72" t="s">
        <v>365</v>
      </c>
      <c r="I29" s="72" t="s">
        <v>947</v>
      </c>
      <c r="J29" s="73">
        <v>43721.455995370372</v>
      </c>
      <c r="K29" s="72" t="s">
        <v>20</v>
      </c>
      <c r="L29" s="72" t="s">
        <v>854</v>
      </c>
      <c r="M29" s="73">
        <v>43692.427060185182</v>
      </c>
      <c r="N29" s="72" t="s">
        <v>16</v>
      </c>
      <c r="O29" s="72" t="s">
        <v>947</v>
      </c>
      <c r="P29" s="72" t="s">
        <v>282</v>
      </c>
      <c r="Q29" s="72" t="s">
        <v>17</v>
      </c>
      <c r="R29" s="72" t="s">
        <v>30</v>
      </c>
      <c r="S29" s="72" t="s">
        <v>13</v>
      </c>
      <c r="T29" s="72" t="s">
        <v>19</v>
      </c>
      <c r="U29" s="72" t="s">
        <v>638</v>
      </c>
      <c r="V29" s="72" t="s">
        <v>88</v>
      </c>
      <c r="W29" s="72" t="s">
        <v>638</v>
      </c>
      <c r="X29" s="72" t="s">
        <v>81</v>
      </c>
      <c r="Y29" s="72" t="s">
        <v>638</v>
      </c>
      <c r="Z29" s="72" t="s">
        <v>638</v>
      </c>
      <c r="AA29" s="72" t="s">
        <v>638</v>
      </c>
      <c r="AB29" s="72" t="s">
        <v>638</v>
      </c>
      <c r="AC29" s="72">
        <v>21195</v>
      </c>
      <c r="AD29" s="72" t="s">
        <v>902</v>
      </c>
      <c r="AE29" s="21">
        <v>43738</v>
      </c>
    </row>
    <row r="30" spans="1:31" x14ac:dyDescent="0.25">
      <c r="A30" s="72">
        <f ca="1">DAYS360(INDIRECT(A127&amp;ROW()),TODAY())</f>
        <v>0</v>
      </c>
      <c r="B30" s="72">
        <f ca="1">DAYS360(INDIRECT(A126&amp;ROW()),TODAY())</f>
        <v>42</v>
      </c>
      <c r="C30" s="29">
        <f>HYPERLINK(BZurls!B3 &amp; 128912,128912)</f>
        <v>128912</v>
      </c>
      <c r="D30" s="72" t="s">
        <v>537</v>
      </c>
      <c r="E30" s="72" t="s">
        <v>903</v>
      </c>
      <c r="F30" s="72" t="s">
        <v>11</v>
      </c>
      <c r="G30" s="72" t="s">
        <v>690</v>
      </c>
      <c r="H30" s="72" t="s">
        <v>274</v>
      </c>
      <c r="I30" s="72" t="s">
        <v>947</v>
      </c>
      <c r="J30" s="73">
        <v>43732.311307870368</v>
      </c>
      <c r="K30" s="72" t="s">
        <v>4</v>
      </c>
      <c r="L30" s="72" t="s">
        <v>690</v>
      </c>
      <c r="M30" s="73">
        <v>43689.596759259257</v>
      </c>
      <c r="N30" s="72" t="s">
        <v>676</v>
      </c>
      <c r="O30" s="72" t="s">
        <v>947</v>
      </c>
      <c r="P30" s="72" t="s">
        <v>282</v>
      </c>
      <c r="Q30" s="72" t="s">
        <v>17</v>
      </c>
      <c r="R30" s="72" t="s">
        <v>30</v>
      </c>
      <c r="S30" s="72" t="s">
        <v>13</v>
      </c>
      <c r="T30" s="72" t="s">
        <v>19</v>
      </c>
      <c r="U30" s="72" t="s">
        <v>638</v>
      </c>
      <c r="V30" s="72" t="s">
        <v>88</v>
      </c>
      <c r="W30" s="72" t="s">
        <v>638</v>
      </c>
      <c r="X30" s="72" t="s">
        <v>81</v>
      </c>
      <c r="Y30" s="72" t="s">
        <v>638</v>
      </c>
      <c r="Z30" s="72" t="s">
        <v>638</v>
      </c>
      <c r="AA30" s="72" t="s">
        <v>638</v>
      </c>
      <c r="AB30" s="72" t="s">
        <v>638</v>
      </c>
      <c r="AC30" s="72" t="s">
        <v>947</v>
      </c>
      <c r="AD30" s="72" t="s">
        <v>904</v>
      </c>
      <c r="AE30" s="21">
        <v>43733</v>
      </c>
    </row>
    <row r="31" spans="1:31" x14ac:dyDescent="0.25">
      <c r="A31" s="72">
        <f ca="1">DAYS360(INDIRECT(A127&amp;ROW()),TODAY())</f>
        <v>7</v>
      </c>
      <c r="B31" s="72">
        <f ca="1">DAYS360(INDIRECT(A126&amp;ROW()),TODAY())</f>
        <v>58</v>
      </c>
      <c r="C31" s="29">
        <f>HYPERLINK(BZurls!B3 &amp; 128448,128448)</f>
        <v>128448</v>
      </c>
      <c r="D31" s="72" t="s">
        <v>571</v>
      </c>
      <c r="E31" s="72" t="s">
        <v>905</v>
      </c>
      <c r="F31" s="72" t="s">
        <v>11</v>
      </c>
      <c r="G31" s="72" t="s">
        <v>690</v>
      </c>
      <c r="H31" s="72" t="s">
        <v>849</v>
      </c>
      <c r="I31" s="72" t="s">
        <v>947</v>
      </c>
      <c r="J31" s="73">
        <v>43725.33902777778</v>
      </c>
      <c r="K31" s="72" t="s">
        <v>4</v>
      </c>
      <c r="L31" s="72" t="s">
        <v>690</v>
      </c>
      <c r="M31" s="73">
        <v>43672.338136574072</v>
      </c>
      <c r="N31" s="72" t="s">
        <v>312</v>
      </c>
      <c r="O31" s="72" t="s">
        <v>947</v>
      </c>
      <c r="P31" s="72" t="s">
        <v>282</v>
      </c>
      <c r="Q31" s="72" t="s">
        <v>17</v>
      </c>
      <c r="R31" s="72" t="s">
        <v>30</v>
      </c>
      <c r="S31" s="72" t="s">
        <v>13</v>
      </c>
      <c r="T31" s="72" t="s">
        <v>239</v>
      </c>
      <c r="U31" s="72" t="s">
        <v>638</v>
      </c>
      <c r="V31" s="72" t="s">
        <v>88</v>
      </c>
      <c r="W31" s="72" t="s">
        <v>638</v>
      </c>
      <c r="X31" s="72" t="s">
        <v>81</v>
      </c>
      <c r="Y31" s="72" t="s">
        <v>638</v>
      </c>
      <c r="Z31" s="72" t="s">
        <v>638</v>
      </c>
      <c r="AA31" s="72" t="s">
        <v>638</v>
      </c>
      <c r="AB31" s="72" t="s">
        <v>638</v>
      </c>
      <c r="AC31" s="72" t="s">
        <v>947</v>
      </c>
      <c r="AD31" s="72" t="s">
        <v>950</v>
      </c>
      <c r="AE31" s="21">
        <v>43738</v>
      </c>
    </row>
    <row r="32" spans="1:31" x14ac:dyDescent="0.25">
      <c r="A32" s="72">
        <f ca="1">DAYS360(INDIRECT(A127&amp;ROW()),TODAY())</f>
        <v>8</v>
      </c>
      <c r="B32" s="72">
        <f ca="1">DAYS360(INDIRECT(A126&amp;ROW()),TODAY())</f>
        <v>81</v>
      </c>
      <c r="C32" s="29">
        <f>HYPERLINK(BZurls!B3 &amp; 127706,127706)</f>
        <v>127706</v>
      </c>
      <c r="D32" s="72" t="s">
        <v>537</v>
      </c>
      <c r="E32" s="72" t="s">
        <v>942</v>
      </c>
      <c r="F32" s="72" t="s">
        <v>11</v>
      </c>
      <c r="G32" s="72" t="s">
        <v>941</v>
      </c>
      <c r="H32" s="72" t="s">
        <v>907</v>
      </c>
      <c r="I32" s="72" t="s">
        <v>908</v>
      </c>
      <c r="J32" s="73">
        <v>43724.653009259258</v>
      </c>
      <c r="K32" s="72" t="s">
        <v>20</v>
      </c>
      <c r="L32" s="72" t="s">
        <v>672</v>
      </c>
      <c r="M32" s="73">
        <v>43649.268680555557</v>
      </c>
      <c r="N32" s="72" t="s">
        <v>16</v>
      </c>
      <c r="O32" s="72" t="s">
        <v>947</v>
      </c>
      <c r="P32" s="72" t="s">
        <v>909</v>
      </c>
      <c r="Q32" s="72" t="s">
        <v>17</v>
      </c>
      <c r="R32" s="72" t="s">
        <v>30</v>
      </c>
      <c r="S32" s="72" t="s">
        <v>13</v>
      </c>
      <c r="T32" s="72" t="s">
        <v>19</v>
      </c>
      <c r="U32" s="72" t="s">
        <v>638</v>
      </c>
      <c r="V32" s="72" t="s">
        <v>516</v>
      </c>
      <c r="W32" s="72" t="s">
        <v>638</v>
      </c>
      <c r="X32" s="72" t="s">
        <v>81</v>
      </c>
      <c r="Y32" s="72" t="s">
        <v>638</v>
      </c>
      <c r="Z32" s="72" t="s">
        <v>638</v>
      </c>
      <c r="AA32" s="72" t="s">
        <v>638</v>
      </c>
      <c r="AB32" s="72" t="s">
        <v>544</v>
      </c>
      <c r="AC32" s="72">
        <v>20203</v>
      </c>
      <c r="AD32" s="72" t="s">
        <v>943</v>
      </c>
      <c r="AE32" s="21">
        <v>44196</v>
      </c>
    </row>
    <row r="33" spans="1:31" x14ac:dyDescent="0.25">
      <c r="A33" s="72">
        <f ca="1">DAYS360(INDIRECT(A127&amp;ROW()),TODAY())</f>
        <v>11</v>
      </c>
      <c r="B33" s="72">
        <f ca="1">DAYS360(INDIRECT(A126&amp;ROW()),TODAY())</f>
        <v>96</v>
      </c>
      <c r="C33" s="29">
        <f>HYPERLINK(BZurls!B3 &amp; 127192,127192)</f>
        <v>127192</v>
      </c>
      <c r="D33" s="72" t="s">
        <v>344</v>
      </c>
      <c r="E33" s="72" t="s">
        <v>910</v>
      </c>
      <c r="F33" s="72" t="s">
        <v>11</v>
      </c>
      <c r="G33" s="72" t="s">
        <v>690</v>
      </c>
      <c r="H33" s="72" t="s">
        <v>862</v>
      </c>
      <c r="I33" s="72" t="s">
        <v>947</v>
      </c>
      <c r="J33" s="73">
        <v>43721.452291666668</v>
      </c>
      <c r="K33" s="72" t="s">
        <v>20</v>
      </c>
      <c r="L33" s="72" t="s">
        <v>911</v>
      </c>
      <c r="M33" s="73">
        <v>43634.051018518519</v>
      </c>
      <c r="N33" s="72" t="s">
        <v>16</v>
      </c>
      <c r="O33" s="72" t="s">
        <v>947</v>
      </c>
      <c r="P33" s="72" t="s">
        <v>282</v>
      </c>
      <c r="Q33" s="72" t="s">
        <v>17</v>
      </c>
      <c r="R33" s="72" t="s">
        <v>30</v>
      </c>
      <c r="S33" s="72" t="s">
        <v>13</v>
      </c>
      <c r="T33" s="72" t="s">
        <v>19</v>
      </c>
      <c r="U33" s="72" t="s">
        <v>638</v>
      </c>
      <c r="V33" s="72" t="s">
        <v>88</v>
      </c>
      <c r="W33" s="72" t="s">
        <v>638</v>
      </c>
      <c r="X33" s="72" t="s">
        <v>81</v>
      </c>
      <c r="Y33" s="72" t="s">
        <v>638</v>
      </c>
      <c r="Z33" s="72" t="s">
        <v>638</v>
      </c>
      <c r="AA33" s="72" t="s">
        <v>638</v>
      </c>
      <c r="AB33" s="72" t="s">
        <v>638</v>
      </c>
      <c r="AC33" s="72">
        <v>22539</v>
      </c>
      <c r="AD33" s="72" t="s">
        <v>912</v>
      </c>
      <c r="AE33" s="21">
        <v>43769</v>
      </c>
    </row>
    <row r="34" spans="1:31" x14ac:dyDescent="0.25">
      <c r="A34" s="72">
        <f ca="1">DAYS360(INDIRECT(A127&amp;ROW()),TODAY())</f>
        <v>8</v>
      </c>
      <c r="B34" s="72">
        <f ca="1">DAYS360(INDIRECT(A126&amp;ROW()),TODAY())</f>
        <v>110</v>
      </c>
      <c r="C34" s="29">
        <f>HYPERLINK(BZurls!B3 &amp; 126848,126848)</f>
        <v>126848</v>
      </c>
      <c r="D34" s="72" t="s">
        <v>277</v>
      </c>
      <c r="E34" s="72" t="s">
        <v>913</v>
      </c>
      <c r="F34" s="72" t="s">
        <v>2</v>
      </c>
      <c r="G34" s="72" t="s">
        <v>914</v>
      </c>
      <c r="H34" s="72" t="s">
        <v>277</v>
      </c>
      <c r="I34" s="72" t="s">
        <v>947</v>
      </c>
      <c r="J34" s="73">
        <v>43724.646770833337</v>
      </c>
      <c r="K34" s="72" t="s">
        <v>20</v>
      </c>
      <c r="L34" s="72" t="s">
        <v>854</v>
      </c>
      <c r="M34" s="73">
        <v>43620.251134259262</v>
      </c>
      <c r="N34" s="72" t="s">
        <v>313</v>
      </c>
      <c r="O34" s="72" t="s">
        <v>947</v>
      </c>
      <c r="P34" s="72" t="s">
        <v>282</v>
      </c>
      <c r="Q34" s="72" t="s">
        <v>6</v>
      </c>
      <c r="R34" s="72" t="s">
        <v>30</v>
      </c>
      <c r="S34" s="72" t="s">
        <v>13</v>
      </c>
      <c r="T34" s="72" t="s">
        <v>239</v>
      </c>
      <c r="U34" s="72" t="s">
        <v>638</v>
      </c>
      <c r="V34" s="72" t="s">
        <v>88</v>
      </c>
      <c r="W34" s="72" t="s">
        <v>626</v>
      </c>
      <c r="X34" s="72" t="s">
        <v>81</v>
      </c>
      <c r="Y34" s="72" t="s">
        <v>638</v>
      </c>
      <c r="Z34" s="72" t="s">
        <v>638</v>
      </c>
      <c r="AA34" s="72" t="s">
        <v>638</v>
      </c>
      <c r="AB34" s="72" t="s">
        <v>638</v>
      </c>
      <c r="AC34" s="72" t="s">
        <v>947</v>
      </c>
      <c r="AD34" s="72" t="s">
        <v>915</v>
      </c>
      <c r="AE34" s="21">
        <v>43769</v>
      </c>
    </row>
    <row r="35" spans="1:31" x14ac:dyDescent="0.25">
      <c r="A35" s="72">
        <f ca="1">DAYS360(INDIRECT(A127&amp;ROW()),TODAY())</f>
        <v>8</v>
      </c>
      <c r="B35" s="72">
        <f ca="1">DAYS360(INDIRECT(A126&amp;ROW()),TODAY())</f>
        <v>117</v>
      </c>
      <c r="C35" s="29">
        <f>HYPERLINK(BZurls!B3 &amp; 126634,126634)</f>
        <v>126634</v>
      </c>
      <c r="D35" s="72" t="s">
        <v>344</v>
      </c>
      <c r="E35" s="72" t="s">
        <v>913</v>
      </c>
      <c r="F35" s="72" t="s">
        <v>2</v>
      </c>
      <c r="G35" s="72" t="s">
        <v>914</v>
      </c>
      <c r="H35" s="72" t="s">
        <v>896</v>
      </c>
      <c r="I35" s="72" t="s">
        <v>947</v>
      </c>
      <c r="J35" s="73">
        <v>43724.646736111114</v>
      </c>
      <c r="K35" s="72" t="s">
        <v>4</v>
      </c>
      <c r="L35" s="72" t="s">
        <v>854</v>
      </c>
      <c r="M35" s="73">
        <v>43612.254317129627</v>
      </c>
      <c r="N35" s="72" t="s">
        <v>313</v>
      </c>
      <c r="O35" s="72" t="s">
        <v>947</v>
      </c>
      <c r="P35" s="72" t="s">
        <v>282</v>
      </c>
      <c r="Q35" s="72" t="s">
        <v>6</v>
      </c>
      <c r="R35" s="72" t="s">
        <v>30</v>
      </c>
      <c r="S35" s="72" t="s">
        <v>13</v>
      </c>
      <c r="T35" s="72" t="s">
        <v>239</v>
      </c>
      <c r="U35" s="72" t="s">
        <v>638</v>
      </c>
      <c r="V35" s="72" t="s">
        <v>88</v>
      </c>
      <c r="W35" s="72" t="s">
        <v>626</v>
      </c>
      <c r="X35" s="72" t="s">
        <v>81</v>
      </c>
      <c r="Y35" s="72" t="s">
        <v>638</v>
      </c>
      <c r="Z35" s="72" t="s">
        <v>638</v>
      </c>
      <c r="AA35" s="72" t="s">
        <v>638</v>
      </c>
      <c r="AB35" s="72" t="s">
        <v>638</v>
      </c>
      <c r="AC35" s="72" t="s">
        <v>947</v>
      </c>
      <c r="AD35" s="72" t="s">
        <v>915</v>
      </c>
      <c r="AE35" s="21">
        <v>43769</v>
      </c>
    </row>
    <row r="36" spans="1:31" x14ac:dyDescent="0.25">
      <c r="A36" s="72">
        <f ca="1">DAYS360(INDIRECT(A127&amp;ROW()),TODAY())</f>
        <v>11</v>
      </c>
      <c r="B36" s="72">
        <f ca="1">DAYS360(INDIRECT(A126&amp;ROW()),TODAY())</f>
        <v>154</v>
      </c>
      <c r="C36" s="29">
        <f>HYPERLINK(BZurls!B3 &amp; 125762,125762)</f>
        <v>125762</v>
      </c>
      <c r="D36" s="72" t="s">
        <v>344</v>
      </c>
      <c r="E36" s="72" t="s">
        <v>877</v>
      </c>
      <c r="F36" s="72" t="s">
        <v>11</v>
      </c>
      <c r="G36" s="72" t="s">
        <v>690</v>
      </c>
      <c r="H36" s="72" t="s">
        <v>862</v>
      </c>
      <c r="I36" s="72" t="s">
        <v>947</v>
      </c>
      <c r="J36" s="73">
        <v>43721.458541666667</v>
      </c>
      <c r="K36" s="72" t="s">
        <v>20</v>
      </c>
      <c r="L36" s="72" t="s">
        <v>845</v>
      </c>
      <c r="M36" s="73">
        <v>43575.95076388889</v>
      </c>
      <c r="N36" s="72" t="s">
        <v>16</v>
      </c>
      <c r="O36" s="72" t="s">
        <v>947</v>
      </c>
      <c r="P36" s="72" t="s">
        <v>282</v>
      </c>
      <c r="Q36" s="72" t="s">
        <v>17</v>
      </c>
      <c r="R36" s="72" t="s">
        <v>30</v>
      </c>
      <c r="S36" s="72" t="s">
        <v>13</v>
      </c>
      <c r="T36" s="72" t="s">
        <v>19</v>
      </c>
      <c r="U36" s="72" t="s">
        <v>638</v>
      </c>
      <c r="V36" s="72" t="s">
        <v>88</v>
      </c>
      <c r="W36" s="72" t="s">
        <v>638</v>
      </c>
      <c r="X36" s="72" t="s">
        <v>81</v>
      </c>
      <c r="Y36" s="72" t="s">
        <v>638</v>
      </c>
      <c r="Z36" s="72" t="s">
        <v>638</v>
      </c>
      <c r="AA36" s="72" t="s">
        <v>638</v>
      </c>
      <c r="AB36" s="72" t="s">
        <v>638</v>
      </c>
      <c r="AC36" s="72">
        <v>22231</v>
      </c>
      <c r="AD36" s="72" t="s">
        <v>916</v>
      </c>
      <c r="AE36" s="21">
        <v>44012</v>
      </c>
    </row>
    <row r="37" spans="1:31" x14ac:dyDescent="0.25">
      <c r="A37" s="72">
        <f ca="1">DAYS360(INDIRECT(A127&amp;ROW()),TODAY())</f>
        <v>8</v>
      </c>
      <c r="B37" s="72">
        <f ca="1">DAYS360(INDIRECT(A126&amp;ROW()),TODAY())</f>
        <v>171</v>
      </c>
      <c r="C37" s="29">
        <f>HYPERLINK(BZurls!B3 &amp; 125325,125325)</f>
        <v>125325</v>
      </c>
      <c r="D37" s="72" t="s">
        <v>571</v>
      </c>
      <c r="E37" s="72" t="s">
        <v>873</v>
      </c>
      <c r="F37" s="72" t="s">
        <v>11</v>
      </c>
      <c r="G37" s="72" t="s">
        <v>690</v>
      </c>
      <c r="H37" s="72" t="s">
        <v>852</v>
      </c>
      <c r="I37" s="72" t="s">
        <v>947</v>
      </c>
      <c r="J37" s="73">
        <v>43724.674247685187</v>
      </c>
      <c r="K37" s="72" t="s">
        <v>4</v>
      </c>
      <c r="L37" s="72" t="s">
        <v>690</v>
      </c>
      <c r="M37" s="73">
        <v>43558.367442129631</v>
      </c>
      <c r="N37" s="72" t="s">
        <v>83</v>
      </c>
      <c r="O37" s="72" t="s">
        <v>947</v>
      </c>
      <c r="P37" s="72" t="s">
        <v>282</v>
      </c>
      <c r="Q37" s="72" t="s">
        <v>17</v>
      </c>
      <c r="R37" s="72" t="s">
        <v>30</v>
      </c>
      <c r="S37" s="72" t="s">
        <v>13</v>
      </c>
      <c r="T37" s="72" t="s">
        <v>239</v>
      </c>
      <c r="U37" s="72" t="s">
        <v>638</v>
      </c>
      <c r="V37" s="72" t="s">
        <v>88</v>
      </c>
      <c r="W37" s="72" t="s">
        <v>638</v>
      </c>
      <c r="X37" s="72" t="s">
        <v>81</v>
      </c>
      <c r="Y37" s="72" t="s">
        <v>638</v>
      </c>
      <c r="Z37" s="72" t="s">
        <v>638</v>
      </c>
      <c r="AA37" s="72" t="s">
        <v>638</v>
      </c>
      <c r="AB37" s="72" t="s">
        <v>638</v>
      </c>
      <c r="AC37" s="72" t="s">
        <v>947</v>
      </c>
      <c r="AD37" s="72" t="s">
        <v>906</v>
      </c>
      <c r="AE37" s="21">
        <v>43712</v>
      </c>
    </row>
    <row r="38" spans="1:31" x14ac:dyDescent="0.25">
      <c r="A38" s="72">
        <f ca="1">DAYS360(INDIRECT(A127&amp;ROW()),TODAY())</f>
        <v>8</v>
      </c>
      <c r="B38" s="72">
        <f ca="1">DAYS360(INDIRECT(A126&amp;ROW()),TODAY())</f>
        <v>226</v>
      </c>
      <c r="C38" s="29">
        <f>HYPERLINK(BZurls!B3 &amp; 123936,123936)</f>
        <v>123936</v>
      </c>
      <c r="D38" s="72" t="s">
        <v>287</v>
      </c>
      <c r="E38" s="72" t="s">
        <v>917</v>
      </c>
      <c r="F38" s="72" t="s">
        <v>2</v>
      </c>
      <c r="G38" s="72" t="s">
        <v>690</v>
      </c>
      <c r="H38" s="72" t="s">
        <v>274</v>
      </c>
      <c r="I38" s="72" t="s">
        <v>947</v>
      </c>
      <c r="J38" s="73">
        <v>43724.496458333335</v>
      </c>
      <c r="K38" s="72" t="s">
        <v>4</v>
      </c>
      <c r="L38" s="72" t="s">
        <v>690</v>
      </c>
      <c r="M38" s="73">
        <v>43504.44803240741</v>
      </c>
      <c r="N38" s="72" t="s">
        <v>83</v>
      </c>
      <c r="O38" s="72" t="s">
        <v>947</v>
      </c>
      <c r="P38" s="72" t="s">
        <v>282</v>
      </c>
      <c r="Q38" s="72" t="s">
        <v>17</v>
      </c>
      <c r="R38" s="72" t="s">
        <v>30</v>
      </c>
      <c r="S38" s="72" t="s">
        <v>13</v>
      </c>
      <c r="T38" s="72" t="s">
        <v>19</v>
      </c>
      <c r="U38" s="72" t="s">
        <v>638</v>
      </c>
      <c r="V38" s="72" t="s">
        <v>88</v>
      </c>
      <c r="W38" s="72" t="s">
        <v>638</v>
      </c>
      <c r="X38" s="72" t="s">
        <v>81</v>
      </c>
      <c r="Y38" s="72" t="s">
        <v>918</v>
      </c>
      <c r="Z38" s="72" t="s">
        <v>638</v>
      </c>
      <c r="AA38" s="72" t="s">
        <v>638</v>
      </c>
      <c r="AB38" s="72" t="s">
        <v>638</v>
      </c>
      <c r="AC38" s="72" t="s">
        <v>947</v>
      </c>
      <c r="AD38" s="72" t="s">
        <v>919</v>
      </c>
      <c r="AE38" s="21">
        <v>43769</v>
      </c>
    </row>
    <row r="39" spans="1:31" x14ac:dyDescent="0.25">
      <c r="A39" s="72">
        <f ca="1">DAYS360(INDIRECT(A127&amp;ROW()),TODAY())</f>
        <v>8</v>
      </c>
      <c r="B39" s="72">
        <f ca="1">DAYS360(INDIRECT(A126&amp;ROW()),TODAY())</f>
        <v>283</v>
      </c>
      <c r="C39" s="29">
        <f>HYPERLINK(BZurls!B3 &amp; 122937,122937)</f>
        <v>122937</v>
      </c>
      <c r="D39" s="72" t="s">
        <v>277</v>
      </c>
      <c r="E39" s="72" t="s">
        <v>879</v>
      </c>
      <c r="F39" s="72" t="s">
        <v>11</v>
      </c>
      <c r="G39" s="72" t="s">
        <v>690</v>
      </c>
      <c r="H39" s="72" t="s">
        <v>852</v>
      </c>
      <c r="I39" s="72" t="s">
        <v>947</v>
      </c>
      <c r="J39" s="73">
        <v>43724.484247685185</v>
      </c>
      <c r="K39" s="72" t="s">
        <v>4</v>
      </c>
      <c r="L39" s="72" t="s">
        <v>690</v>
      </c>
      <c r="M39" s="73">
        <v>43445.446689814817</v>
      </c>
      <c r="N39" s="72" t="s">
        <v>503</v>
      </c>
      <c r="O39" s="72" t="s">
        <v>947</v>
      </c>
      <c r="P39" s="72" t="s">
        <v>282</v>
      </c>
      <c r="Q39" s="72" t="s">
        <v>17</v>
      </c>
      <c r="R39" s="72" t="s">
        <v>30</v>
      </c>
      <c r="S39" s="72" t="s">
        <v>13</v>
      </c>
      <c r="T39" s="72" t="s">
        <v>19</v>
      </c>
      <c r="U39" s="72" t="s">
        <v>638</v>
      </c>
      <c r="V39" s="72" t="s">
        <v>88</v>
      </c>
      <c r="W39" s="72" t="s">
        <v>638</v>
      </c>
      <c r="X39" s="72" t="s">
        <v>81</v>
      </c>
      <c r="Y39" s="72" t="s">
        <v>638</v>
      </c>
      <c r="Z39" s="72" t="s">
        <v>638</v>
      </c>
      <c r="AA39" s="72" t="s">
        <v>638</v>
      </c>
      <c r="AB39" s="72" t="s">
        <v>638</v>
      </c>
      <c r="AC39" s="72" t="s">
        <v>947</v>
      </c>
      <c r="AD39" s="72" t="s">
        <v>920</v>
      </c>
      <c r="AE39" s="21">
        <v>44012</v>
      </c>
    </row>
    <row r="40" spans="1:31" x14ac:dyDescent="0.25">
      <c r="A40" s="72">
        <f ca="1">DAYS360(INDIRECT(A127&amp;ROW()),TODAY())</f>
        <v>11</v>
      </c>
      <c r="B40" s="72">
        <f ca="1">DAYS360(INDIRECT(A126&amp;ROW()),TODAY())</f>
        <v>298</v>
      </c>
      <c r="C40" s="29">
        <f>HYPERLINK(BZurls!B3 &amp; 122463,122463)</f>
        <v>122463</v>
      </c>
      <c r="D40" s="72" t="s">
        <v>571</v>
      </c>
      <c r="E40" s="72" t="s">
        <v>921</v>
      </c>
      <c r="F40" s="72" t="s">
        <v>2</v>
      </c>
      <c r="G40" s="72" t="s">
        <v>690</v>
      </c>
      <c r="H40" s="72" t="s">
        <v>862</v>
      </c>
      <c r="I40" s="72" t="s">
        <v>947</v>
      </c>
      <c r="J40" s="73">
        <v>43721.454328703701</v>
      </c>
      <c r="K40" s="72" t="s">
        <v>144</v>
      </c>
      <c r="L40" s="72" t="s">
        <v>845</v>
      </c>
      <c r="M40" s="73">
        <v>43430.981909722221</v>
      </c>
      <c r="N40" s="72" t="s">
        <v>16</v>
      </c>
      <c r="O40" s="72" t="s">
        <v>947</v>
      </c>
      <c r="P40" s="72" t="s">
        <v>691</v>
      </c>
      <c r="Q40" s="72" t="s">
        <v>12</v>
      </c>
      <c r="R40" s="72" t="s">
        <v>30</v>
      </c>
      <c r="S40" s="72" t="s">
        <v>13</v>
      </c>
      <c r="T40" s="72" t="s">
        <v>239</v>
      </c>
      <c r="U40" s="72" t="s">
        <v>638</v>
      </c>
      <c r="V40" s="72" t="s">
        <v>516</v>
      </c>
      <c r="W40" s="72" t="s">
        <v>844</v>
      </c>
      <c r="X40" s="72" t="s">
        <v>81</v>
      </c>
      <c r="Y40" s="72" t="s">
        <v>937</v>
      </c>
      <c r="Z40" s="72" t="s">
        <v>638</v>
      </c>
      <c r="AA40" s="72" t="s">
        <v>638</v>
      </c>
      <c r="AB40" s="72" t="s">
        <v>638</v>
      </c>
      <c r="AC40" s="72">
        <v>21330</v>
      </c>
      <c r="AD40" s="72" t="s">
        <v>922</v>
      </c>
      <c r="AE40" s="21">
        <v>43769</v>
      </c>
    </row>
    <row r="41" spans="1:31" x14ac:dyDescent="0.25">
      <c r="A41" s="72">
        <f ca="1">DAYS360(INDIRECT(A127&amp;ROW()),TODAY())</f>
        <v>11</v>
      </c>
      <c r="B41" s="72">
        <f ca="1">DAYS360(INDIRECT(A126&amp;ROW()),TODAY())</f>
        <v>364</v>
      </c>
      <c r="C41" s="29">
        <f>HYPERLINK(BZurls!B3 &amp; 119954,119954)</f>
        <v>119954</v>
      </c>
      <c r="D41" s="72" t="s">
        <v>344</v>
      </c>
      <c r="E41" s="72" t="s">
        <v>848</v>
      </c>
      <c r="F41" s="72" t="s">
        <v>2</v>
      </c>
      <c r="G41" s="72" t="s">
        <v>690</v>
      </c>
      <c r="H41" s="72" t="s">
        <v>277</v>
      </c>
      <c r="I41" s="72" t="s">
        <v>947</v>
      </c>
      <c r="J41" s="73">
        <v>43721.46398148148</v>
      </c>
      <c r="K41" s="72" t="s">
        <v>20</v>
      </c>
      <c r="L41" s="72" t="s">
        <v>845</v>
      </c>
      <c r="M41" s="73">
        <v>43363.385150462964</v>
      </c>
      <c r="N41" s="72" t="s">
        <v>16</v>
      </c>
      <c r="O41" s="72" t="s">
        <v>947</v>
      </c>
      <c r="P41" s="72" t="s">
        <v>282</v>
      </c>
      <c r="Q41" s="72" t="s">
        <v>6</v>
      </c>
      <c r="R41" s="72" t="s">
        <v>30</v>
      </c>
      <c r="S41" s="72" t="s">
        <v>13</v>
      </c>
      <c r="T41" s="72" t="s">
        <v>19</v>
      </c>
      <c r="U41" s="72" t="s">
        <v>638</v>
      </c>
      <c r="V41" s="72" t="s">
        <v>88</v>
      </c>
      <c r="W41" s="72" t="s">
        <v>860</v>
      </c>
      <c r="X41" s="72" t="s">
        <v>81</v>
      </c>
      <c r="Y41" s="72" t="s">
        <v>638</v>
      </c>
      <c r="Z41" s="72" t="s">
        <v>638</v>
      </c>
      <c r="AA41" s="72" t="s">
        <v>861</v>
      </c>
      <c r="AB41" s="72" t="s">
        <v>638</v>
      </c>
      <c r="AC41" s="72">
        <v>20970</v>
      </c>
      <c r="AD41" s="72" t="s">
        <v>923</v>
      </c>
      <c r="AE41" s="21">
        <v>43738</v>
      </c>
    </row>
    <row r="42" spans="1:31" x14ac:dyDescent="0.25">
      <c r="A42" s="72">
        <f ca="1">DAYS360(INDIRECT(A127&amp;ROW()),TODAY())</f>
        <v>11</v>
      </c>
      <c r="B42" s="72">
        <f ca="1">DAYS360(INDIRECT(A126&amp;ROW()),TODAY())</f>
        <v>364</v>
      </c>
      <c r="C42" s="29">
        <f>HYPERLINK(BZurls!B3 &amp; 119952,119952)</f>
        <v>119952</v>
      </c>
      <c r="D42" s="72" t="s">
        <v>287</v>
      </c>
      <c r="E42" s="72" t="s">
        <v>847</v>
      </c>
      <c r="F42" s="72" t="s">
        <v>2</v>
      </c>
      <c r="G42" s="72" t="s">
        <v>690</v>
      </c>
      <c r="H42" s="72" t="s">
        <v>277</v>
      </c>
      <c r="I42" s="72" t="s">
        <v>947</v>
      </c>
      <c r="J42" s="73">
        <v>43721.462812500002</v>
      </c>
      <c r="K42" s="72" t="s">
        <v>4</v>
      </c>
      <c r="L42" s="72" t="s">
        <v>845</v>
      </c>
      <c r="M42" s="73">
        <v>43363.384710648148</v>
      </c>
      <c r="N42" s="72" t="s">
        <v>16</v>
      </c>
      <c r="O42" s="72" t="s">
        <v>947</v>
      </c>
      <c r="P42" s="72" t="s">
        <v>282</v>
      </c>
      <c r="Q42" s="72" t="s">
        <v>17</v>
      </c>
      <c r="R42" s="72" t="s">
        <v>30</v>
      </c>
      <c r="S42" s="72" t="s">
        <v>13</v>
      </c>
      <c r="T42" s="72" t="s">
        <v>19</v>
      </c>
      <c r="U42" s="72" t="s">
        <v>638</v>
      </c>
      <c r="V42" s="72" t="s">
        <v>88</v>
      </c>
      <c r="W42" s="72" t="s">
        <v>638</v>
      </c>
      <c r="X42" s="72" t="s">
        <v>81</v>
      </c>
      <c r="Y42" s="72" t="s">
        <v>638</v>
      </c>
      <c r="Z42" s="72" t="s">
        <v>638</v>
      </c>
      <c r="AA42" s="72" t="s">
        <v>638</v>
      </c>
      <c r="AB42" s="72" t="s">
        <v>638</v>
      </c>
      <c r="AC42" s="72">
        <v>21195</v>
      </c>
      <c r="AD42" s="72" t="s">
        <v>924</v>
      </c>
      <c r="AE42" s="21">
        <v>43738</v>
      </c>
    </row>
    <row r="43" spans="1:31" x14ac:dyDescent="0.25">
      <c r="A43" s="72">
        <f ca="1">DAYS360(INDIRECT(A127&amp;ROW()),TODAY())</f>
        <v>7</v>
      </c>
      <c r="B43" s="72">
        <f ca="1">DAYS360(INDIRECT(A126&amp;ROW()),TODAY())</f>
        <v>419</v>
      </c>
      <c r="C43" s="29">
        <f>HYPERLINK(BZurls!B3 &amp; 117287,117287)</f>
        <v>117287</v>
      </c>
      <c r="D43" s="72" t="s">
        <v>571</v>
      </c>
      <c r="E43" s="72" t="s">
        <v>874</v>
      </c>
      <c r="F43" s="72" t="s">
        <v>11</v>
      </c>
      <c r="G43" s="72" t="s">
        <v>690</v>
      </c>
      <c r="H43" s="72" t="s">
        <v>272</v>
      </c>
      <c r="I43" s="72" t="s">
        <v>947</v>
      </c>
      <c r="J43" s="73">
        <v>43725.403009259258</v>
      </c>
      <c r="K43" s="72" t="s">
        <v>4</v>
      </c>
      <c r="L43" s="72" t="s">
        <v>509</v>
      </c>
      <c r="M43" s="73">
        <v>43306.710266203707</v>
      </c>
      <c r="N43" s="72" t="s">
        <v>16</v>
      </c>
      <c r="O43" s="72" t="s">
        <v>947</v>
      </c>
      <c r="P43" s="72" t="s">
        <v>944</v>
      </c>
      <c r="Q43" s="72" t="s">
        <v>17</v>
      </c>
      <c r="R43" s="72" t="s">
        <v>30</v>
      </c>
      <c r="S43" s="72" t="s">
        <v>13</v>
      </c>
      <c r="T43" s="72" t="s">
        <v>19</v>
      </c>
      <c r="U43" s="72" t="s">
        <v>638</v>
      </c>
      <c r="V43" s="72" t="s">
        <v>88</v>
      </c>
      <c r="W43" s="72" t="s">
        <v>844</v>
      </c>
      <c r="X43" s="72" t="s">
        <v>81</v>
      </c>
      <c r="Y43" s="72" t="s">
        <v>638</v>
      </c>
      <c r="Z43" s="72" t="s">
        <v>638</v>
      </c>
      <c r="AA43" s="72" t="s">
        <v>638</v>
      </c>
      <c r="AB43" s="72" t="s">
        <v>638</v>
      </c>
      <c r="AC43" s="72">
        <v>19390</v>
      </c>
      <c r="AD43" s="72" t="s">
        <v>925</v>
      </c>
      <c r="AE43" s="21">
        <v>43769</v>
      </c>
    </row>
    <row r="44" spans="1:31" x14ac:dyDescent="0.25">
      <c r="A44" s="72">
        <f ca="1">DAYS360(INDIRECT(A127&amp;ROW()),TODAY())</f>
        <v>8</v>
      </c>
      <c r="B44" s="72">
        <f ca="1">DAYS360(INDIRECT(A126&amp;ROW()),TODAY())</f>
        <v>511</v>
      </c>
      <c r="C44" s="29">
        <f>HYPERLINK(BZurls!B3 &amp; 112623,112623)</f>
        <v>112623</v>
      </c>
      <c r="D44" s="72" t="s">
        <v>277</v>
      </c>
      <c r="E44" s="72" t="s">
        <v>926</v>
      </c>
      <c r="F44" s="72" t="s">
        <v>2</v>
      </c>
      <c r="G44" s="72" t="s">
        <v>690</v>
      </c>
      <c r="H44" s="72" t="s">
        <v>513</v>
      </c>
      <c r="I44" s="72" t="s">
        <v>947</v>
      </c>
      <c r="J44" s="73">
        <v>43724.484270833331</v>
      </c>
      <c r="K44" s="72" t="s">
        <v>144</v>
      </c>
      <c r="L44" s="72" t="s">
        <v>641</v>
      </c>
      <c r="M44" s="73">
        <v>43213.308981481481</v>
      </c>
      <c r="N44" s="72" t="s">
        <v>306</v>
      </c>
      <c r="O44" s="72" t="s">
        <v>947</v>
      </c>
      <c r="P44" s="72" t="s">
        <v>282</v>
      </c>
      <c r="Q44" s="72" t="s">
        <v>6</v>
      </c>
      <c r="R44" s="72" t="s">
        <v>30</v>
      </c>
      <c r="S44" s="72" t="s">
        <v>13</v>
      </c>
      <c r="T44" s="72" t="s">
        <v>239</v>
      </c>
      <c r="U44" s="72" t="s">
        <v>638</v>
      </c>
      <c r="V44" s="72" t="s">
        <v>88</v>
      </c>
      <c r="W44" s="72" t="s">
        <v>638</v>
      </c>
      <c r="X44" s="72" t="s">
        <v>81</v>
      </c>
      <c r="Y44" s="72" t="s">
        <v>638</v>
      </c>
      <c r="Z44" s="72" t="s">
        <v>638</v>
      </c>
      <c r="AA44" s="72" t="s">
        <v>638</v>
      </c>
      <c r="AB44" s="72" t="s">
        <v>638</v>
      </c>
      <c r="AC44" s="72" t="s">
        <v>947</v>
      </c>
      <c r="AD44" s="72" t="s">
        <v>927</v>
      </c>
      <c r="AE44" s="21">
        <v>44012</v>
      </c>
    </row>
    <row r="45" spans="1:31" x14ac:dyDescent="0.25">
      <c r="A45" s="72">
        <f ca="1">DAYS360(INDIRECT(A127&amp;ROW()),TODAY())</f>
        <v>7</v>
      </c>
      <c r="B45" s="72">
        <f ca="1">DAYS360(INDIRECT(A126&amp;ROW()),TODAY())</f>
        <v>911</v>
      </c>
      <c r="C45" s="15">
        <f>HYPERLINK(BZurls!B3 &amp; 96995,96995)</f>
        <v>96995</v>
      </c>
      <c r="D45" s="72" t="s">
        <v>274</v>
      </c>
      <c r="E45" s="72" t="s">
        <v>954</v>
      </c>
      <c r="F45" s="72" t="s">
        <v>11</v>
      </c>
      <c r="G45" s="72" t="s">
        <v>690</v>
      </c>
      <c r="H45" s="72" t="s">
        <v>277</v>
      </c>
      <c r="I45" s="72" t="s">
        <v>947</v>
      </c>
      <c r="J45" s="73">
        <v>43725.72760416667</v>
      </c>
      <c r="K45" s="72" t="s">
        <v>4</v>
      </c>
      <c r="L45" s="72" t="s">
        <v>509</v>
      </c>
      <c r="M45" s="73">
        <v>42807.475069444445</v>
      </c>
      <c r="N45" s="72" t="s">
        <v>928</v>
      </c>
      <c r="O45" s="72" t="s">
        <v>16</v>
      </c>
      <c r="P45" s="72" t="s">
        <v>496</v>
      </c>
      <c r="Q45" s="72" t="s">
        <v>12</v>
      </c>
      <c r="R45" s="72" t="s">
        <v>30</v>
      </c>
      <c r="S45" s="72" t="s">
        <v>13</v>
      </c>
      <c r="T45" s="72" t="s">
        <v>19</v>
      </c>
      <c r="U45" s="72" t="s">
        <v>638</v>
      </c>
      <c r="V45" s="72" t="s">
        <v>88</v>
      </c>
      <c r="W45" s="72" t="s">
        <v>638</v>
      </c>
      <c r="X45" s="72" t="s">
        <v>81</v>
      </c>
      <c r="Y45" s="72" t="s">
        <v>945</v>
      </c>
      <c r="Z45" s="72" t="s">
        <v>638</v>
      </c>
      <c r="AA45" s="72" t="s">
        <v>638</v>
      </c>
      <c r="AB45" s="72" t="s">
        <v>638</v>
      </c>
      <c r="AC45" s="72">
        <v>22027</v>
      </c>
      <c r="AD45" s="72" t="s">
        <v>929</v>
      </c>
      <c r="AE45" s="21">
        <v>43769</v>
      </c>
    </row>
    <row r="46" spans="1:31" hidden="1" x14ac:dyDescent="0.25">
      <c r="A46" s="72">
        <f ca="1">DAYS360(INDIRECT(A127&amp;ROW()),TODAY())</f>
        <v>43104</v>
      </c>
      <c r="B46" s="72">
        <f ca="1">DAYS360(INDIRECT(A126&amp;ROW()),TODAY())</f>
        <v>43104</v>
      </c>
      <c r="M46" s="72"/>
      <c r="AE46" s="72"/>
    </row>
    <row r="47" spans="1:31" hidden="1" x14ac:dyDescent="0.25">
      <c r="A47" s="72">
        <f ca="1">DAYS360(INDIRECT(A127&amp;ROW()),TODAY())</f>
        <v>43104</v>
      </c>
      <c r="B47" s="72">
        <f ca="1">DAYS360(INDIRECT(A126&amp;ROW()),TODAY())</f>
        <v>43104</v>
      </c>
      <c r="M47" s="72"/>
      <c r="AE47" s="72"/>
    </row>
    <row r="48" spans="1:31" hidden="1" x14ac:dyDescent="0.25">
      <c r="A48" s="72">
        <f ca="1">DAYS360(INDIRECT(A127&amp;ROW()),TODAY())</f>
        <v>43104</v>
      </c>
      <c r="B48" s="72">
        <f ca="1">DAYS360(INDIRECT(A126&amp;ROW()),TODAY())</f>
        <v>43104</v>
      </c>
      <c r="M48" s="72"/>
      <c r="AE48" s="72"/>
    </row>
    <row r="49" spans="1:31" hidden="1" x14ac:dyDescent="0.25">
      <c r="A49" s="72">
        <f ca="1">DAYS360(INDIRECT(A127&amp;ROW()),TODAY())</f>
        <v>43104</v>
      </c>
      <c r="B49" s="72">
        <f ca="1">DAYS360(INDIRECT(A126&amp;ROW()),TODAY())</f>
        <v>43104</v>
      </c>
      <c r="M49" s="72"/>
      <c r="AE49" s="72"/>
    </row>
    <row r="50" spans="1:31" hidden="1" x14ac:dyDescent="0.25">
      <c r="A50" s="72">
        <f ca="1">DAYS360(INDIRECT(A127&amp;ROW()),TODAY())</f>
        <v>43104</v>
      </c>
      <c r="B50" s="72">
        <f ca="1">DAYS360(INDIRECT(A126&amp;ROW()),TODAY())</f>
        <v>43104</v>
      </c>
      <c r="M50" s="72"/>
      <c r="AE50" s="72"/>
    </row>
    <row r="51" spans="1:31" hidden="1" x14ac:dyDescent="0.25">
      <c r="A51" s="72">
        <f ca="1">DAYS360(INDIRECT(A127&amp;ROW()),TODAY())</f>
        <v>43104</v>
      </c>
      <c r="B51" s="72">
        <f ca="1">DAYS360(INDIRECT(A126&amp;ROW()),TODAY())</f>
        <v>43104</v>
      </c>
      <c r="M51" s="72"/>
      <c r="AE51" s="72"/>
    </row>
    <row r="52" spans="1:31" hidden="1" x14ac:dyDescent="0.25">
      <c r="A52" s="72">
        <f ca="1">DAYS360(INDIRECT(A127&amp;ROW()),TODAY())</f>
        <v>43104</v>
      </c>
      <c r="B52" s="72">
        <f ca="1">DAYS360(INDIRECT(A126&amp;ROW()),TODAY())</f>
        <v>43104</v>
      </c>
      <c r="M52" s="72"/>
      <c r="AE52" s="72"/>
    </row>
    <row r="53" spans="1:31" hidden="1" x14ac:dyDescent="0.25">
      <c r="A53" s="72">
        <f ca="1">DAYS360(INDIRECT(A127&amp;ROW()),TODAY())</f>
        <v>43104</v>
      </c>
      <c r="B53" s="72">
        <f ca="1">DAYS360(INDIRECT(A126&amp;ROW()),TODAY())</f>
        <v>43104</v>
      </c>
      <c r="M53" s="72"/>
      <c r="AE53" s="72"/>
    </row>
    <row r="54" spans="1:31" hidden="1" x14ac:dyDescent="0.25">
      <c r="A54" s="72">
        <f ca="1">DAYS360(INDIRECT(A127&amp;ROW()),TODAY())</f>
        <v>43104</v>
      </c>
      <c r="B54" s="72">
        <f ca="1">DAYS360(INDIRECT(A126&amp;ROW()),TODAY())</f>
        <v>43104</v>
      </c>
      <c r="M54" s="72"/>
      <c r="AE54" s="72"/>
    </row>
    <row r="55" spans="1:31" hidden="1" x14ac:dyDescent="0.25">
      <c r="A55" s="72">
        <f ca="1">DAYS360(INDIRECT(A127&amp;ROW()),TODAY())</f>
        <v>43104</v>
      </c>
      <c r="B55" s="72">
        <f ca="1">DAYS360(INDIRECT(A126&amp;ROW()),TODAY())</f>
        <v>43104</v>
      </c>
      <c r="M55" s="72"/>
      <c r="AE55" s="72"/>
    </row>
    <row r="56" spans="1:31" hidden="1" x14ac:dyDescent="0.25">
      <c r="A56" s="72">
        <f ca="1">DAYS360(INDIRECT(A127&amp;ROW()),TODAY())</f>
        <v>43104</v>
      </c>
      <c r="B56" s="72">
        <f ca="1">DAYS360(INDIRECT(A126&amp;ROW()),TODAY())</f>
        <v>43104</v>
      </c>
      <c r="M56" s="72"/>
      <c r="AE56" s="72"/>
    </row>
    <row r="57" spans="1:31" hidden="1" x14ac:dyDescent="0.25">
      <c r="A57" s="72">
        <f ca="1">DAYS360(INDIRECT(A127&amp;ROW()),TODAY())</f>
        <v>43104</v>
      </c>
      <c r="B57" s="72">
        <f ca="1">DAYS360(INDIRECT(A126&amp;ROW()),TODAY())</f>
        <v>43104</v>
      </c>
      <c r="M57" s="72"/>
      <c r="AE57" s="72"/>
    </row>
    <row r="58" spans="1:31" hidden="1" x14ac:dyDescent="0.25">
      <c r="A58" s="72">
        <f ca="1">DAYS360(INDIRECT(A127&amp;ROW()),TODAY())</f>
        <v>43104</v>
      </c>
      <c r="B58" s="72">
        <f ca="1">DAYS360(INDIRECT(A126&amp;ROW()),TODAY())</f>
        <v>43104</v>
      </c>
      <c r="M58" s="72"/>
      <c r="AE58" s="72"/>
    </row>
    <row r="59" spans="1:31" hidden="1" x14ac:dyDescent="0.25">
      <c r="A59" s="72">
        <f ca="1">DAYS360(INDIRECT(A127&amp;ROW()),TODAY())</f>
        <v>43104</v>
      </c>
      <c r="B59" s="72">
        <f ca="1">DAYS360(INDIRECT(A126&amp;ROW()),TODAY())</f>
        <v>43104</v>
      </c>
      <c r="M59" s="72"/>
      <c r="AE59" s="72"/>
    </row>
    <row r="60" spans="1:31" hidden="1" x14ac:dyDescent="0.25">
      <c r="A60" s="72">
        <f ca="1">DAYS360(INDIRECT(A127&amp;ROW()),TODAY())</f>
        <v>43104</v>
      </c>
      <c r="B60" s="72">
        <f ca="1">DAYS360(INDIRECT(A126&amp;ROW()),TODAY())</f>
        <v>43104</v>
      </c>
      <c r="M60" s="72"/>
      <c r="AE60" s="72"/>
    </row>
    <row r="61" spans="1:31" hidden="1" x14ac:dyDescent="0.25">
      <c r="A61" s="72">
        <f ca="1">DAYS360(INDIRECT(A127&amp;ROW()),TODAY())</f>
        <v>43104</v>
      </c>
      <c r="B61" s="72">
        <f ca="1">DAYS360(INDIRECT(A126&amp;ROW()),TODAY())</f>
        <v>43104</v>
      </c>
      <c r="M61" s="72"/>
      <c r="AE61" s="72"/>
    </row>
    <row r="62" spans="1:31" hidden="1" x14ac:dyDescent="0.25">
      <c r="A62" s="72">
        <f ca="1">DAYS360(INDIRECT(A127&amp;ROW()),TODAY())</f>
        <v>43104</v>
      </c>
      <c r="B62" s="72">
        <f ca="1">DAYS360(INDIRECT(A126&amp;ROW()),TODAY())</f>
        <v>43104</v>
      </c>
      <c r="M62" s="72"/>
      <c r="AE62" s="72"/>
    </row>
    <row r="63" spans="1:31" hidden="1" x14ac:dyDescent="0.25">
      <c r="A63" s="72">
        <f ca="1">DAYS360(INDIRECT(A127&amp;ROW()),TODAY())</f>
        <v>43104</v>
      </c>
      <c r="B63" s="72">
        <f ca="1">DAYS360(INDIRECT(A126&amp;ROW()),TODAY())</f>
        <v>43104</v>
      </c>
      <c r="M63" s="72"/>
      <c r="AE63" s="72"/>
    </row>
    <row r="64" spans="1:31" hidden="1" x14ac:dyDescent="0.25">
      <c r="A64" s="72">
        <f ca="1">DAYS360(INDIRECT(A127&amp;ROW()),TODAY())</f>
        <v>43104</v>
      </c>
      <c r="B64" s="72">
        <f ca="1">DAYS360(INDIRECT(A126&amp;ROW()),TODAY())</f>
        <v>43104</v>
      </c>
      <c r="M64" s="72"/>
      <c r="AE64" s="72"/>
    </row>
    <row r="65" spans="1:31" hidden="1" x14ac:dyDescent="0.25">
      <c r="A65" s="72">
        <f ca="1">DAYS360(INDIRECT(A127&amp;ROW()),TODAY())</f>
        <v>43104</v>
      </c>
      <c r="B65" s="72">
        <f ca="1">DAYS360(INDIRECT(A126&amp;ROW()),TODAY())</f>
        <v>43104</v>
      </c>
      <c r="M65" s="72"/>
      <c r="AE65" s="72"/>
    </row>
    <row r="66" spans="1:31" hidden="1" x14ac:dyDescent="0.25">
      <c r="A66" s="72">
        <f ca="1">DAYS360(INDIRECT(A127&amp;ROW()),TODAY())</f>
        <v>43104</v>
      </c>
      <c r="B66" s="72">
        <f ca="1">DAYS360(INDIRECT(A126&amp;ROW()),TODAY())</f>
        <v>43104</v>
      </c>
      <c r="M66" s="72"/>
      <c r="AE66" s="72"/>
    </row>
    <row r="67" spans="1:31" hidden="1" x14ac:dyDescent="0.25">
      <c r="A67" s="72">
        <f ca="1">DAYS360(INDIRECT(A127&amp;ROW()),TODAY())</f>
        <v>43104</v>
      </c>
      <c r="B67" s="72">
        <f ca="1">DAYS360(INDIRECT(A126&amp;ROW()),TODAY())</f>
        <v>43104</v>
      </c>
      <c r="M67" s="72"/>
      <c r="AE67" s="72"/>
    </row>
    <row r="68" spans="1:31" hidden="1" x14ac:dyDescent="0.25">
      <c r="A68" s="72">
        <f ca="1">DAYS360(INDIRECT(A127&amp;ROW()),TODAY())</f>
        <v>43104</v>
      </c>
      <c r="B68" s="72">
        <f ca="1">DAYS360(INDIRECT(A126&amp;ROW()),TODAY())</f>
        <v>43104</v>
      </c>
      <c r="M68" s="72"/>
      <c r="AE68" s="72"/>
    </row>
    <row r="69" spans="1:31" hidden="1" x14ac:dyDescent="0.25">
      <c r="A69" s="72">
        <f ca="1">DAYS360(INDIRECT(A127&amp;ROW()),TODAY())</f>
        <v>43104</v>
      </c>
      <c r="B69" s="72">
        <f ca="1">DAYS360(INDIRECT(A126&amp;ROW()),TODAY())</f>
        <v>43104</v>
      </c>
      <c r="M69" s="72"/>
      <c r="AE69" s="72"/>
    </row>
    <row r="70" spans="1:31" hidden="1" x14ac:dyDescent="0.25">
      <c r="A70" s="72">
        <f ca="1">DAYS360(INDIRECT(A127&amp;ROW()),TODAY())</f>
        <v>43104</v>
      </c>
      <c r="B70" s="72">
        <f ca="1">DAYS360(INDIRECT(A126&amp;ROW()),TODAY())</f>
        <v>43104</v>
      </c>
      <c r="M70" s="72"/>
      <c r="AE70" s="72"/>
    </row>
    <row r="71" spans="1:31" hidden="1" x14ac:dyDescent="0.25">
      <c r="A71" s="72">
        <f ca="1">DAYS360(INDIRECT(A127&amp;ROW()),TODAY())</f>
        <v>43104</v>
      </c>
      <c r="B71" s="72">
        <f ca="1">DAYS360(INDIRECT(A126&amp;ROW()),TODAY())</f>
        <v>43104</v>
      </c>
      <c r="M71" s="72"/>
      <c r="AE71" s="72"/>
    </row>
    <row r="72" spans="1:31" hidden="1" x14ac:dyDescent="0.25">
      <c r="A72" s="72">
        <f ca="1">DAYS360(INDIRECT(A127&amp;ROW()),TODAY())</f>
        <v>43104</v>
      </c>
      <c r="B72" s="72">
        <f ca="1">DAYS360(INDIRECT(A126&amp;ROW()),TODAY())</f>
        <v>43104</v>
      </c>
      <c r="M72" s="72"/>
      <c r="AE72" s="72"/>
    </row>
    <row r="73" spans="1:31" hidden="1" x14ac:dyDescent="0.25">
      <c r="A73" s="72">
        <f ca="1">DAYS360(INDIRECT(A127&amp;ROW()),TODAY())</f>
        <v>43104</v>
      </c>
      <c r="B73" s="72">
        <f ca="1">DAYS360(INDIRECT(A126&amp;ROW()),TODAY())</f>
        <v>43104</v>
      </c>
      <c r="M73" s="72"/>
      <c r="AE73" s="72"/>
    </row>
    <row r="74" spans="1:31" hidden="1" x14ac:dyDescent="0.25">
      <c r="A74" s="72">
        <f t="shared" ref="A74:A110" ca="1" si="0">DAYS360(INDIRECT($A$127&amp;ROW()),TODAY())</f>
        <v>43104</v>
      </c>
      <c r="B74" s="72">
        <f t="shared" ref="B74:B110" ca="1" si="1">DAYS360(INDIRECT($A$126&amp;ROW()),TODAY())</f>
        <v>43104</v>
      </c>
      <c r="M74" s="72"/>
      <c r="AE74" s="72"/>
    </row>
    <row r="75" spans="1:31" hidden="1" x14ac:dyDescent="0.25">
      <c r="A75" s="72">
        <f t="shared" ca="1" si="0"/>
        <v>43104</v>
      </c>
      <c r="B75" s="72">
        <f t="shared" ca="1" si="1"/>
        <v>43104</v>
      </c>
      <c r="M75" s="72"/>
      <c r="AE75" s="72"/>
    </row>
    <row r="76" spans="1:31" hidden="1" x14ac:dyDescent="0.25">
      <c r="A76" s="72">
        <f t="shared" ca="1" si="0"/>
        <v>43104</v>
      </c>
      <c r="B76" s="72">
        <f t="shared" ca="1" si="1"/>
        <v>43104</v>
      </c>
      <c r="M76" s="72"/>
      <c r="AE76" s="72"/>
    </row>
    <row r="77" spans="1:31" hidden="1" x14ac:dyDescent="0.25">
      <c r="A77" s="72">
        <f t="shared" ca="1" si="0"/>
        <v>43104</v>
      </c>
      <c r="B77" s="72">
        <f t="shared" ca="1" si="1"/>
        <v>43104</v>
      </c>
      <c r="M77" s="72"/>
      <c r="AE77" s="72"/>
    </row>
    <row r="78" spans="1:31" hidden="1" x14ac:dyDescent="0.25">
      <c r="A78" s="72">
        <f t="shared" ca="1" si="0"/>
        <v>43104</v>
      </c>
      <c r="B78" s="72">
        <f t="shared" ca="1" si="1"/>
        <v>43104</v>
      </c>
      <c r="M78" s="72"/>
      <c r="AE78" s="72"/>
    </row>
    <row r="79" spans="1:31" hidden="1" x14ac:dyDescent="0.25">
      <c r="A79" s="72">
        <f t="shared" ca="1" si="0"/>
        <v>43104</v>
      </c>
      <c r="B79" s="72">
        <f t="shared" ca="1" si="1"/>
        <v>43104</v>
      </c>
      <c r="M79" s="72"/>
      <c r="AE79" s="72"/>
    </row>
    <row r="80" spans="1:31" hidden="1" x14ac:dyDescent="0.25">
      <c r="A80" s="72">
        <f t="shared" ca="1" si="0"/>
        <v>43104</v>
      </c>
      <c r="B80" s="72">
        <f t="shared" ca="1" si="1"/>
        <v>43104</v>
      </c>
      <c r="M80" s="72"/>
      <c r="AE80" s="72"/>
    </row>
    <row r="81" spans="1:31" hidden="1" x14ac:dyDescent="0.25">
      <c r="A81" s="72">
        <f t="shared" ca="1" si="0"/>
        <v>43104</v>
      </c>
      <c r="B81" s="72">
        <f t="shared" ca="1" si="1"/>
        <v>43104</v>
      </c>
      <c r="M81" s="72"/>
      <c r="AE81" s="72"/>
    </row>
    <row r="82" spans="1:31" hidden="1" x14ac:dyDescent="0.25">
      <c r="A82" s="72">
        <f t="shared" ca="1" si="0"/>
        <v>43104</v>
      </c>
      <c r="B82" s="72">
        <f t="shared" ca="1" si="1"/>
        <v>43104</v>
      </c>
      <c r="M82" s="72"/>
      <c r="AE82" s="72"/>
    </row>
    <row r="83" spans="1:31" hidden="1" x14ac:dyDescent="0.25">
      <c r="A83" s="72">
        <f t="shared" ca="1" si="0"/>
        <v>43104</v>
      </c>
      <c r="B83" s="72">
        <f t="shared" ca="1" si="1"/>
        <v>43104</v>
      </c>
      <c r="M83" s="72"/>
      <c r="AE83" s="72"/>
    </row>
    <row r="84" spans="1:31" hidden="1" x14ac:dyDescent="0.25">
      <c r="A84" s="72">
        <f t="shared" ca="1" si="0"/>
        <v>43104</v>
      </c>
      <c r="B84" s="72">
        <f t="shared" ca="1" si="1"/>
        <v>43104</v>
      </c>
      <c r="M84" s="72"/>
      <c r="AE84" s="72"/>
    </row>
    <row r="85" spans="1:31" hidden="1" x14ac:dyDescent="0.25">
      <c r="A85" s="72">
        <f t="shared" ca="1" si="0"/>
        <v>43104</v>
      </c>
      <c r="B85" s="72">
        <f t="shared" ca="1" si="1"/>
        <v>43104</v>
      </c>
      <c r="M85" s="72"/>
      <c r="AE85" s="72"/>
    </row>
    <row r="86" spans="1:31" hidden="1" x14ac:dyDescent="0.25">
      <c r="A86" s="72">
        <f t="shared" ca="1" si="0"/>
        <v>43104</v>
      </c>
      <c r="B86" s="72">
        <f t="shared" ca="1" si="1"/>
        <v>43104</v>
      </c>
      <c r="M86" s="72"/>
      <c r="AE86" s="72"/>
    </row>
    <row r="87" spans="1:31" hidden="1" x14ac:dyDescent="0.25">
      <c r="A87" s="72">
        <f t="shared" ca="1" si="0"/>
        <v>43104</v>
      </c>
      <c r="B87" s="72">
        <f t="shared" ca="1" si="1"/>
        <v>43104</v>
      </c>
      <c r="M87" s="72"/>
      <c r="AE87" s="72"/>
    </row>
    <row r="88" spans="1:31" hidden="1" x14ac:dyDescent="0.25">
      <c r="A88" s="72">
        <f t="shared" ca="1" si="0"/>
        <v>43104</v>
      </c>
      <c r="B88" s="72">
        <f t="shared" ca="1" si="1"/>
        <v>43104</v>
      </c>
      <c r="M88" s="72"/>
      <c r="AE88" s="72"/>
    </row>
    <row r="89" spans="1:31" hidden="1" x14ac:dyDescent="0.25">
      <c r="A89" s="72">
        <f t="shared" ca="1" si="0"/>
        <v>43104</v>
      </c>
      <c r="B89" s="72">
        <f t="shared" ca="1" si="1"/>
        <v>43104</v>
      </c>
      <c r="M89" s="72"/>
      <c r="AE89" s="72"/>
    </row>
    <row r="90" spans="1:31" hidden="1" x14ac:dyDescent="0.25">
      <c r="A90" s="72">
        <f t="shared" ca="1" si="0"/>
        <v>43104</v>
      </c>
      <c r="B90" s="72">
        <f t="shared" ca="1" si="1"/>
        <v>43104</v>
      </c>
      <c r="M90" s="72"/>
      <c r="AE90" s="72"/>
    </row>
    <row r="91" spans="1:31" hidden="1" x14ac:dyDescent="0.25">
      <c r="A91" s="72">
        <f t="shared" ca="1" si="0"/>
        <v>43104</v>
      </c>
      <c r="B91" s="72">
        <f t="shared" ca="1" si="1"/>
        <v>43104</v>
      </c>
      <c r="M91" s="72"/>
      <c r="AE91" s="72"/>
    </row>
    <row r="92" spans="1:31" hidden="1" x14ac:dyDescent="0.25">
      <c r="A92" s="72">
        <f t="shared" ca="1" si="0"/>
        <v>43104</v>
      </c>
      <c r="B92" s="72">
        <f t="shared" ca="1" si="1"/>
        <v>43104</v>
      </c>
      <c r="M92" s="72"/>
      <c r="AE92" s="72"/>
    </row>
    <row r="93" spans="1:31" hidden="1" x14ac:dyDescent="0.25">
      <c r="A93" s="72">
        <f t="shared" ca="1" si="0"/>
        <v>43104</v>
      </c>
      <c r="B93" s="72">
        <f t="shared" ca="1" si="1"/>
        <v>43104</v>
      </c>
      <c r="M93" s="72"/>
      <c r="AE93" s="72"/>
    </row>
    <row r="94" spans="1:31" hidden="1" x14ac:dyDescent="0.25">
      <c r="A94" s="72">
        <f t="shared" ca="1" si="0"/>
        <v>43104</v>
      </c>
      <c r="B94" s="72">
        <f t="shared" ca="1" si="1"/>
        <v>43104</v>
      </c>
      <c r="M94" s="72"/>
      <c r="AE94" s="72"/>
    </row>
    <row r="95" spans="1:31" hidden="1" x14ac:dyDescent="0.25">
      <c r="A95" s="72">
        <f t="shared" ca="1" si="0"/>
        <v>43104</v>
      </c>
      <c r="B95" s="72">
        <f t="shared" ca="1" si="1"/>
        <v>43104</v>
      </c>
      <c r="M95" s="72"/>
      <c r="AE95" s="72"/>
    </row>
    <row r="96" spans="1:31" hidden="1" x14ac:dyDescent="0.25">
      <c r="A96" s="72">
        <f t="shared" ca="1" si="0"/>
        <v>43104</v>
      </c>
      <c r="B96" s="72">
        <f t="shared" ca="1" si="1"/>
        <v>43104</v>
      </c>
      <c r="M96" s="72"/>
      <c r="AE96" s="72"/>
    </row>
    <row r="97" spans="1:31" hidden="1" x14ac:dyDescent="0.25">
      <c r="A97" s="72">
        <f t="shared" ca="1" si="0"/>
        <v>43104</v>
      </c>
      <c r="B97" s="72">
        <f t="shared" ca="1" si="1"/>
        <v>43104</v>
      </c>
      <c r="M97" s="72"/>
      <c r="AE97" s="72"/>
    </row>
    <row r="98" spans="1:31" hidden="1" x14ac:dyDescent="0.25">
      <c r="A98" s="72">
        <f t="shared" ca="1" si="0"/>
        <v>43104</v>
      </c>
      <c r="B98" s="72">
        <f t="shared" ca="1" si="1"/>
        <v>43104</v>
      </c>
      <c r="M98" s="72"/>
      <c r="AE98" s="72"/>
    </row>
    <row r="99" spans="1:31" hidden="1" x14ac:dyDescent="0.25">
      <c r="A99" s="72">
        <f t="shared" ca="1" si="0"/>
        <v>43104</v>
      </c>
      <c r="B99" s="72">
        <f t="shared" ca="1" si="1"/>
        <v>43104</v>
      </c>
      <c r="M99" s="72"/>
      <c r="AE99" s="72"/>
    </row>
    <row r="100" spans="1:31" hidden="1" x14ac:dyDescent="0.25">
      <c r="A100" s="72">
        <f t="shared" ca="1" si="0"/>
        <v>43104</v>
      </c>
      <c r="B100" s="72">
        <f t="shared" ca="1" si="1"/>
        <v>43104</v>
      </c>
      <c r="M100" s="72"/>
      <c r="AE100" s="72"/>
    </row>
    <row r="101" spans="1:31" hidden="1" x14ac:dyDescent="0.25">
      <c r="A101" s="72">
        <f t="shared" ca="1" si="0"/>
        <v>43104</v>
      </c>
      <c r="B101" s="72">
        <f t="shared" ca="1" si="1"/>
        <v>43104</v>
      </c>
      <c r="M101" s="72"/>
      <c r="AE101" s="72"/>
    </row>
    <row r="102" spans="1:31" hidden="1" x14ac:dyDescent="0.25">
      <c r="A102" s="72">
        <f t="shared" ca="1" si="0"/>
        <v>43104</v>
      </c>
      <c r="B102" s="72">
        <f t="shared" ca="1" si="1"/>
        <v>43104</v>
      </c>
      <c r="M102" s="72"/>
      <c r="AE102" s="72"/>
    </row>
    <row r="103" spans="1:31" hidden="1" x14ac:dyDescent="0.25">
      <c r="A103" s="72">
        <f t="shared" ca="1" si="0"/>
        <v>43104</v>
      </c>
      <c r="B103" s="72">
        <f t="shared" ca="1" si="1"/>
        <v>43104</v>
      </c>
      <c r="M103" s="72"/>
      <c r="AE103" s="72"/>
    </row>
    <row r="104" spans="1:31" hidden="1" x14ac:dyDescent="0.25">
      <c r="A104" s="72">
        <f t="shared" ca="1" si="0"/>
        <v>43104</v>
      </c>
      <c r="B104" s="72">
        <f t="shared" ca="1" si="1"/>
        <v>43104</v>
      </c>
      <c r="M104" s="72"/>
      <c r="AE104" s="72"/>
    </row>
    <row r="105" spans="1:31" hidden="1" x14ac:dyDescent="0.25">
      <c r="A105" s="72">
        <f t="shared" ca="1" si="0"/>
        <v>43104</v>
      </c>
      <c r="B105" s="72">
        <f t="shared" ca="1" si="1"/>
        <v>43104</v>
      </c>
      <c r="M105" s="72"/>
      <c r="AE105" s="72"/>
    </row>
    <row r="106" spans="1:31" hidden="1" x14ac:dyDescent="0.25">
      <c r="A106" s="72">
        <f t="shared" ca="1" si="0"/>
        <v>43104</v>
      </c>
      <c r="B106" s="72">
        <f t="shared" ca="1" si="1"/>
        <v>43104</v>
      </c>
      <c r="M106" s="72"/>
      <c r="AE106" s="72"/>
    </row>
    <row r="107" spans="1:31" hidden="1" x14ac:dyDescent="0.25">
      <c r="A107" s="72">
        <f t="shared" ca="1" si="0"/>
        <v>43104</v>
      </c>
      <c r="B107" s="72">
        <f t="shared" ca="1" si="1"/>
        <v>43104</v>
      </c>
      <c r="M107" s="72"/>
      <c r="AE107" s="72"/>
    </row>
    <row r="108" spans="1:31" hidden="1" x14ac:dyDescent="0.25">
      <c r="A108" s="72">
        <f t="shared" ca="1" si="0"/>
        <v>43104</v>
      </c>
      <c r="B108" s="72">
        <f t="shared" ca="1" si="1"/>
        <v>43104</v>
      </c>
      <c r="M108" s="72"/>
      <c r="AE108" s="72"/>
    </row>
    <row r="109" spans="1:31" hidden="1" x14ac:dyDescent="0.25">
      <c r="A109" s="72">
        <f t="shared" ca="1" si="0"/>
        <v>43104</v>
      </c>
      <c r="B109" s="72">
        <f t="shared" ca="1" si="1"/>
        <v>43104</v>
      </c>
      <c r="M109" s="72"/>
      <c r="AE109" s="72"/>
    </row>
    <row r="110" spans="1:31" hidden="1" x14ac:dyDescent="0.25">
      <c r="A110" s="72">
        <f t="shared" ca="1" si="0"/>
        <v>43104</v>
      </c>
      <c r="B110" s="72">
        <f t="shared" ca="1" si="1"/>
        <v>43104</v>
      </c>
      <c r="M110" s="72"/>
      <c r="AE110" s="72"/>
    </row>
    <row r="111" spans="1:31" hidden="1" x14ac:dyDescent="0.25">
      <c r="M111" s="72"/>
      <c r="AE111" s="72"/>
    </row>
    <row r="112" spans="1:31" hidden="1" x14ac:dyDescent="0.25">
      <c r="M112" s="72"/>
      <c r="AE112" s="72"/>
    </row>
    <row r="113" spans="1:31" x14ac:dyDescent="0.25">
      <c r="M113" s="72"/>
      <c r="AE113" s="72"/>
    </row>
    <row r="114" spans="1:31" x14ac:dyDescent="0.25">
      <c r="M114" s="72"/>
      <c r="AE114" s="72"/>
    </row>
    <row r="115" spans="1:31" x14ac:dyDescent="0.25">
      <c r="A115" s="15" t="s">
        <v>498</v>
      </c>
    </row>
    <row r="116" spans="1:31" x14ac:dyDescent="0.25">
      <c r="A116" s="72">
        <f>COUNTA(C18:C110)+(A117-1)</f>
        <v>45</v>
      </c>
      <c r="B116" s="72" t="s">
        <v>117</v>
      </c>
    </row>
    <row r="117" spans="1:31" x14ac:dyDescent="0.25">
      <c r="A117" s="72">
        <v>18</v>
      </c>
      <c r="B117" s="72" t="s">
        <v>118</v>
      </c>
      <c r="D117" s="72">
        <f>SUBTOTAL(3,D18:D114)</f>
        <v>28</v>
      </c>
    </row>
    <row r="118" spans="1:31" x14ac:dyDescent="0.25">
      <c r="A118" s="72" t="s">
        <v>119</v>
      </c>
      <c r="B118" s="72" t="s">
        <v>58</v>
      </c>
    </row>
    <row r="119" spans="1:31" x14ac:dyDescent="0.25">
      <c r="A119" s="72" t="s">
        <v>120</v>
      </c>
      <c r="B119" s="72" t="s">
        <v>71</v>
      </c>
    </row>
    <row r="120" spans="1:31" x14ac:dyDescent="0.25">
      <c r="A120" s="72" t="s">
        <v>121</v>
      </c>
      <c r="B120" s="72" t="s">
        <v>64</v>
      </c>
    </row>
    <row r="121" spans="1:31" x14ac:dyDescent="0.25">
      <c r="A121" s="72" t="s">
        <v>838</v>
      </c>
      <c r="B121" s="72" t="s">
        <v>123</v>
      </c>
    </row>
    <row r="122" spans="1:31" x14ac:dyDescent="0.25">
      <c r="A122" s="72" t="s">
        <v>124</v>
      </c>
      <c r="B122" s="72" t="s">
        <v>125</v>
      </c>
    </row>
    <row r="123" spans="1:31" x14ac:dyDescent="0.25">
      <c r="A123" s="72" t="s">
        <v>126</v>
      </c>
      <c r="B123" s="72" t="s">
        <v>127</v>
      </c>
    </row>
    <row r="124" spans="1:31" x14ac:dyDescent="0.25">
      <c r="A124" s="72" t="s">
        <v>170</v>
      </c>
      <c r="B124" s="72" t="s">
        <v>129</v>
      </c>
      <c r="D124" s="15"/>
      <c r="E124" s="72">
        <f>ROW()-18</f>
        <v>106</v>
      </c>
    </row>
    <row r="125" spans="1:31" x14ac:dyDescent="0.25">
      <c r="A125" s="72" t="s">
        <v>130</v>
      </c>
      <c r="B125" s="72" t="s">
        <v>131</v>
      </c>
      <c r="D125" s="15"/>
    </row>
    <row r="126" spans="1:31" x14ac:dyDescent="0.25">
      <c r="A126" s="72" t="s">
        <v>133</v>
      </c>
      <c r="B126" s="72" t="s">
        <v>134</v>
      </c>
      <c r="D126" s="15"/>
    </row>
    <row r="127" spans="1:31" x14ac:dyDescent="0.25">
      <c r="A127" s="72" t="s">
        <v>135</v>
      </c>
      <c r="B127" s="72" t="s">
        <v>136</v>
      </c>
      <c r="D127" s="15"/>
    </row>
    <row r="128" spans="1:31" x14ac:dyDescent="0.25">
      <c r="A128" s="72" t="s">
        <v>840</v>
      </c>
      <c r="B128" s="72" t="s">
        <v>314</v>
      </c>
      <c r="D128" s="15"/>
    </row>
    <row r="129" spans="1:4" x14ac:dyDescent="0.25">
      <c r="A129" s="72" t="s">
        <v>368</v>
      </c>
      <c r="B129" s="72" t="s">
        <v>57</v>
      </c>
      <c r="D129" s="15"/>
    </row>
    <row r="130" spans="1:4" x14ac:dyDescent="0.25">
      <c r="D130" s="15"/>
    </row>
    <row r="131" spans="1:4" x14ac:dyDescent="0.25">
      <c r="D131" s="15"/>
    </row>
    <row r="132" spans="1:4" x14ac:dyDescent="0.25">
      <c r="A132" s="15" t="s">
        <v>536</v>
      </c>
      <c r="D132" s="15"/>
    </row>
    <row r="133" spans="1:4" x14ac:dyDescent="0.25">
      <c r="D133" s="15"/>
    </row>
    <row r="134" spans="1:4" x14ac:dyDescent="0.25">
      <c r="D134" s="15"/>
    </row>
    <row r="135" spans="1:4" x14ac:dyDescent="0.25">
      <c r="A135" s="15" t="s">
        <v>357</v>
      </c>
      <c r="D135" s="15"/>
    </row>
    <row r="136" spans="1:4" x14ac:dyDescent="0.25">
      <c r="A136" s="22" t="s">
        <v>497</v>
      </c>
      <c r="D136" s="15"/>
    </row>
    <row r="137" spans="1:4" x14ac:dyDescent="0.25">
      <c r="A137" s="15" t="s">
        <v>250</v>
      </c>
      <c r="D137" s="15"/>
    </row>
    <row r="138" spans="1:4" x14ac:dyDescent="0.25">
      <c r="A138" s="22" t="s">
        <v>638</v>
      </c>
      <c r="B138" s="72" t="s">
        <v>839</v>
      </c>
      <c r="D138" s="15"/>
    </row>
    <row r="139" spans="1:4" x14ac:dyDescent="0.25">
      <c r="D139" s="15"/>
    </row>
    <row r="140" spans="1:4" x14ac:dyDescent="0.25">
      <c r="D140" s="15"/>
    </row>
    <row r="141" spans="1:4" x14ac:dyDescent="0.25">
      <c r="D141" s="15"/>
    </row>
    <row r="142" spans="1:4" x14ac:dyDescent="0.25">
      <c r="D142" s="15" t="str">
        <f t="shared" ref="D142:D200" ca="1" si="2">HYPERLINK(CONCATENATE("https://bugzilla.houston.hpecorp.net:1181/bugzilla/show_bug.cgi?id=",MID(INDIRECT($A$129&amp;(ROW()-106)),9,5)),MID(INDIRECT($A$129&amp;(ROW()-106)),9,5))</f>
        <v>r: Le</v>
      </c>
    </row>
    <row r="143" spans="1:4" x14ac:dyDescent="0.25">
      <c r="D143" s="15" t="str">
        <f t="shared" ca="1" si="2"/>
        <v xml:space="preserve">hMon </v>
      </c>
    </row>
    <row r="144" spans="1:4" x14ac:dyDescent="0.25">
      <c r="D144" s="15" t="str">
        <f t="shared" ca="1" si="2"/>
        <v>12411</v>
      </c>
    </row>
    <row r="145" spans="4:4" x14ac:dyDescent="0.25">
      <c r="D145" s="15" t="str">
        <f t="shared" ca="1" si="2"/>
        <v>eak o</v>
      </c>
    </row>
    <row r="146" spans="4:4" x14ac:dyDescent="0.25">
      <c r="D146" s="15" t="str">
        <f t="shared" ca="1" si="2"/>
        <v>12266</v>
      </c>
    </row>
    <row r="147" spans="4:4" x14ac:dyDescent="0.25">
      <c r="D147" s="15" t="str">
        <f t="shared" ca="1" si="2"/>
        <v>11995</v>
      </c>
    </row>
    <row r="148" spans="4:4" x14ac:dyDescent="0.25">
      <c r="D148" s="15" t="str">
        <f t="shared" ca="1" si="2"/>
        <v>11995</v>
      </c>
    </row>
    <row r="149" spans="4:4" x14ac:dyDescent="0.25">
      <c r="D149" s="15" t="str">
        <f t="shared" ca="1" si="2"/>
        <v>r: Te</v>
      </c>
    </row>
    <row r="150" spans="4:4" x14ac:dyDescent="0.25">
      <c r="D150" s="15" t="str">
        <f t="shared" ca="1" si="2"/>
        <v>12669</v>
      </c>
    </row>
    <row r="151" spans="4:4" x14ac:dyDescent="0.25">
      <c r="D151" s="15" t="str">
        <f t="shared" ca="1" si="2"/>
        <v>96929</v>
      </c>
    </row>
    <row r="152" spans="4:4" x14ac:dyDescent="0.25">
      <c r="D152" s="15" t="str">
        <f t="shared" ca="1" si="2"/>
        <v/>
      </c>
    </row>
    <row r="153" spans="4:4" x14ac:dyDescent="0.25">
      <c r="D153" s="15" t="str">
        <f t="shared" ca="1" si="2"/>
        <v/>
      </c>
    </row>
    <row r="154" spans="4:4" x14ac:dyDescent="0.25">
      <c r="D154" s="15" t="str">
        <f t="shared" ca="1" si="2"/>
        <v/>
      </c>
    </row>
    <row r="155" spans="4:4" x14ac:dyDescent="0.25">
      <c r="D155" s="15" t="str">
        <f t="shared" ca="1" si="2"/>
        <v/>
      </c>
    </row>
    <row r="156" spans="4:4" x14ac:dyDescent="0.25">
      <c r="D156" s="15" t="str">
        <f t="shared" ca="1" si="2"/>
        <v/>
      </c>
    </row>
    <row r="157" spans="4:4" x14ac:dyDescent="0.25">
      <c r="D157" s="15" t="str">
        <f t="shared" ca="1" si="2"/>
        <v/>
      </c>
    </row>
    <row r="158" spans="4:4" x14ac:dyDescent="0.25">
      <c r="D158" s="15" t="str">
        <f t="shared" ca="1" si="2"/>
        <v/>
      </c>
    </row>
    <row r="159" spans="4:4" x14ac:dyDescent="0.25">
      <c r="D159" s="15" t="str">
        <f t="shared" ca="1" si="2"/>
        <v/>
      </c>
    </row>
    <row r="160" spans="4:4" x14ac:dyDescent="0.25">
      <c r="D160" s="15" t="str">
        <f t="shared" ca="1" si="2"/>
        <v/>
      </c>
    </row>
    <row r="161" spans="4:4" x14ac:dyDescent="0.25">
      <c r="D161" s="15" t="str">
        <f t="shared" ca="1" si="2"/>
        <v/>
      </c>
    </row>
    <row r="162" spans="4:4" x14ac:dyDescent="0.25">
      <c r="D162" s="15" t="str">
        <f t="shared" ca="1" si="2"/>
        <v/>
      </c>
    </row>
    <row r="163" spans="4:4" x14ac:dyDescent="0.25">
      <c r="D163" s="15" t="str">
        <f t="shared" ca="1" si="2"/>
        <v/>
      </c>
    </row>
    <row r="164" spans="4:4" x14ac:dyDescent="0.25">
      <c r="D164" s="15" t="str">
        <f t="shared" ca="1" si="2"/>
        <v/>
      </c>
    </row>
    <row r="165" spans="4:4" x14ac:dyDescent="0.25">
      <c r="D165" s="15" t="str">
        <f t="shared" ca="1" si="2"/>
        <v/>
      </c>
    </row>
    <row r="166" spans="4:4" x14ac:dyDescent="0.25">
      <c r="D166" s="15" t="str">
        <f t="shared" ca="1" si="2"/>
        <v/>
      </c>
    </row>
    <row r="167" spans="4:4" x14ac:dyDescent="0.25">
      <c r="D167" s="15" t="str">
        <f t="shared" ca="1" si="2"/>
        <v/>
      </c>
    </row>
    <row r="168" spans="4:4" x14ac:dyDescent="0.25">
      <c r="D168" s="15" t="str">
        <f t="shared" ca="1" si="2"/>
        <v/>
      </c>
    </row>
    <row r="169" spans="4:4" x14ac:dyDescent="0.25">
      <c r="D169" s="15" t="str">
        <f t="shared" ca="1" si="2"/>
        <v/>
      </c>
    </row>
    <row r="170" spans="4:4" x14ac:dyDescent="0.25">
      <c r="D170" s="15" t="str">
        <f t="shared" ca="1" si="2"/>
        <v/>
      </c>
    </row>
    <row r="171" spans="4:4" x14ac:dyDescent="0.25">
      <c r="D171" s="15" t="str">
        <f t="shared" ca="1" si="2"/>
        <v/>
      </c>
    </row>
    <row r="172" spans="4:4" x14ac:dyDescent="0.25">
      <c r="D172" s="15" t="str">
        <f t="shared" ca="1" si="2"/>
        <v/>
      </c>
    </row>
    <row r="173" spans="4:4" x14ac:dyDescent="0.25">
      <c r="D173" s="15" t="str">
        <f t="shared" ca="1" si="2"/>
        <v/>
      </c>
    </row>
    <row r="174" spans="4:4" x14ac:dyDescent="0.25">
      <c r="D174" s="15" t="str">
        <f t="shared" ca="1" si="2"/>
        <v/>
      </c>
    </row>
    <row r="175" spans="4:4" x14ac:dyDescent="0.25">
      <c r="D175" s="15" t="str">
        <f t="shared" ca="1" si="2"/>
        <v/>
      </c>
    </row>
    <row r="176" spans="4:4" x14ac:dyDescent="0.25">
      <c r="D176" s="15" t="str">
        <f t="shared" ca="1" si="2"/>
        <v/>
      </c>
    </row>
    <row r="177" spans="4:4" x14ac:dyDescent="0.25">
      <c r="D177" s="15" t="str">
        <f t="shared" ca="1" si="2"/>
        <v/>
      </c>
    </row>
    <row r="178" spans="4:4" x14ac:dyDescent="0.25">
      <c r="D178" s="15" t="str">
        <f t="shared" ca="1" si="2"/>
        <v/>
      </c>
    </row>
    <row r="179" spans="4:4" x14ac:dyDescent="0.25">
      <c r="D179" s="15" t="str">
        <f t="shared" ca="1" si="2"/>
        <v/>
      </c>
    </row>
    <row r="180" spans="4:4" x14ac:dyDescent="0.25">
      <c r="D180" s="15" t="str">
        <f t="shared" ca="1" si="2"/>
        <v/>
      </c>
    </row>
    <row r="181" spans="4:4" x14ac:dyDescent="0.25">
      <c r="D181" s="15" t="str">
        <f t="shared" ca="1" si="2"/>
        <v/>
      </c>
    </row>
    <row r="182" spans="4:4" x14ac:dyDescent="0.25">
      <c r="D182" s="15" t="str">
        <f t="shared" ca="1" si="2"/>
        <v/>
      </c>
    </row>
    <row r="183" spans="4:4" x14ac:dyDescent="0.25">
      <c r="D183" s="15" t="str">
        <f t="shared" ca="1" si="2"/>
        <v/>
      </c>
    </row>
    <row r="184" spans="4:4" x14ac:dyDescent="0.25">
      <c r="D184" s="15" t="str">
        <f t="shared" ca="1" si="2"/>
        <v/>
      </c>
    </row>
    <row r="185" spans="4:4" x14ac:dyDescent="0.25">
      <c r="D185" s="15" t="str">
        <f t="shared" ca="1" si="2"/>
        <v/>
      </c>
    </row>
    <row r="186" spans="4:4" x14ac:dyDescent="0.25">
      <c r="D186" s="15" t="str">
        <f t="shared" ca="1" si="2"/>
        <v/>
      </c>
    </row>
    <row r="187" spans="4:4" x14ac:dyDescent="0.25">
      <c r="D187" s="15" t="str">
        <f t="shared" ca="1" si="2"/>
        <v/>
      </c>
    </row>
    <row r="188" spans="4:4" x14ac:dyDescent="0.25">
      <c r="D188" s="15" t="str">
        <f t="shared" ca="1" si="2"/>
        <v/>
      </c>
    </row>
    <row r="189" spans="4:4" x14ac:dyDescent="0.25">
      <c r="D189" s="15" t="str">
        <f t="shared" ca="1" si="2"/>
        <v/>
      </c>
    </row>
    <row r="190" spans="4:4" x14ac:dyDescent="0.25">
      <c r="D190" s="15" t="str">
        <f t="shared" ca="1" si="2"/>
        <v/>
      </c>
    </row>
    <row r="191" spans="4:4" x14ac:dyDescent="0.25">
      <c r="D191" s="15" t="str">
        <f t="shared" ca="1" si="2"/>
        <v/>
      </c>
    </row>
    <row r="192" spans="4:4" x14ac:dyDescent="0.25">
      <c r="D192" s="15" t="str">
        <f t="shared" ca="1" si="2"/>
        <v/>
      </c>
    </row>
    <row r="193" spans="4:4" x14ac:dyDescent="0.25">
      <c r="D193" s="15" t="str">
        <f t="shared" ca="1" si="2"/>
        <v/>
      </c>
    </row>
    <row r="194" spans="4:4" x14ac:dyDescent="0.25">
      <c r="D194" s="15" t="str">
        <f t="shared" ca="1" si="2"/>
        <v/>
      </c>
    </row>
    <row r="195" spans="4:4" x14ac:dyDescent="0.25">
      <c r="D195" s="15" t="str">
        <f t="shared" ca="1" si="2"/>
        <v/>
      </c>
    </row>
    <row r="196" spans="4:4" x14ac:dyDescent="0.25">
      <c r="D196" s="15" t="str">
        <f t="shared" ca="1" si="2"/>
        <v/>
      </c>
    </row>
    <row r="197" spans="4:4" x14ac:dyDescent="0.25">
      <c r="D197" s="15" t="str">
        <f t="shared" ca="1" si="2"/>
        <v/>
      </c>
    </row>
    <row r="198" spans="4:4" x14ac:dyDescent="0.25">
      <c r="D198" s="15" t="str">
        <f t="shared" ca="1" si="2"/>
        <v/>
      </c>
    </row>
    <row r="199" spans="4:4" x14ac:dyDescent="0.25">
      <c r="D199" s="15" t="str">
        <f t="shared" ca="1" si="2"/>
        <v/>
      </c>
    </row>
    <row r="200" spans="4:4" x14ac:dyDescent="0.25">
      <c r="D200" s="15" t="str">
        <f t="shared" ca="1" si="2"/>
        <v/>
      </c>
    </row>
  </sheetData>
  <autoFilter ref="A17:AG110">
    <filterColumn colId="3">
      <customFilters>
        <customFilter operator="notEqual" val=" "/>
      </customFilters>
    </filterColumn>
  </autoFilter>
  <conditionalFormatting sqref="C18:C110">
    <cfRule type="expression" dxfId="26" priority="1">
      <formula>IF(FIND("Support",AA18),1,0)</formula>
    </cfRule>
    <cfRule type="expression" dxfId="25" priority="2">
      <formula>IF(Y18 &lt;&gt; " ---",IF(Y18 &lt;&gt; "",1,0),0)</formula>
    </cfRule>
    <cfRule type="expression" dxfId="24" priority="3">
      <formula>IF(FIND("Request",AA18),1,0)</formula>
    </cfRule>
    <cfRule type="expression" dxfId="23" priority="5">
      <formula>IF(U18=" ---",IF(Y18=" ---",1,0),0)</formula>
    </cfRule>
    <cfRule type="expression" dxfId="22" priority="6">
      <formula>IF(FIND("Denied",AA18),1,0)</formula>
    </cfRule>
    <cfRule type="expression" dxfId="21" priority="7">
      <formula>IF(FIND("Director",AA18,11),1,0)</formula>
    </cfRule>
    <cfRule type="expression" dxfId="20" priority="8">
      <formula>IF(FIND("Approve",AA18),1,0)</formula>
    </cfRule>
    <cfRule type="expression" dxfId="19" priority="9">
      <formula>IF(FIND("Request",AA18),1,0)</formula>
    </cfRule>
  </conditionalFormatting>
  <conditionalFormatting sqref="G18:G110">
    <cfRule type="expression" dxfId="18" priority="4">
      <formula>IF(G18="For Review",1,0)</formula>
    </cfRule>
  </conditionalFormatting>
  <hyperlinks>
    <hyperlink ref="A132" r:id="rId1"/>
    <hyperlink ref="A135" r:id="rId2"/>
    <hyperlink ref="A137" location="RedZoneAvitus!C18" display="C18"/>
    <hyperlink ref="A115" location="RedZoneAvitus!C124" display="c124"/>
    <hyperlink ref="N15" location="RedZone!C100" display="c100"/>
    <hyperlink ref="D33" r:id="rId3" display="roselle.fernandez@hpe.com"/>
    <hyperlink ref="D19" r:id="rId4" display="ron.chamberts@hpe.com"/>
    <hyperlink ref="D22" r:id="rId5"/>
    <hyperlink ref="D39" r:id="rId6" display="arnab.das@hpe.com"/>
    <hyperlink ref="D41" r:id="rId7" display="ron.chambers@hpe.com"/>
    <hyperlink ref="D38" r:id="rId8" display="roselle.fernandez@hpe.com"/>
    <hyperlink ref="D30" r:id="rId9" display="santanug@hpe.com"/>
    <hyperlink ref="D29" r:id="rId10" display="arnab.das@hpe.com"/>
    <hyperlink ref="D34" r:id="rId11" display="santanuq@hpe.com"/>
    <hyperlink ref="D36" r:id="rId12" display="roselle.fernandez@hpe.com"/>
    <hyperlink ref="D31" r:id="rId13" display="shounak.banerjee@hpe.com"/>
  </hyperlinks>
  <pageMargins left="0.25" right="0.25" top="0.75" bottom="0.75" header="0.3" footer="0.3"/>
  <pageSetup scale="26" fitToHeight="0" orientation="landscape" r:id="rId14"/>
  <drawing r:id="rId15"/>
  <legacyDrawing r:id="rId16"/>
  <mc:AlternateContent xmlns:mc="http://schemas.openxmlformats.org/markup-compatibility/2006">
    <mc:Choice Requires="x14">
      <controls>
        <mc:AlternateContent xmlns:mc="http://schemas.openxmlformats.org/markup-compatibility/2006">
          <mc:Choice Requires="x14">
            <control shapeId="76801" r:id="rId17" name="Button 1">
              <controlPr defaultSize="0" print="0" autoFill="0" autoPict="0" macro="[0]!ClearFilters">
                <anchor>
                  <from>
                    <xdr:col>6</xdr:col>
                    <xdr:colOff>619125</xdr:colOff>
                    <xdr:row>12</xdr:row>
                    <xdr:rowOff>9525</xdr:rowOff>
                  </from>
                  <to>
                    <xdr:col>11</xdr:col>
                    <xdr:colOff>561975</xdr:colOff>
                    <xdr:row>13</xdr:row>
                    <xdr:rowOff>0</xdr:rowOff>
                  </to>
                </anchor>
              </controlPr>
            </control>
          </mc:Choice>
        </mc:AlternateContent>
        <mc:AlternateContent xmlns:mc="http://schemas.openxmlformats.org/markup-compatibility/2006">
          <mc:Choice Requires="x14">
            <control shapeId="76802" r:id="rId18" name="Button 2">
              <controlPr defaultSize="0" print="0" autoFill="0" autoPict="0" macro="[0]!smbFAA">
                <anchor>
                  <from>
                    <xdr:col>6</xdr:col>
                    <xdr:colOff>609600</xdr:colOff>
                    <xdr:row>13</xdr:row>
                    <xdr:rowOff>85725</xdr:rowOff>
                  </from>
                  <to>
                    <xdr:col>11</xdr:col>
                    <xdr:colOff>476250</xdr:colOff>
                    <xdr:row>14</xdr:row>
                    <xdr:rowOff>123825</xdr:rowOff>
                  </to>
                </anchor>
              </controlPr>
            </control>
          </mc:Choice>
        </mc:AlternateContent>
        <mc:AlternateContent xmlns:mc="http://schemas.openxmlformats.org/markup-compatibility/2006">
          <mc:Choice Requires="x14">
            <control shapeId="76803" r:id="rId19" name="Button 3">
              <controlPr defaultSize="0" print="0" autoFill="0" autoPict="0" macro="[0]!AZrzbzquery">
                <anchor>
                  <from>
                    <xdr:col>6</xdr:col>
                    <xdr:colOff>590550</xdr:colOff>
                    <xdr:row>9</xdr:row>
                    <xdr:rowOff>180975</xdr:rowOff>
                  </from>
                  <to>
                    <xdr:col>11</xdr:col>
                    <xdr:colOff>590550</xdr:colOff>
                    <xdr:row>11</xdr:row>
                    <xdr:rowOff>28575</xdr:rowOff>
                  </to>
                </anchor>
              </controlPr>
            </control>
          </mc:Choice>
        </mc:AlternateContent>
        <mc:AlternateContent xmlns:mc="http://schemas.openxmlformats.org/markup-compatibility/2006">
          <mc:Choice Requires="x14">
            <control shapeId="76804" r:id="rId20" name="Button 4">
              <controlPr defaultSize="0" print="0" autoFill="0" autoPict="0" macro="[0]!HideColumns">
                <anchor>
                  <from>
                    <xdr:col>11</xdr:col>
                    <xdr:colOff>800100</xdr:colOff>
                    <xdr:row>12</xdr:row>
                    <xdr:rowOff>0</xdr:rowOff>
                  </from>
                  <to>
                    <xdr:col>15</xdr:col>
                    <xdr:colOff>180975</xdr:colOff>
                    <xdr:row>13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22"/>
  <sheetViews>
    <sheetView zoomScale="60" zoomScaleNormal="60" workbookViewId="0">
      <selection activeCell="C13" sqref="C13"/>
    </sheetView>
  </sheetViews>
  <sheetFormatPr defaultRowHeight="15" x14ac:dyDescent="0.25"/>
  <cols>
    <col min="1" max="1" width="8.28515625" bestFit="1" customWidth="1"/>
    <col min="2" max="2" width="27.140625" bestFit="1" customWidth="1"/>
    <col min="3" max="3" width="81.140625" bestFit="1" customWidth="1"/>
    <col min="4" max="4" width="10.5703125" bestFit="1" customWidth="1"/>
    <col min="5" max="5" width="18.140625" bestFit="1" customWidth="1"/>
    <col min="6" max="6" width="32.85546875" bestFit="1" customWidth="1"/>
    <col min="7" max="7" width="57.140625" bestFit="1" customWidth="1"/>
    <col min="8" max="8" width="17.85546875" bestFit="1" customWidth="1"/>
    <col min="9" max="9" width="9.85546875" bestFit="1" customWidth="1"/>
    <col min="10" max="10" width="11.42578125" bestFit="1" customWidth="1"/>
    <col min="11" max="11" width="15.85546875" bestFit="1" customWidth="1"/>
    <col min="12" max="12" width="32.42578125" bestFit="1" customWidth="1"/>
    <col min="13" max="13" width="15.7109375" bestFit="1" customWidth="1"/>
    <col min="14" max="14" width="34" bestFit="1" customWidth="1"/>
    <col min="15" max="15" width="14.85546875" bestFit="1" customWidth="1"/>
    <col min="16" max="16" width="15.42578125" bestFit="1" customWidth="1"/>
    <col min="17" max="17" width="15.7109375" bestFit="1" customWidth="1"/>
    <col min="18" max="18" width="22.7109375" bestFit="1" customWidth="1"/>
    <col min="19" max="19" width="23.42578125" bestFit="1" customWidth="1"/>
    <col min="20" max="20" width="9.85546875" bestFit="1" customWidth="1"/>
    <col min="21" max="21" width="21.140625" bestFit="1" customWidth="1"/>
    <col min="22" max="22" width="12.28515625" bestFit="1" customWidth="1"/>
    <col min="23" max="23" width="19.42578125" bestFit="1" customWidth="1"/>
    <col min="24" max="24" width="8.140625" bestFit="1" customWidth="1"/>
    <col min="25" max="25" width="29" bestFit="1" customWidth="1"/>
    <col min="26" max="26" width="16" bestFit="1" customWidth="1"/>
    <col min="27" max="27" width="18.85546875" bestFit="1" customWidth="1"/>
    <col min="28" max="28" width="18.42578125" bestFit="1" customWidth="1"/>
  </cols>
  <sheetData>
    <row r="1" spans="1:28" x14ac:dyDescent="0.25">
      <c r="A1" t="s">
        <v>818</v>
      </c>
      <c r="B1" t="s">
        <v>819</v>
      </c>
      <c r="C1" t="s">
        <v>57</v>
      </c>
      <c r="D1" t="s">
        <v>58</v>
      </c>
      <c r="E1" t="s">
        <v>820</v>
      </c>
      <c r="F1" t="s">
        <v>821</v>
      </c>
      <c r="G1" t="s">
        <v>61</v>
      </c>
      <c r="H1" t="s">
        <v>822</v>
      </c>
      <c r="I1" t="s">
        <v>63</v>
      </c>
      <c r="J1" t="s">
        <v>64</v>
      </c>
      <c r="K1" t="s">
        <v>823</v>
      </c>
      <c r="L1" t="s">
        <v>824</v>
      </c>
      <c r="M1" t="s">
        <v>825</v>
      </c>
      <c r="N1" t="s">
        <v>68</v>
      </c>
      <c r="O1" t="s">
        <v>826</v>
      </c>
      <c r="P1" t="s">
        <v>827</v>
      </c>
      <c r="Q1" t="s">
        <v>71</v>
      </c>
      <c r="R1" t="s">
        <v>72</v>
      </c>
      <c r="S1" t="s">
        <v>828</v>
      </c>
      <c r="T1" t="s">
        <v>75</v>
      </c>
      <c r="U1" t="s">
        <v>829</v>
      </c>
      <c r="V1" t="s">
        <v>830</v>
      </c>
      <c r="W1" t="s">
        <v>831</v>
      </c>
      <c r="X1" t="s">
        <v>832</v>
      </c>
      <c r="Y1" t="s">
        <v>833</v>
      </c>
      <c r="Z1" t="s">
        <v>834</v>
      </c>
      <c r="AA1" t="s">
        <v>835</v>
      </c>
      <c r="AB1" t="s">
        <v>836</v>
      </c>
    </row>
    <row r="2" spans="1:28" x14ac:dyDescent="0.25">
      <c r="A2">
        <v>112968</v>
      </c>
      <c r="B2" t="s">
        <v>305</v>
      </c>
      <c r="C2" t="s">
        <v>855</v>
      </c>
      <c r="D2" t="s">
        <v>2</v>
      </c>
      <c r="E2" t="s">
        <v>690</v>
      </c>
      <c r="F2" t="s">
        <v>277</v>
      </c>
      <c r="H2" s="73">
        <v>43620.479768518519</v>
      </c>
      <c r="I2" t="s">
        <v>4</v>
      </c>
      <c r="J2" t="s">
        <v>641</v>
      </c>
      <c r="K2" s="73">
        <v>43221.563298611109</v>
      </c>
      <c r="L2" t="s">
        <v>306</v>
      </c>
      <c r="M2" t="s">
        <v>837</v>
      </c>
      <c r="N2" t="s">
        <v>851</v>
      </c>
      <c r="O2" t="s">
        <v>17</v>
      </c>
      <c r="P2" t="s">
        <v>30</v>
      </c>
      <c r="Q2" t="s">
        <v>24</v>
      </c>
      <c r="R2" t="s">
        <v>31</v>
      </c>
      <c r="S2" t="s">
        <v>7</v>
      </c>
      <c r="T2" t="s">
        <v>88</v>
      </c>
      <c r="U2" t="s">
        <v>7</v>
      </c>
      <c r="V2" t="s">
        <v>81</v>
      </c>
      <c r="W2" t="s">
        <v>889</v>
      </c>
      <c r="X2" t="s">
        <v>7</v>
      </c>
      <c r="Y2" t="s">
        <v>7</v>
      </c>
      <c r="Z2" t="s">
        <v>7</v>
      </c>
    </row>
    <row r="3" spans="1:28" x14ac:dyDescent="0.25">
      <c r="A3">
        <v>117287</v>
      </c>
      <c r="B3" t="s">
        <v>273</v>
      </c>
      <c r="C3" t="s">
        <v>874</v>
      </c>
      <c r="D3" t="s">
        <v>11</v>
      </c>
      <c r="E3" t="s">
        <v>690</v>
      </c>
      <c r="F3" t="s">
        <v>272</v>
      </c>
      <c r="G3" t="s">
        <v>863</v>
      </c>
      <c r="H3" s="73">
        <v>43605.100277777776</v>
      </c>
      <c r="I3" t="s">
        <v>20</v>
      </c>
      <c r="J3" t="s">
        <v>509</v>
      </c>
      <c r="K3" s="73">
        <v>43306.960266203707</v>
      </c>
      <c r="L3" t="s">
        <v>16</v>
      </c>
      <c r="M3" t="s">
        <v>837</v>
      </c>
      <c r="N3" t="s">
        <v>282</v>
      </c>
      <c r="O3" t="s">
        <v>17</v>
      </c>
      <c r="P3" t="s">
        <v>30</v>
      </c>
      <c r="Q3" t="s">
        <v>13</v>
      </c>
      <c r="R3" t="s">
        <v>19</v>
      </c>
      <c r="S3" t="s">
        <v>7</v>
      </c>
      <c r="T3" t="s">
        <v>88</v>
      </c>
      <c r="U3" t="s">
        <v>844</v>
      </c>
      <c r="V3" t="s">
        <v>81</v>
      </c>
      <c r="W3" t="s">
        <v>7</v>
      </c>
      <c r="X3" t="s">
        <v>7</v>
      </c>
      <c r="Y3" t="s">
        <v>7</v>
      </c>
      <c r="Z3" t="s">
        <v>7</v>
      </c>
      <c r="AA3" t="s">
        <v>843</v>
      </c>
    </row>
    <row r="4" spans="1:28" x14ac:dyDescent="0.25">
      <c r="A4">
        <v>119952</v>
      </c>
      <c r="B4" t="s">
        <v>286</v>
      </c>
      <c r="C4" t="s">
        <v>847</v>
      </c>
      <c r="D4" t="s">
        <v>2</v>
      </c>
      <c r="E4" t="s">
        <v>690</v>
      </c>
      <c r="F4" t="s">
        <v>277</v>
      </c>
      <c r="H4" s="73">
        <v>43570.745636574073</v>
      </c>
      <c r="I4" t="s">
        <v>4</v>
      </c>
      <c r="J4" t="s">
        <v>845</v>
      </c>
      <c r="K4" s="73">
        <v>43363.634710648148</v>
      </c>
      <c r="L4" t="s">
        <v>16</v>
      </c>
      <c r="M4" t="s">
        <v>837</v>
      </c>
      <c r="N4" t="s">
        <v>282</v>
      </c>
      <c r="O4" t="s">
        <v>17</v>
      </c>
      <c r="P4" t="s">
        <v>30</v>
      </c>
      <c r="Q4" t="s">
        <v>13</v>
      </c>
      <c r="R4" t="s">
        <v>19</v>
      </c>
      <c r="S4" t="s">
        <v>7</v>
      </c>
      <c r="T4" t="s">
        <v>88</v>
      </c>
      <c r="U4" t="s">
        <v>7</v>
      </c>
      <c r="V4" t="s">
        <v>81</v>
      </c>
      <c r="W4" t="s">
        <v>7</v>
      </c>
      <c r="X4" t="s">
        <v>7</v>
      </c>
      <c r="Y4" t="s">
        <v>7</v>
      </c>
      <c r="Z4" t="s">
        <v>7</v>
      </c>
      <c r="AA4" t="s">
        <v>850</v>
      </c>
    </row>
    <row r="5" spans="1:28" x14ac:dyDescent="0.25">
      <c r="A5">
        <v>119954</v>
      </c>
      <c r="B5" t="s">
        <v>286</v>
      </c>
      <c r="C5" t="s">
        <v>848</v>
      </c>
      <c r="D5" t="s">
        <v>2</v>
      </c>
      <c r="E5" t="s">
        <v>690</v>
      </c>
      <c r="F5" t="s">
        <v>277</v>
      </c>
      <c r="H5" s="73">
        <v>43535.762743055559</v>
      </c>
      <c r="I5" t="s">
        <v>20</v>
      </c>
      <c r="J5" t="s">
        <v>845</v>
      </c>
      <c r="K5" s="73">
        <v>43363.635150462964</v>
      </c>
      <c r="L5" t="s">
        <v>16</v>
      </c>
      <c r="M5" t="s">
        <v>837</v>
      </c>
      <c r="N5" t="s">
        <v>282</v>
      </c>
      <c r="O5" t="s">
        <v>6</v>
      </c>
      <c r="P5" t="s">
        <v>30</v>
      </c>
      <c r="Q5" t="s">
        <v>13</v>
      </c>
      <c r="R5" t="s">
        <v>19</v>
      </c>
      <c r="S5" t="s">
        <v>7</v>
      </c>
      <c r="T5" t="s">
        <v>88</v>
      </c>
      <c r="U5" t="s">
        <v>860</v>
      </c>
      <c r="V5" t="s">
        <v>81</v>
      </c>
      <c r="W5" t="s">
        <v>7</v>
      </c>
      <c r="X5" t="s">
        <v>7</v>
      </c>
      <c r="Y5" t="s">
        <v>861</v>
      </c>
      <c r="Z5" t="s">
        <v>7</v>
      </c>
      <c r="AA5" t="s">
        <v>846</v>
      </c>
    </row>
    <row r="6" spans="1:28" x14ac:dyDescent="0.25">
      <c r="A6">
        <v>122937</v>
      </c>
      <c r="B6" t="s">
        <v>537</v>
      </c>
      <c r="C6" t="s">
        <v>879</v>
      </c>
      <c r="D6" t="s">
        <v>11</v>
      </c>
      <c r="E6" t="s">
        <v>690</v>
      </c>
      <c r="F6" t="s">
        <v>852</v>
      </c>
      <c r="G6" t="s">
        <v>859</v>
      </c>
      <c r="H6" s="73">
        <v>43581.895127314812</v>
      </c>
      <c r="I6" t="s">
        <v>4</v>
      </c>
      <c r="J6" t="s">
        <v>690</v>
      </c>
      <c r="K6" s="73">
        <v>43445.738356481481</v>
      </c>
      <c r="L6" t="s">
        <v>139</v>
      </c>
      <c r="M6" t="s">
        <v>837</v>
      </c>
      <c r="N6" t="s">
        <v>282</v>
      </c>
      <c r="O6" t="s">
        <v>17</v>
      </c>
      <c r="P6" t="s">
        <v>30</v>
      </c>
      <c r="Q6" t="s">
        <v>13</v>
      </c>
      <c r="R6" t="s">
        <v>19</v>
      </c>
      <c r="S6" t="s">
        <v>7</v>
      </c>
      <c r="T6" t="s">
        <v>88</v>
      </c>
      <c r="U6" t="s">
        <v>7</v>
      </c>
      <c r="V6" t="s">
        <v>81</v>
      </c>
      <c r="W6" t="s">
        <v>7</v>
      </c>
      <c r="X6" t="s">
        <v>7</v>
      </c>
      <c r="Y6" t="s">
        <v>7</v>
      </c>
      <c r="Z6" t="s">
        <v>7</v>
      </c>
    </row>
    <row r="7" spans="1:28" x14ac:dyDescent="0.25">
      <c r="A7">
        <v>123693</v>
      </c>
      <c r="B7" t="s">
        <v>660</v>
      </c>
      <c r="C7" t="s">
        <v>853</v>
      </c>
      <c r="D7" t="s">
        <v>2</v>
      </c>
      <c r="E7" t="s">
        <v>690</v>
      </c>
      <c r="F7" t="s">
        <v>849</v>
      </c>
      <c r="H7" s="73">
        <v>43614.575300925928</v>
      </c>
      <c r="I7" t="s">
        <v>4</v>
      </c>
      <c r="J7" t="s">
        <v>854</v>
      </c>
      <c r="K7" s="73">
        <v>43494.854351851849</v>
      </c>
      <c r="L7" t="s">
        <v>312</v>
      </c>
      <c r="M7" t="s">
        <v>837</v>
      </c>
      <c r="N7" t="s">
        <v>282</v>
      </c>
      <c r="O7" t="s">
        <v>17</v>
      </c>
      <c r="P7" t="s">
        <v>30</v>
      </c>
      <c r="Q7" t="s">
        <v>8</v>
      </c>
      <c r="R7" t="s">
        <v>27</v>
      </c>
      <c r="S7" t="s">
        <v>7</v>
      </c>
      <c r="T7" t="s">
        <v>516</v>
      </c>
      <c r="U7" t="s">
        <v>7</v>
      </c>
      <c r="V7" t="s">
        <v>81</v>
      </c>
      <c r="W7" t="s">
        <v>886</v>
      </c>
      <c r="X7" t="s">
        <v>7</v>
      </c>
      <c r="Y7" t="s">
        <v>7</v>
      </c>
      <c r="Z7" t="s">
        <v>544</v>
      </c>
    </row>
    <row r="8" spans="1:28" x14ac:dyDescent="0.25">
      <c r="A8">
        <v>124447</v>
      </c>
      <c r="B8" t="s">
        <v>366</v>
      </c>
      <c r="C8" t="s">
        <v>857</v>
      </c>
      <c r="D8" t="s">
        <v>2</v>
      </c>
      <c r="E8" t="s">
        <v>690</v>
      </c>
      <c r="F8" t="s">
        <v>297</v>
      </c>
      <c r="H8" s="73">
        <v>43621.813888888886</v>
      </c>
      <c r="I8" t="s">
        <v>4</v>
      </c>
      <c r="J8" t="s">
        <v>680</v>
      </c>
      <c r="K8" s="73">
        <v>43525.764479166668</v>
      </c>
      <c r="L8" t="s">
        <v>16</v>
      </c>
      <c r="M8" t="s">
        <v>837</v>
      </c>
      <c r="N8" t="s">
        <v>282</v>
      </c>
      <c r="O8" t="s">
        <v>6</v>
      </c>
      <c r="P8" t="s">
        <v>30</v>
      </c>
      <c r="Q8" t="s">
        <v>24</v>
      </c>
      <c r="R8" t="s">
        <v>45</v>
      </c>
      <c r="S8" t="s">
        <v>7</v>
      </c>
      <c r="T8" t="s">
        <v>516</v>
      </c>
      <c r="U8" t="s">
        <v>7</v>
      </c>
      <c r="V8" t="s">
        <v>81</v>
      </c>
      <c r="W8" t="s">
        <v>7</v>
      </c>
      <c r="X8" t="s">
        <v>7</v>
      </c>
      <c r="Y8" t="s">
        <v>7</v>
      </c>
      <c r="Z8" t="s">
        <v>544</v>
      </c>
      <c r="AA8" t="s">
        <v>856</v>
      </c>
    </row>
    <row r="9" spans="1:28" x14ac:dyDescent="0.25">
      <c r="A9">
        <v>124523</v>
      </c>
      <c r="B9" t="s">
        <v>274</v>
      </c>
      <c r="C9" t="s">
        <v>858</v>
      </c>
      <c r="D9" t="s">
        <v>2</v>
      </c>
      <c r="E9" t="s">
        <v>690</v>
      </c>
      <c r="F9" t="s">
        <v>849</v>
      </c>
      <c r="G9" t="s">
        <v>864</v>
      </c>
      <c r="H9" s="73">
        <v>43578.235729166663</v>
      </c>
      <c r="I9" t="s">
        <v>20</v>
      </c>
      <c r="J9" t="s">
        <v>854</v>
      </c>
      <c r="K9" s="73">
        <v>43529.665972222225</v>
      </c>
      <c r="L9" t="s">
        <v>312</v>
      </c>
      <c r="M9" t="s">
        <v>837</v>
      </c>
      <c r="N9" t="s">
        <v>837</v>
      </c>
      <c r="O9" t="s">
        <v>17</v>
      </c>
      <c r="P9" t="s">
        <v>30</v>
      </c>
      <c r="Q9" t="s">
        <v>13</v>
      </c>
      <c r="R9" t="s">
        <v>239</v>
      </c>
      <c r="S9" t="s">
        <v>7</v>
      </c>
      <c r="T9" t="s">
        <v>88</v>
      </c>
      <c r="U9" t="s">
        <v>7</v>
      </c>
      <c r="V9" t="s">
        <v>81</v>
      </c>
      <c r="W9" t="s">
        <v>7</v>
      </c>
      <c r="X9" t="s">
        <v>7</v>
      </c>
      <c r="Y9" t="s">
        <v>7</v>
      </c>
      <c r="Z9" t="s">
        <v>7</v>
      </c>
    </row>
    <row r="10" spans="1:28" x14ac:dyDescent="0.25">
      <c r="A10">
        <v>124672</v>
      </c>
      <c r="B10" t="s">
        <v>273</v>
      </c>
      <c r="C10" t="s">
        <v>865</v>
      </c>
      <c r="D10" t="s">
        <v>2</v>
      </c>
      <c r="E10" t="s">
        <v>690</v>
      </c>
      <c r="F10" t="s">
        <v>849</v>
      </c>
      <c r="H10" s="73">
        <v>43571.48233796296</v>
      </c>
      <c r="I10" t="s">
        <v>20</v>
      </c>
      <c r="J10" t="s">
        <v>854</v>
      </c>
      <c r="K10" s="73">
        <v>43536.552361111113</v>
      </c>
      <c r="L10" t="s">
        <v>312</v>
      </c>
      <c r="M10" t="s">
        <v>837</v>
      </c>
      <c r="N10" t="s">
        <v>282</v>
      </c>
      <c r="O10" t="s">
        <v>17</v>
      </c>
      <c r="P10" t="s">
        <v>30</v>
      </c>
      <c r="Q10" t="s">
        <v>13</v>
      </c>
      <c r="R10" t="s">
        <v>19</v>
      </c>
      <c r="S10" t="s">
        <v>7</v>
      </c>
      <c r="T10" t="s">
        <v>88</v>
      </c>
      <c r="U10" t="s">
        <v>7</v>
      </c>
      <c r="V10" t="s">
        <v>81</v>
      </c>
      <c r="W10" t="s">
        <v>7</v>
      </c>
      <c r="X10" t="s">
        <v>7</v>
      </c>
      <c r="Y10" t="s">
        <v>7</v>
      </c>
      <c r="Z10" t="s">
        <v>7</v>
      </c>
    </row>
    <row r="11" spans="1:28" x14ac:dyDescent="0.25">
      <c r="A11" s="72">
        <v>124820</v>
      </c>
      <c r="B11" s="72" t="s">
        <v>274</v>
      </c>
      <c r="C11" s="72" t="s">
        <v>866</v>
      </c>
      <c r="D11" s="72" t="s">
        <v>11</v>
      </c>
      <c r="E11" s="72" t="s">
        <v>690</v>
      </c>
      <c r="F11" s="72" t="s">
        <v>538</v>
      </c>
      <c r="G11" s="72"/>
      <c r="H11" s="73">
        <v>43607.908368055556</v>
      </c>
      <c r="I11" s="72" t="s">
        <v>4</v>
      </c>
      <c r="J11" s="72" t="s">
        <v>680</v>
      </c>
      <c r="K11" s="73">
        <v>43542.77679398148</v>
      </c>
      <c r="L11" s="72" t="s">
        <v>16</v>
      </c>
      <c r="M11" s="72" t="s">
        <v>837</v>
      </c>
      <c r="N11" s="72" t="s">
        <v>867</v>
      </c>
      <c r="O11" s="72" t="s">
        <v>12</v>
      </c>
      <c r="P11" s="72" t="s">
        <v>30</v>
      </c>
      <c r="Q11" s="72" t="s">
        <v>13</v>
      </c>
      <c r="R11" s="72" t="s">
        <v>19</v>
      </c>
      <c r="S11" s="72" t="s">
        <v>7</v>
      </c>
      <c r="T11" s="72" t="s">
        <v>88</v>
      </c>
      <c r="U11" s="72" t="s">
        <v>7</v>
      </c>
      <c r="V11" s="72" t="s">
        <v>81</v>
      </c>
      <c r="W11" s="72" t="s">
        <v>7</v>
      </c>
      <c r="X11" s="72" t="s">
        <v>7</v>
      </c>
      <c r="Y11" s="72" t="s">
        <v>7</v>
      </c>
      <c r="Z11" s="72" t="s">
        <v>7</v>
      </c>
      <c r="AA11" s="72" t="s">
        <v>868</v>
      </c>
      <c r="AB11" s="72"/>
    </row>
    <row r="12" spans="1:28" x14ac:dyDescent="0.25">
      <c r="A12" s="72">
        <v>125229</v>
      </c>
      <c r="B12" s="72" t="s">
        <v>286</v>
      </c>
      <c r="C12" s="72" t="s">
        <v>869</v>
      </c>
      <c r="D12" s="72" t="s">
        <v>11</v>
      </c>
      <c r="E12" s="72" t="s">
        <v>690</v>
      </c>
      <c r="F12" s="72" t="s">
        <v>862</v>
      </c>
      <c r="G12" s="72"/>
      <c r="H12" s="73">
        <v>43574.106898148151</v>
      </c>
      <c r="I12" s="72" t="s">
        <v>20</v>
      </c>
      <c r="J12" s="72" t="s">
        <v>845</v>
      </c>
      <c r="K12" s="73">
        <v>43553.43509259259</v>
      </c>
      <c r="L12" s="72" t="s">
        <v>16</v>
      </c>
      <c r="M12" s="72" t="s">
        <v>837</v>
      </c>
      <c r="N12" s="72" t="s">
        <v>282</v>
      </c>
      <c r="O12" s="72" t="s">
        <v>17</v>
      </c>
      <c r="P12" s="72" t="s">
        <v>30</v>
      </c>
      <c r="Q12" s="72" t="s">
        <v>13</v>
      </c>
      <c r="R12" s="72" t="s">
        <v>19</v>
      </c>
      <c r="S12" s="72" t="s">
        <v>7</v>
      </c>
      <c r="T12" s="72" t="s">
        <v>88</v>
      </c>
      <c r="U12" s="72" t="s">
        <v>7</v>
      </c>
      <c r="V12" s="72" t="s">
        <v>81</v>
      </c>
      <c r="W12" s="72" t="s">
        <v>7</v>
      </c>
      <c r="X12" s="72" t="s">
        <v>7</v>
      </c>
      <c r="Y12" s="72" t="s">
        <v>7</v>
      </c>
      <c r="Z12" s="72" t="s">
        <v>7</v>
      </c>
      <c r="AA12" s="72" t="s">
        <v>870</v>
      </c>
      <c r="AB12" s="72"/>
    </row>
    <row r="13" spans="1:28" x14ac:dyDescent="0.25">
      <c r="A13" s="72">
        <v>125258</v>
      </c>
      <c r="B13" s="72" t="s">
        <v>671</v>
      </c>
      <c r="C13" s="72" t="s">
        <v>871</v>
      </c>
      <c r="D13" s="72" t="s">
        <v>11</v>
      </c>
      <c r="E13" s="72" t="s">
        <v>690</v>
      </c>
      <c r="F13" s="72" t="s">
        <v>872</v>
      </c>
      <c r="G13" s="72"/>
      <c r="H13" s="73">
        <v>43620.547523148147</v>
      </c>
      <c r="I13" s="72" t="s">
        <v>4</v>
      </c>
      <c r="J13" s="72" t="s">
        <v>690</v>
      </c>
      <c r="K13" s="73">
        <v>43556.445740740739</v>
      </c>
      <c r="L13" s="72" t="s">
        <v>22</v>
      </c>
      <c r="M13" s="72" t="s">
        <v>837</v>
      </c>
      <c r="N13" s="72" t="s">
        <v>282</v>
      </c>
      <c r="O13" s="72" t="s">
        <v>12</v>
      </c>
      <c r="P13" s="72" t="s">
        <v>30</v>
      </c>
      <c r="Q13" s="72" t="s">
        <v>8</v>
      </c>
      <c r="R13" s="72" t="s">
        <v>526</v>
      </c>
      <c r="S13" s="72" t="s">
        <v>7</v>
      </c>
      <c r="T13" s="72" t="s">
        <v>88</v>
      </c>
      <c r="U13" s="72" t="s">
        <v>7</v>
      </c>
      <c r="V13" s="72" t="s">
        <v>81</v>
      </c>
      <c r="W13" s="72" t="s">
        <v>887</v>
      </c>
      <c r="X13" s="72" t="s">
        <v>7</v>
      </c>
      <c r="Y13" s="72" t="s">
        <v>7</v>
      </c>
      <c r="Z13" s="72" t="s">
        <v>7</v>
      </c>
      <c r="AA13" s="72"/>
      <c r="AB13" s="72"/>
    </row>
    <row r="14" spans="1:28" x14ac:dyDescent="0.25">
      <c r="A14" s="72">
        <v>125325</v>
      </c>
      <c r="B14" s="72" t="s">
        <v>571</v>
      </c>
      <c r="C14" s="72" t="s">
        <v>873</v>
      </c>
      <c r="D14" s="72" t="s">
        <v>11</v>
      </c>
      <c r="E14" s="72" t="s">
        <v>690</v>
      </c>
      <c r="F14" s="72" t="s">
        <v>852</v>
      </c>
      <c r="G14" s="72"/>
      <c r="H14" s="73">
        <v>43578.48646990741</v>
      </c>
      <c r="I14" s="72" t="s">
        <v>4</v>
      </c>
      <c r="J14" s="72" t="s">
        <v>690</v>
      </c>
      <c r="K14" s="73">
        <v>43558.617442129631</v>
      </c>
      <c r="L14" s="72" t="s">
        <v>83</v>
      </c>
      <c r="M14" s="72" t="s">
        <v>837</v>
      </c>
      <c r="N14" s="72" t="s">
        <v>837</v>
      </c>
      <c r="O14" s="72" t="s">
        <v>17</v>
      </c>
      <c r="P14" s="72" t="s">
        <v>30</v>
      </c>
      <c r="Q14" s="72" t="s">
        <v>13</v>
      </c>
      <c r="R14" s="72" t="s">
        <v>239</v>
      </c>
      <c r="S14" s="72" t="s">
        <v>7</v>
      </c>
      <c r="T14" s="72" t="s">
        <v>88</v>
      </c>
      <c r="U14" s="72" t="s">
        <v>7</v>
      </c>
      <c r="V14" s="72" t="s">
        <v>81</v>
      </c>
      <c r="W14" s="72" t="s">
        <v>7</v>
      </c>
      <c r="X14" s="72" t="s">
        <v>7</v>
      </c>
      <c r="Y14" s="72" t="s">
        <v>7</v>
      </c>
      <c r="Z14" s="72" t="s">
        <v>7</v>
      </c>
      <c r="AA14" s="72"/>
      <c r="AB14" s="72"/>
    </row>
    <row r="15" spans="1:28" x14ac:dyDescent="0.25">
      <c r="A15" s="72">
        <v>125497</v>
      </c>
      <c r="B15" s="72" t="s">
        <v>660</v>
      </c>
      <c r="C15" s="72" t="s">
        <v>875</v>
      </c>
      <c r="D15" s="72" t="s">
        <v>2</v>
      </c>
      <c r="E15" s="72" t="s">
        <v>690</v>
      </c>
      <c r="F15" s="72" t="s">
        <v>297</v>
      </c>
      <c r="G15" s="72"/>
      <c r="H15" s="73">
        <v>43578.236967592595</v>
      </c>
      <c r="I15" s="72" t="s">
        <v>20</v>
      </c>
      <c r="J15" s="72" t="s">
        <v>845</v>
      </c>
      <c r="K15" s="73">
        <v>43564.851875</v>
      </c>
      <c r="L15" s="72" t="s">
        <v>16</v>
      </c>
      <c r="M15" s="72" t="s">
        <v>837</v>
      </c>
      <c r="N15" s="72" t="s">
        <v>282</v>
      </c>
      <c r="O15" s="72" t="s">
        <v>6</v>
      </c>
      <c r="P15" s="72" t="s">
        <v>30</v>
      </c>
      <c r="Q15" s="72" t="s">
        <v>8</v>
      </c>
      <c r="R15" s="72" t="s">
        <v>37</v>
      </c>
      <c r="S15" s="72" t="s">
        <v>7</v>
      </c>
      <c r="T15" s="72" t="s">
        <v>516</v>
      </c>
      <c r="U15" s="72" t="s">
        <v>7</v>
      </c>
      <c r="V15" s="72" t="s">
        <v>81</v>
      </c>
      <c r="W15" s="72" t="s">
        <v>7</v>
      </c>
      <c r="X15" s="72" t="s">
        <v>7</v>
      </c>
      <c r="Y15" s="72" t="s">
        <v>7</v>
      </c>
      <c r="Z15" s="72" t="s">
        <v>544</v>
      </c>
      <c r="AA15" s="72" t="s">
        <v>876</v>
      </c>
      <c r="AB15" s="72"/>
    </row>
    <row r="16" spans="1:28" x14ac:dyDescent="0.25">
      <c r="A16" s="72">
        <v>125762</v>
      </c>
      <c r="B16" s="72" t="s">
        <v>286</v>
      </c>
      <c r="C16" s="72" t="s">
        <v>877</v>
      </c>
      <c r="D16" s="72" t="s">
        <v>11</v>
      </c>
      <c r="E16" s="72" t="s">
        <v>690</v>
      </c>
      <c r="F16" s="72" t="s">
        <v>862</v>
      </c>
      <c r="G16" s="72"/>
      <c r="H16" s="73">
        <v>43605.085023148145</v>
      </c>
      <c r="I16" s="72" t="s">
        <v>20</v>
      </c>
      <c r="J16" s="72" t="s">
        <v>845</v>
      </c>
      <c r="K16" s="73">
        <v>43576.20076388889</v>
      </c>
      <c r="L16" s="72" t="s">
        <v>16</v>
      </c>
      <c r="M16" s="72" t="s">
        <v>837</v>
      </c>
      <c r="N16" s="72" t="s">
        <v>282</v>
      </c>
      <c r="O16" s="72" t="s">
        <v>17</v>
      </c>
      <c r="P16" s="72" t="s">
        <v>30</v>
      </c>
      <c r="Q16" s="72" t="s">
        <v>13</v>
      </c>
      <c r="R16" s="72" t="s">
        <v>19</v>
      </c>
      <c r="S16" s="72" t="s">
        <v>7</v>
      </c>
      <c r="T16" s="72" t="s">
        <v>88</v>
      </c>
      <c r="U16" s="72" t="s">
        <v>7</v>
      </c>
      <c r="V16" s="72" t="s">
        <v>81</v>
      </c>
      <c r="W16" s="72" t="s">
        <v>7</v>
      </c>
      <c r="X16" s="72" t="s">
        <v>7</v>
      </c>
      <c r="Y16" s="72" t="s">
        <v>7</v>
      </c>
      <c r="Z16" s="72" t="s">
        <v>7</v>
      </c>
      <c r="AA16" s="72" t="s">
        <v>878</v>
      </c>
      <c r="AB16" s="72"/>
    </row>
    <row r="17" spans="1:28" x14ac:dyDescent="0.25">
      <c r="A17" s="72">
        <v>125875</v>
      </c>
      <c r="B17" s="72" t="s">
        <v>305</v>
      </c>
      <c r="C17" s="72" t="s">
        <v>880</v>
      </c>
      <c r="D17" s="72" t="s">
        <v>11</v>
      </c>
      <c r="E17" s="72" t="s">
        <v>690</v>
      </c>
      <c r="F17" s="72" t="s">
        <v>259</v>
      </c>
      <c r="G17" s="72"/>
      <c r="H17" s="73">
        <v>43614.552465277775</v>
      </c>
      <c r="I17" s="72" t="s">
        <v>20</v>
      </c>
      <c r="J17" s="72" t="s">
        <v>881</v>
      </c>
      <c r="K17" s="73">
        <v>43580.788194444445</v>
      </c>
      <c r="L17" s="72" t="s">
        <v>115</v>
      </c>
      <c r="M17" s="72" t="s">
        <v>837</v>
      </c>
      <c r="N17" s="72" t="s">
        <v>308</v>
      </c>
      <c r="O17" s="72" t="s">
        <v>17</v>
      </c>
      <c r="P17" s="72" t="s">
        <v>30</v>
      </c>
      <c r="Q17" s="72" t="s">
        <v>24</v>
      </c>
      <c r="R17" s="72" t="s">
        <v>46</v>
      </c>
      <c r="S17" s="72" t="s">
        <v>7</v>
      </c>
      <c r="T17" s="72" t="s">
        <v>516</v>
      </c>
      <c r="U17" s="72" t="s">
        <v>7</v>
      </c>
      <c r="V17" s="72" t="s">
        <v>81</v>
      </c>
      <c r="W17" s="72" t="s">
        <v>887</v>
      </c>
      <c r="X17" s="72" t="s">
        <v>7</v>
      </c>
      <c r="Y17" s="72" t="s">
        <v>7</v>
      </c>
      <c r="Z17" s="72" t="s">
        <v>7</v>
      </c>
      <c r="AA17" s="72"/>
      <c r="AB17" s="72"/>
    </row>
    <row r="18" spans="1:28" x14ac:dyDescent="0.25">
      <c r="A18" s="72">
        <v>125971</v>
      </c>
      <c r="B18" s="72" t="s">
        <v>671</v>
      </c>
      <c r="C18" s="72" t="s">
        <v>882</v>
      </c>
      <c r="D18" s="72" t="s">
        <v>11</v>
      </c>
      <c r="E18" s="72" t="s">
        <v>690</v>
      </c>
      <c r="F18" s="72" t="s">
        <v>671</v>
      </c>
      <c r="G18" s="72"/>
      <c r="H18" s="73">
        <v>43585.602835648147</v>
      </c>
      <c r="I18" s="72" t="s">
        <v>20</v>
      </c>
      <c r="J18" s="72" t="s">
        <v>883</v>
      </c>
      <c r="K18" s="73">
        <v>43585.591400462959</v>
      </c>
      <c r="L18" s="72" t="s">
        <v>83</v>
      </c>
      <c r="M18" s="72" t="s">
        <v>837</v>
      </c>
      <c r="N18" s="72" t="s">
        <v>837</v>
      </c>
      <c r="O18" s="72" t="s">
        <v>522</v>
      </c>
      <c r="P18" s="72" t="s">
        <v>30</v>
      </c>
      <c r="Q18" s="72" t="s">
        <v>8</v>
      </c>
      <c r="R18" s="72" t="s">
        <v>37</v>
      </c>
      <c r="S18" s="72" t="s">
        <v>7</v>
      </c>
      <c r="T18" s="72" t="s">
        <v>516</v>
      </c>
      <c r="U18" s="72" t="s">
        <v>7</v>
      </c>
      <c r="V18" s="72" t="s">
        <v>81</v>
      </c>
      <c r="W18" s="72" t="s">
        <v>7</v>
      </c>
      <c r="X18" s="72" t="s">
        <v>7</v>
      </c>
      <c r="Y18" s="72" t="s">
        <v>7</v>
      </c>
      <c r="Z18" s="72" t="s">
        <v>7</v>
      </c>
      <c r="AA18" s="72"/>
      <c r="AB18" s="72"/>
    </row>
    <row r="19" spans="1:28" x14ac:dyDescent="0.25">
      <c r="A19" s="72">
        <v>126473</v>
      </c>
      <c r="B19" s="72" t="s">
        <v>298</v>
      </c>
      <c r="C19" s="72" t="s">
        <v>884</v>
      </c>
      <c r="D19" s="72" t="s">
        <v>11</v>
      </c>
      <c r="E19" s="72" t="s">
        <v>690</v>
      </c>
      <c r="F19" s="72" t="s">
        <v>297</v>
      </c>
      <c r="G19" s="72"/>
      <c r="H19" s="73">
        <v>43620.546817129631</v>
      </c>
      <c r="I19" s="72" t="s">
        <v>4</v>
      </c>
      <c r="J19" s="72" t="s">
        <v>690</v>
      </c>
      <c r="K19" s="73">
        <v>43605.566250000003</v>
      </c>
      <c r="L19" s="72" t="s">
        <v>115</v>
      </c>
      <c r="M19" s="72" t="s">
        <v>837</v>
      </c>
      <c r="N19" s="72" t="s">
        <v>358</v>
      </c>
      <c r="O19" s="72" t="s">
        <v>17</v>
      </c>
      <c r="P19" s="72" t="s">
        <v>30</v>
      </c>
      <c r="Q19" s="72" t="s">
        <v>8</v>
      </c>
      <c r="R19" s="72" t="s">
        <v>37</v>
      </c>
      <c r="S19" s="72" t="s">
        <v>7</v>
      </c>
      <c r="T19" s="72" t="s">
        <v>88</v>
      </c>
      <c r="U19" s="72" t="s">
        <v>7</v>
      </c>
      <c r="V19" s="72" t="s">
        <v>81</v>
      </c>
      <c r="W19" s="72" t="s">
        <v>886</v>
      </c>
      <c r="X19" s="72" t="s">
        <v>7</v>
      </c>
      <c r="Y19" s="72" t="s">
        <v>7</v>
      </c>
      <c r="Z19" s="72" t="s">
        <v>7</v>
      </c>
      <c r="AA19" s="72"/>
      <c r="AB19" s="72"/>
    </row>
    <row r="20" spans="1:28" x14ac:dyDescent="0.25">
      <c r="A20" s="72">
        <v>126669</v>
      </c>
      <c r="B20" s="72" t="s">
        <v>286</v>
      </c>
      <c r="C20" s="72" t="s">
        <v>885</v>
      </c>
      <c r="D20" s="72" t="s">
        <v>11</v>
      </c>
      <c r="E20" s="72" t="s">
        <v>690</v>
      </c>
      <c r="F20" s="72" t="s">
        <v>852</v>
      </c>
      <c r="G20" s="72"/>
      <c r="H20" s="73">
        <v>43623.838530092595</v>
      </c>
      <c r="I20" s="72" t="s">
        <v>4</v>
      </c>
      <c r="J20" s="72" t="s">
        <v>883</v>
      </c>
      <c r="K20" s="73">
        <v>43613.627685185187</v>
      </c>
      <c r="L20" s="72" t="s">
        <v>83</v>
      </c>
      <c r="M20" s="72" t="s">
        <v>837</v>
      </c>
      <c r="N20" s="72" t="s">
        <v>837</v>
      </c>
      <c r="O20" s="72" t="s">
        <v>17</v>
      </c>
      <c r="P20" s="72" t="s">
        <v>30</v>
      </c>
      <c r="Q20" s="72" t="s">
        <v>13</v>
      </c>
      <c r="R20" s="72" t="s">
        <v>19</v>
      </c>
      <c r="S20" s="72" t="s">
        <v>7</v>
      </c>
      <c r="T20" s="72" t="s">
        <v>88</v>
      </c>
      <c r="U20" s="72" t="s">
        <v>7</v>
      </c>
      <c r="V20" s="72" t="s">
        <v>81</v>
      </c>
      <c r="W20" s="72" t="s">
        <v>7</v>
      </c>
      <c r="X20" s="72" t="s">
        <v>7</v>
      </c>
      <c r="Y20" s="72" t="s">
        <v>7</v>
      </c>
      <c r="Z20" s="72" t="s">
        <v>7</v>
      </c>
      <c r="AA20" s="72"/>
      <c r="AB20" s="72"/>
    </row>
    <row r="21" spans="1:28" x14ac:dyDescent="0.25">
      <c r="A21" s="72">
        <v>126675</v>
      </c>
      <c r="B21" s="72" t="s">
        <v>890</v>
      </c>
      <c r="C21" s="72" t="s">
        <v>888</v>
      </c>
      <c r="D21" s="72" t="s">
        <v>11</v>
      </c>
      <c r="E21" s="72" t="s">
        <v>690</v>
      </c>
      <c r="F21" s="72" t="s">
        <v>274</v>
      </c>
      <c r="G21" s="72"/>
      <c r="H21" s="73">
        <v>43622.316747685189</v>
      </c>
      <c r="I21" s="72" t="s">
        <v>4</v>
      </c>
      <c r="J21" s="72" t="s">
        <v>690</v>
      </c>
      <c r="K21" s="73">
        <v>43613.95175925926</v>
      </c>
      <c r="L21" s="72" t="s">
        <v>113</v>
      </c>
      <c r="M21" s="72" t="s">
        <v>837</v>
      </c>
      <c r="N21" s="72" t="s">
        <v>837</v>
      </c>
      <c r="O21" s="72" t="s">
        <v>17</v>
      </c>
      <c r="P21" s="72" t="s">
        <v>30</v>
      </c>
      <c r="Q21" s="72" t="s">
        <v>13</v>
      </c>
      <c r="R21" s="72" t="s">
        <v>19</v>
      </c>
      <c r="S21" s="72" t="s">
        <v>7</v>
      </c>
      <c r="T21" s="72" t="s">
        <v>516</v>
      </c>
      <c r="U21" s="72" t="s">
        <v>7</v>
      </c>
      <c r="V21" s="72" t="s">
        <v>81</v>
      </c>
      <c r="W21" s="72" t="s">
        <v>7</v>
      </c>
      <c r="X21" s="72" t="s">
        <v>7</v>
      </c>
      <c r="Y21" s="72" t="s">
        <v>7</v>
      </c>
      <c r="Z21" s="72" t="s">
        <v>7</v>
      </c>
      <c r="AA21" s="72"/>
      <c r="AB21" s="72"/>
    </row>
    <row r="22" spans="1:28" x14ac:dyDescent="0.25">
      <c r="A22" s="72">
        <v>126769</v>
      </c>
      <c r="B22" s="72" t="s">
        <v>286</v>
      </c>
      <c r="C22" s="72" t="s">
        <v>891</v>
      </c>
      <c r="D22" s="72" t="s">
        <v>2</v>
      </c>
      <c r="E22" s="72" t="s">
        <v>690</v>
      </c>
      <c r="F22" s="72" t="s">
        <v>287</v>
      </c>
      <c r="G22" s="72" t="s">
        <v>892</v>
      </c>
      <c r="H22" s="73">
        <v>43624.010034722225</v>
      </c>
      <c r="I22" s="72" t="s">
        <v>20</v>
      </c>
      <c r="J22" s="72" t="s">
        <v>883</v>
      </c>
      <c r="K22" s="73">
        <v>43616.925243055557</v>
      </c>
      <c r="L22" s="72" t="s">
        <v>29</v>
      </c>
      <c r="M22" s="72" t="s">
        <v>837</v>
      </c>
      <c r="N22" s="72" t="s">
        <v>358</v>
      </c>
      <c r="O22" s="72" t="s">
        <v>17</v>
      </c>
      <c r="P22" s="72" t="s">
        <v>30</v>
      </c>
      <c r="Q22" s="72" t="s">
        <v>13</v>
      </c>
      <c r="R22" s="72" t="s">
        <v>19</v>
      </c>
      <c r="S22" s="72" t="s">
        <v>7</v>
      </c>
      <c r="T22" s="72" t="s">
        <v>88</v>
      </c>
      <c r="U22" s="72" t="s">
        <v>7</v>
      </c>
      <c r="V22" s="72" t="s">
        <v>81</v>
      </c>
      <c r="W22" s="72" t="s">
        <v>7</v>
      </c>
      <c r="X22" s="72" t="s">
        <v>7</v>
      </c>
      <c r="Y22" s="72" t="s">
        <v>7</v>
      </c>
      <c r="Z22" s="72" t="s">
        <v>7</v>
      </c>
      <c r="AA22" s="72"/>
      <c r="AB22" s="7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2"/>
  <sheetViews>
    <sheetView workbookViewId="0">
      <selection activeCell="C13" sqref="C13"/>
    </sheetView>
  </sheetViews>
  <sheetFormatPr defaultRowHeight="15" x14ac:dyDescent="0.25"/>
  <cols>
    <col min="1" max="1" width="8.140625" bestFit="1" customWidth="1"/>
    <col min="2" max="2" width="12.7109375" bestFit="1" customWidth="1"/>
    <col min="3" max="3" width="11.28515625" bestFit="1" customWidth="1"/>
    <col min="4" max="4" width="10" bestFit="1" customWidth="1"/>
    <col min="5" max="5" width="17" bestFit="1" customWidth="1"/>
    <col min="6" max="6" width="9.42578125" bestFit="1" customWidth="1"/>
    <col min="7" max="7" width="13.28515625" bestFit="1" customWidth="1"/>
    <col min="8" max="8" width="17.140625" bestFit="1" customWidth="1"/>
    <col min="9" max="9" width="8.42578125" bestFit="1" customWidth="1"/>
    <col min="10" max="10" width="9.5703125" bestFit="1" customWidth="1"/>
    <col min="11" max="11" width="14.42578125" bestFit="1" customWidth="1"/>
    <col min="12" max="12" width="12.42578125" bestFit="1" customWidth="1"/>
    <col min="13" max="13" width="14.7109375" bestFit="1" customWidth="1"/>
    <col min="14" max="14" width="11.42578125" customWidth="1"/>
    <col min="15" max="15" width="14.140625" bestFit="1" customWidth="1"/>
    <col min="16" max="16" width="14.5703125" bestFit="1" customWidth="1"/>
    <col min="17" max="17" width="9.85546875" bestFit="1" customWidth="1"/>
    <col min="18" max="18" width="13.28515625" bestFit="1" customWidth="1"/>
    <col min="19" max="19" width="22" bestFit="1" customWidth="1"/>
    <col min="20" max="20" width="9.28515625" bestFit="1" customWidth="1"/>
    <col min="21" max="21" width="15.5703125" bestFit="1" customWidth="1"/>
    <col min="22" max="22" width="11.85546875" bestFit="1" customWidth="1"/>
    <col min="23" max="23" width="14.5703125" bestFit="1" customWidth="1"/>
    <col min="24" max="24" width="7.85546875" bestFit="1" customWidth="1"/>
    <col min="25" max="25" width="11.7109375" bestFit="1" customWidth="1"/>
    <col min="26" max="26" width="9" bestFit="1" customWidth="1"/>
    <col min="27" max="28" width="17.7109375" bestFit="1" customWidth="1"/>
  </cols>
  <sheetData>
    <row r="1" spans="1:28" x14ac:dyDescent="0.25">
      <c r="A1" t="s">
        <v>818</v>
      </c>
      <c r="B1" t="s">
        <v>819</v>
      </c>
      <c r="C1" t="s">
        <v>57</v>
      </c>
      <c r="D1" t="s">
        <v>58</v>
      </c>
      <c r="E1" t="s">
        <v>820</v>
      </c>
      <c r="F1" t="s">
        <v>821</v>
      </c>
      <c r="G1" t="s">
        <v>61</v>
      </c>
      <c r="H1" t="s">
        <v>822</v>
      </c>
      <c r="I1" t="s">
        <v>63</v>
      </c>
      <c r="J1" t="s">
        <v>64</v>
      </c>
      <c r="K1" t="s">
        <v>823</v>
      </c>
      <c r="L1" t="s">
        <v>824</v>
      </c>
      <c r="M1" t="s">
        <v>825</v>
      </c>
      <c r="N1" t="s">
        <v>68</v>
      </c>
      <c r="O1" t="s">
        <v>826</v>
      </c>
      <c r="P1" t="s">
        <v>827</v>
      </c>
      <c r="Q1" t="s">
        <v>71</v>
      </c>
      <c r="R1" t="s">
        <v>72</v>
      </c>
      <c r="S1" t="s">
        <v>828</v>
      </c>
      <c r="T1" t="s">
        <v>75</v>
      </c>
      <c r="U1" t="s">
        <v>829</v>
      </c>
      <c r="V1" t="s">
        <v>830</v>
      </c>
      <c r="W1" t="s">
        <v>831</v>
      </c>
      <c r="X1" t="s">
        <v>832</v>
      </c>
      <c r="Y1" t="s">
        <v>833</v>
      </c>
      <c r="Z1" t="s">
        <v>834</v>
      </c>
      <c r="AA1" t="s">
        <v>835</v>
      </c>
      <c r="AB1" t="s">
        <v>836</v>
      </c>
    </row>
    <row r="2" spans="1:28" x14ac:dyDescent="0.25">
      <c r="A2" s="72"/>
      <c r="B2" s="72"/>
      <c r="C2" s="72"/>
      <c r="D2" s="72"/>
      <c r="E2" s="72"/>
      <c r="F2" s="72"/>
      <c r="G2" s="72"/>
      <c r="H2" s="73"/>
      <c r="I2" s="72"/>
      <c r="J2" s="72"/>
      <c r="K2" s="73"/>
      <c r="L2" s="72"/>
      <c r="M2" s="72"/>
      <c r="N2" s="72"/>
      <c r="O2" s="72"/>
      <c r="P2" s="72"/>
      <c r="Q2" s="72"/>
      <c r="R2" s="72"/>
      <c r="S2" s="72"/>
      <c r="T2" s="72"/>
      <c r="U2" s="72"/>
      <c r="V2" s="72"/>
      <c r="W2" s="72"/>
      <c r="X2" s="72"/>
      <c r="Y2" s="72"/>
      <c r="Z2" s="72"/>
      <c r="AA2" s="72"/>
      <c r="AB2" s="7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40"/>
  <sheetViews>
    <sheetView workbookViewId="0">
      <selection activeCell="C13" sqref="C13"/>
    </sheetView>
  </sheetViews>
  <sheetFormatPr defaultRowHeight="15" x14ac:dyDescent="0.25"/>
  <cols>
    <col min="2" max="2" width="43.140625" bestFit="1" customWidth="1"/>
    <col min="3" max="3" width="128" customWidth="1"/>
  </cols>
  <sheetData>
    <row r="1" spans="2:3" x14ac:dyDescent="0.25">
      <c r="C1" s="48" t="s">
        <v>617</v>
      </c>
    </row>
    <row r="2" spans="2:3" x14ac:dyDescent="0.25">
      <c r="B2" s="45" t="s">
        <v>548</v>
      </c>
      <c r="C2" s="48" t="s">
        <v>618</v>
      </c>
    </row>
    <row r="3" spans="2:3" ht="120" x14ac:dyDescent="0.25">
      <c r="B3" s="45" t="s">
        <v>563</v>
      </c>
      <c r="C3" s="18" t="s">
        <v>624</v>
      </c>
    </row>
    <row r="4" spans="2:3" ht="63" x14ac:dyDescent="0.25">
      <c r="B4" s="46" t="s">
        <v>547</v>
      </c>
      <c r="C4" s="62" t="s">
        <v>619</v>
      </c>
    </row>
    <row r="5" spans="2:3" x14ac:dyDescent="0.25">
      <c r="B5" s="46" t="s">
        <v>588</v>
      </c>
      <c r="C5" s="55"/>
    </row>
    <row r="6" spans="2:3" ht="21" x14ac:dyDescent="0.25">
      <c r="B6" s="46"/>
      <c r="C6" s="56"/>
    </row>
    <row r="7" spans="2:3" x14ac:dyDescent="0.25">
      <c r="B7" s="46"/>
      <c r="C7" s="55"/>
    </row>
    <row r="8" spans="2:3" ht="21" x14ac:dyDescent="0.25">
      <c r="B8" s="46" t="s">
        <v>589</v>
      </c>
      <c r="C8" s="56"/>
    </row>
    <row r="9" spans="2:3" x14ac:dyDescent="0.25">
      <c r="B9" s="47" t="s">
        <v>590</v>
      </c>
    </row>
    <row r="10" spans="2:3" x14ac:dyDescent="0.25">
      <c r="B10" s="46"/>
    </row>
    <row r="11" spans="2:3" x14ac:dyDescent="0.25">
      <c r="B11" s="46" t="s">
        <v>591</v>
      </c>
    </row>
    <row r="13" spans="2:3" x14ac:dyDescent="0.25">
      <c r="B13" s="33" t="s">
        <v>564</v>
      </c>
    </row>
    <row r="14" spans="2:3" x14ac:dyDescent="0.25">
      <c r="B14" s="34" t="s">
        <v>565</v>
      </c>
    </row>
    <row r="15" spans="2:3" x14ac:dyDescent="0.25">
      <c r="B15" s="35" t="s">
        <v>566</v>
      </c>
    </row>
    <row r="16" spans="2:3" x14ac:dyDescent="0.25">
      <c r="B16" s="36" t="s">
        <v>567</v>
      </c>
    </row>
    <row r="17" spans="1:3" x14ac:dyDescent="0.25">
      <c r="B17" s="37" t="s">
        <v>568</v>
      </c>
    </row>
    <row r="18" spans="1:3" x14ac:dyDescent="0.25">
      <c r="B18" s="23" t="s">
        <v>569</v>
      </c>
    </row>
    <row r="19" spans="1:3" x14ac:dyDescent="0.25">
      <c r="B19" t="s">
        <v>570</v>
      </c>
    </row>
    <row r="20" spans="1:3" x14ac:dyDescent="0.25">
      <c r="A20" s="32" t="s">
        <v>137</v>
      </c>
      <c r="B20" s="32" t="s">
        <v>56</v>
      </c>
      <c r="C20" s="32" t="s">
        <v>57</v>
      </c>
    </row>
    <row r="21" spans="1:3" x14ac:dyDescent="0.25">
      <c r="A21" s="29">
        <v>75649</v>
      </c>
      <c r="B21" s="32" t="s">
        <v>514</v>
      </c>
      <c r="C21" s="33" t="s">
        <v>539</v>
      </c>
    </row>
    <row r="22" spans="1:3" x14ac:dyDescent="0.25">
      <c r="A22" s="29">
        <v>76599</v>
      </c>
      <c r="B22" s="32" t="s">
        <v>344</v>
      </c>
      <c r="C22" s="26" t="s">
        <v>359</v>
      </c>
    </row>
    <row r="23" spans="1:3" x14ac:dyDescent="0.25">
      <c r="A23" s="29">
        <v>78171</v>
      </c>
      <c r="B23" s="32" t="s">
        <v>506</v>
      </c>
      <c r="C23" s="26" t="s">
        <v>511</v>
      </c>
    </row>
    <row r="24" spans="1:3" x14ac:dyDescent="0.25">
      <c r="A24" s="29">
        <v>78319</v>
      </c>
      <c r="B24" s="32" t="s">
        <v>365</v>
      </c>
      <c r="C24" s="36" t="s">
        <v>549</v>
      </c>
    </row>
    <row r="25" spans="1:3" x14ac:dyDescent="0.25">
      <c r="A25" s="29">
        <v>81961</v>
      </c>
      <c r="B25" s="32" t="s">
        <v>274</v>
      </c>
      <c r="C25" s="35" t="s">
        <v>542</v>
      </c>
    </row>
    <row r="26" spans="1:3" x14ac:dyDescent="0.25">
      <c r="A26" s="29">
        <v>82177</v>
      </c>
      <c r="B26" s="32" t="s">
        <v>274</v>
      </c>
      <c r="C26" s="35" t="s">
        <v>545</v>
      </c>
    </row>
    <row r="27" spans="1:3" x14ac:dyDescent="0.25">
      <c r="A27" s="29">
        <v>82372</v>
      </c>
      <c r="B27" s="32" t="s">
        <v>344</v>
      </c>
      <c r="C27" s="32" t="s">
        <v>546</v>
      </c>
    </row>
    <row r="28" spans="1:3" x14ac:dyDescent="0.25">
      <c r="A28" s="29">
        <v>82978</v>
      </c>
      <c r="B28" s="32" t="s">
        <v>298</v>
      </c>
      <c r="C28" s="32" t="s">
        <v>550</v>
      </c>
    </row>
    <row r="29" spans="1:3" x14ac:dyDescent="0.25">
      <c r="A29" s="29">
        <v>83111</v>
      </c>
      <c r="B29" s="32" t="s">
        <v>301</v>
      </c>
      <c r="C29" s="35" t="s">
        <v>551</v>
      </c>
    </row>
    <row r="30" spans="1:3" x14ac:dyDescent="0.25">
      <c r="A30" s="29">
        <v>83169</v>
      </c>
      <c r="B30" s="32" t="s">
        <v>272</v>
      </c>
      <c r="C30" s="32" t="s">
        <v>552</v>
      </c>
    </row>
    <row r="31" spans="1:3" x14ac:dyDescent="0.25">
      <c r="A31" s="29">
        <v>83335</v>
      </c>
      <c r="B31" s="32" t="s">
        <v>515</v>
      </c>
      <c r="C31" s="33" t="s">
        <v>553</v>
      </c>
    </row>
    <row r="32" spans="1:3" x14ac:dyDescent="0.25">
      <c r="A32" s="29">
        <v>83440</v>
      </c>
      <c r="B32" s="32" t="s">
        <v>273</v>
      </c>
      <c r="C32" s="23" t="s">
        <v>554</v>
      </c>
    </row>
    <row r="33" spans="1:3" x14ac:dyDescent="0.25">
      <c r="A33" s="29">
        <v>83535</v>
      </c>
      <c r="B33" s="32" t="s">
        <v>279</v>
      </c>
      <c r="C33" s="35" t="s">
        <v>558</v>
      </c>
    </row>
    <row r="34" spans="1:3" x14ac:dyDescent="0.25">
      <c r="A34" s="29">
        <v>83635</v>
      </c>
      <c r="B34" s="32" t="s">
        <v>305</v>
      </c>
      <c r="C34" s="37" t="s">
        <v>555</v>
      </c>
    </row>
    <row r="35" spans="1:3" x14ac:dyDescent="0.25">
      <c r="A35" s="29">
        <v>83644</v>
      </c>
      <c r="B35" s="32" t="s">
        <v>274</v>
      </c>
      <c r="C35" s="32" t="s">
        <v>556</v>
      </c>
    </row>
    <row r="36" spans="1:3" x14ac:dyDescent="0.25">
      <c r="A36" s="29">
        <v>83701</v>
      </c>
      <c r="B36" s="32" t="s">
        <v>514</v>
      </c>
      <c r="C36" s="37" t="s">
        <v>557</v>
      </c>
    </row>
    <row r="37" spans="1:3" x14ac:dyDescent="0.25">
      <c r="A37" s="29">
        <v>83822</v>
      </c>
      <c r="B37" s="32" t="s">
        <v>278</v>
      </c>
      <c r="C37" s="33" t="s">
        <v>559</v>
      </c>
    </row>
    <row r="38" spans="1:3" x14ac:dyDescent="0.25">
      <c r="A38" s="29">
        <v>83971</v>
      </c>
      <c r="B38" s="32" t="s">
        <v>512</v>
      </c>
      <c r="C38" s="34" t="s">
        <v>560</v>
      </c>
    </row>
    <row r="39" spans="1:3" x14ac:dyDescent="0.25">
      <c r="A39" s="29">
        <v>84065</v>
      </c>
      <c r="B39" s="32" t="s">
        <v>301</v>
      </c>
      <c r="C39" s="32" t="s">
        <v>561</v>
      </c>
    </row>
    <row r="40" spans="1:3" x14ac:dyDescent="0.25">
      <c r="A40" s="29">
        <v>84068</v>
      </c>
      <c r="B40" s="32" t="s">
        <v>304</v>
      </c>
      <c r="C40" s="33" t="s">
        <v>562</v>
      </c>
    </row>
  </sheetData>
  <conditionalFormatting sqref="A21:A40">
    <cfRule type="expression" dxfId="13" priority="1">
      <formula>IF(FIND("Denied",T21),1,0)</formula>
    </cfRule>
    <cfRule type="expression" dxfId="12" priority="2">
      <formula>IF(FIND("Director",T21,11),1,0)</formula>
    </cfRule>
    <cfRule type="expression" dxfId="11" priority="3">
      <formula>IF(FIND("Approve",T21),1,0)</formula>
    </cfRule>
    <cfRule type="expression" dxfId="10" priority="4">
      <formula>IF(FIND("Request",T21),1,0)</formula>
    </cfRule>
    <cfRule type="expression" dxfId="9" priority="5">
      <formula>IF(FIND("Requested",AC21),1,0)</formula>
    </cfRule>
    <cfRule type="expression" dxfId="8" priority="6">
      <formula>IF(T21="---",IF(X21="---",1,0),0)</formula>
    </cfRule>
  </conditionalFormatting>
  <hyperlinks>
    <hyperlink ref="C1" location="Sumry" display="Sumry"/>
    <hyperlink ref="C2" location="TwoWk" display="TwoWk"/>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288"/>
  <sheetViews>
    <sheetView zoomScale="88" zoomScaleNormal="88" workbookViewId="0">
      <pane ySplit="1" topLeftCell="A237" activePane="bottomLeft" state="frozen"/>
      <selection activeCell="C13" sqref="C13"/>
      <selection pane="bottomLeft" activeCell="C13" sqref="C13"/>
    </sheetView>
  </sheetViews>
  <sheetFormatPr defaultRowHeight="15" x14ac:dyDescent="0.25"/>
  <cols>
    <col min="1" max="1" width="8.5703125" bestFit="1" customWidth="1"/>
    <col min="2" max="2" width="20.42578125" customWidth="1"/>
    <col min="3" max="3" width="132.5703125" customWidth="1"/>
    <col min="4" max="4" width="7.42578125" bestFit="1" customWidth="1"/>
    <col min="5" max="5" width="14.85546875" bestFit="1" customWidth="1"/>
    <col min="6" max="6" width="31.28515625" bestFit="1" customWidth="1"/>
    <col min="7" max="7" width="43.7109375" bestFit="1" customWidth="1"/>
    <col min="8" max="8" width="14.7109375" bestFit="1" customWidth="1"/>
    <col min="9" max="9" width="9.5703125" bestFit="1" customWidth="1"/>
    <col min="10" max="10" width="25.42578125" bestFit="1" customWidth="1"/>
    <col min="11" max="11" width="15.7109375" bestFit="1" customWidth="1"/>
    <col min="12" max="12" width="29.7109375" bestFit="1" customWidth="1"/>
    <col min="13" max="13" width="11" bestFit="1" customWidth="1"/>
    <col min="14" max="14" width="15.7109375" bestFit="1" customWidth="1"/>
    <col min="15" max="15" width="16.85546875" bestFit="1" customWidth="1"/>
    <col min="16" max="16" width="10.7109375" bestFit="1" customWidth="1"/>
    <col min="17" max="17" width="14.7109375" bestFit="1" customWidth="1"/>
    <col min="18" max="18" width="22.5703125" bestFit="1" customWidth="1"/>
    <col min="19" max="19" width="9.5703125" bestFit="1" customWidth="1"/>
    <col min="20" max="20" width="18.28515625" bestFit="1" customWidth="1"/>
    <col min="21" max="21" width="10.28515625" bestFit="1" customWidth="1"/>
    <col min="22" max="22" width="21.42578125" bestFit="1" customWidth="1"/>
    <col min="23" max="23" width="12.7109375" bestFit="1" customWidth="1"/>
    <col min="24" max="24" width="15.85546875" bestFit="1" customWidth="1"/>
    <col min="25" max="25" width="11.28515625" bestFit="1" customWidth="1"/>
    <col min="26" max="26" width="11.42578125" bestFit="1" customWidth="1"/>
    <col min="27" max="27" width="30.5703125" bestFit="1" customWidth="1"/>
    <col min="28" max="28" width="23.28515625" bestFit="1" customWidth="1"/>
    <col min="29" max="29" width="8.7109375" bestFit="1" customWidth="1"/>
    <col min="30" max="30" width="7.5703125" bestFit="1" customWidth="1"/>
    <col min="31" max="31" width="15" bestFit="1" customWidth="1"/>
    <col min="32" max="32" width="6" bestFit="1" customWidth="1"/>
  </cols>
  <sheetData>
    <row r="1" spans="1:33" x14ac:dyDescent="0.25">
      <c r="A1" s="72" t="s">
        <v>137</v>
      </c>
      <c r="B1" s="72"/>
      <c r="C1" s="72" t="s">
        <v>56</v>
      </c>
      <c r="D1" s="72" t="s">
        <v>57</v>
      </c>
      <c r="E1" s="72" t="s">
        <v>58</v>
      </c>
      <c r="F1" s="72" t="s">
        <v>59</v>
      </c>
      <c r="G1" s="72" t="s">
        <v>60</v>
      </c>
      <c r="H1" s="72" t="s">
        <v>61</v>
      </c>
      <c r="I1" s="72" t="s">
        <v>62</v>
      </c>
      <c r="J1" s="72" t="s">
        <v>63</v>
      </c>
      <c r="K1" s="72" t="s">
        <v>142</v>
      </c>
      <c r="L1" s="72" t="s">
        <v>64</v>
      </c>
      <c r="M1" s="72" t="s">
        <v>65</v>
      </c>
      <c r="N1" s="72" t="s">
        <v>66</v>
      </c>
      <c r="O1" s="72" t="s">
        <v>68</v>
      </c>
      <c r="P1" s="72" t="s">
        <v>69</v>
      </c>
      <c r="Q1" s="72" t="s">
        <v>71</v>
      </c>
      <c r="R1" s="72" t="s">
        <v>72</v>
      </c>
      <c r="S1" s="72" t="s">
        <v>74</v>
      </c>
      <c r="T1" s="72" t="s">
        <v>75</v>
      </c>
      <c r="U1" s="72" t="s">
        <v>669</v>
      </c>
      <c r="V1" s="72" t="s">
        <v>77</v>
      </c>
      <c r="W1" s="72" t="s">
        <v>78</v>
      </c>
      <c r="X1" s="72" t="s">
        <v>309</v>
      </c>
      <c r="Y1" s="72" t="s">
        <v>310</v>
      </c>
      <c r="Z1" s="72" t="s">
        <v>543</v>
      </c>
      <c r="AA1" s="72" t="s">
        <v>300</v>
      </c>
      <c r="AB1" s="72" t="s">
        <v>620</v>
      </c>
      <c r="AC1" s="72" t="s">
        <v>698</v>
      </c>
      <c r="AD1" s="72" t="s">
        <v>73</v>
      </c>
      <c r="AE1" s="70" t="s">
        <v>543</v>
      </c>
      <c r="AF1" s="70" t="s">
        <v>300</v>
      </c>
      <c r="AG1" s="70"/>
    </row>
    <row r="2" spans="1:33" x14ac:dyDescent="0.25">
      <c r="A2" s="72">
        <v>52716</v>
      </c>
      <c r="B2" s="72" t="s">
        <v>277</v>
      </c>
      <c r="C2" s="72" t="s">
        <v>315</v>
      </c>
      <c r="D2" s="72" t="s">
        <v>699</v>
      </c>
      <c r="E2" s="72" t="s">
        <v>11</v>
      </c>
      <c r="F2" s="72" t="s">
        <v>156</v>
      </c>
      <c r="G2" s="72" t="s">
        <v>364</v>
      </c>
      <c r="H2" s="72"/>
      <c r="I2" s="73">
        <v>42998.567476851851</v>
      </c>
      <c r="J2" s="72" t="s">
        <v>578</v>
      </c>
      <c r="K2" s="72" t="s">
        <v>573</v>
      </c>
      <c r="L2" s="72" t="s">
        <v>281</v>
      </c>
      <c r="M2" s="73">
        <v>41948.592557870368</v>
      </c>
      <c r="N2" s="72" t="s">
        <v>16</v>
      </c>
      <c r="O2" s="72"/>
      <c r="P2" s="72" t="s">
        <v>17</v>
      </c>
      <c r="Q2" s="72" t="s">
        <v>13</v>
      </c>
      <c r="R2" s="72" t="s">
        <v>19</v>
      </c>
      <c r="S2" s="72" t="s">
        <v>638</v>
      </c>
      <c r="T2" s="72" t="s">
        <v>10</v>
      </c>
      <c r="U2" s="72"/>
      <c r="V2" s="72" t="s">
        <v>81</v>
      </c>
      <c r="W2" s="72" t="s">
        <v>638</v>
      </c>
      <c r="X2" s="72" t="s">
        <v>638</v>
      </c>
      <c r="Y2" s="72" t="s">
        <v>638</v>
      </c>
      <c r="Z2" s="72" t="s">
        <v>638</v>
      </c>
      <c r="AA2" s="72"/>
      <c r="AB2" s="72"/>
      <c r="AC2" s="72"/>
      <c r="AD2" s="72"/>
      <c r="AE2" s="70" t="s">
        <v>7</v>
      </c>
      <c r="AF2" s="70"/>
      <c r="AG2" s="70"/>
    </row>
    <row r="3" spans="1:33" x14ac:dyDescent="0.25">
      <c r="A3" s="72">
        <v>78858</v>
      </c>
      <c r="B3" s="72" t="s">
        <v>277</v>
      </c>
      <c r="C3" s="72" t="s">
        <v>304</v>
      </c>
      <c r="D3" s="72" t="s">
        <v>700</v>
      </c>
      <c r="E3" s="72" t="s">
        <v>11</v>
      </c>
      <c r="F3" s="72" t="s">
        <v>156</v>
      </c>
      <c r="G3" s="72" t="s">
        <v>701</v>
      </c>
      <c r="H3" s="72"/>
      <c r="I3" s="73">
        <v>42993.222743055558</v>
      </c>
      <c r="J3" s="72" t="s">
        <v>578</v>
      </c>
      <c r="K3" s="72" t="s">
        <v>573</v>
      </c>
      <c r="L3" s="72" t="s">
        <v>702</v>
      </c>
      <c r="M3" s="73">
        <v>42444.483148148145</v>
      </c>
      <c r="N3" s="72" t="s">
        <v>16</v>
      </c>
      <c r="O3" s="72"/>
      <c r="P3" s="72" t="s">
        <v>17</v>
      </c>
      <c r="Q3" s="72" t="s">
        <v>13</v>
      </c>
      <c r="R3" s="72" t="s">
        <v>19</v>
      </c>
      <c r="S3" s="72" t="s">
        <v>638</v>
      </c>
      <c r="T3" s="72" t="s">
        <v>10</v>
      </c>
      <c r="U3" s="72"/>
      <c r="V3" s="72" t="s">
        <v>81</v>
      </c>
      <c r="W3" s="72" t="s">
        <v>638</v>
      </c>
      <c r="X3" s="72" t="s">
        <v>638</v>
      </c>
      <c r="Y3" s="72" t="s">
        <v>638</v>
      </c>
      <c r="Z3" s="72" t="s">
        <v>638</v>
      </c>
      <c r="AA3" s="72">
        <v>10532</v>
      </c>
      <c r="AB3" s="72"/>
      <c r="AC3" s="72"/>
      <c r="AD3" s="72"/>
      <c r="AE3" s="70" t="s">
        <v>7</v>
      </c>
      <c r="AF3" s="70"/>
      <c r="AG3" s="70"/>
    </row>
    <row r="4" spans="1:33" x14ac:dyDescent="0.25">
      <c r="A4" s="72">
        <v>78881</v>
      </c>
      <c r="B4" s="72" t="s">
        <v>277</v>
      </c>
      <c r="C4" s="72" t="s">
        <v>514</v>
      </c>
      <c r="D4" s="72" t="s">
        <v>748</v>
      </c>
      <c r="E4" s="72" t="s">
        <v>11</v>
      </c>
      <c r="F4" s="72" t="s">
        <v>749</v>
      </c>
      <c r="G4" s="72" t="s">
        <v>285</v>
      </c>
      <c r="H4" s="72"/>
      <c r="I4" s="73">
        <v>42993.219537037039</v>
      </c>
      <c r="J4" s="72" t="s">
        <v>578</v>
      </c>
      <c r="K4" s="72" t="s">
        <v>577</v>
      </c>
      <c r="L4" s="72" t="s">
        <v>702</v>
      </c>
      <c r="M4" s="73">
        <v>42445.001585648148</v>
      </c>
      <c r="N4" s="72" t="s">
        <v>16</v>
      </c>
      <c r="O4" s="72"/>
      <c r="P4" s="72" t="s">
        <v>17</v>
      </c>
      <c r="Q4" s="72" t="s">
        <v>13</v>
      </c>
      <c r="R4" s="72" t="s">
        <v>19</v>
      </c>
      <c r="S4" s="72" t="s">
        <v>638</v>
      </c>
      <c r="T4" s="72" t="s">
        <v>10</v>
      </c>
      <c r="U4" s="72"/>
      <c r="V4" s="72" t="s">
        <v>81</v>
      </c>
      <c r="W4" s="72" t="s">
        <v>638</v>
      </c>
      <c r="X4" s="72" t="s">
        <v>638</v>
      </c>
      <c r="Y4" s="72" t="s">
        <v>659</v>
      </c>
      <c r="Z4" s="72" t="s">
        <v>638</v>
      </c>
      <c r="AA4" s="72">
        <v>10532</v>
      </c>
      <c r="AB4" s="72"/>
      <c r="AC4" s="72"/>
      <c r="AD4" s="72"/>
      <c r="AE4" s="70" t="s">
        <v>7</v>
      </c>
      <c r="AF4" s="70"/>
      <c r="AG4" s="70"/>
    </row>
    <row r="5" spans="1:33" x14ac:dyDescent="0.25">
      <c r="A5" s="72">
        <v>85575</v>
      </c>
      <c r="B5" s="72" t="s">
        <v>277</v>
      </c>
      <c r="C5" s="72" t="s">
        <v>305</v>
      </c>
      <c r="D5" s="72" t="s">
        <v>703</v>
      </c>
      <c r="E5" s="72" t="s">
        <v>11</v>
      </c>
      <c r="F5" s="72" t="s">
        <v>641</v>
      </c>
      <c r="G5" s="72" t="s">
        <v>632</v>
      </c>
      <c r="H5" s="72"/>
      <c r="I5" s="73">
        <v>42999.863738425927</v>
      </c>
      <c r="J5" s="72" t="s">
        <v>574</v>
      </c>
      <c r="K5" s="72" t="s">
        <v>573</v>
      </c>
      <c r="L5" s="72" t="s">
        <v>641</v>
      </c>
      <c r="M5" s="73">
        <v>42554.785439814812</v>
      </c>
      <c r="N5" s="72" t="s">
        <v>39</v>
      </c>
      <c r="O5" s="72" t="s">
        <v>282</v>
      </c>
      <c r="P5" s="72" t="s">
        <v>6</v>
      </c>
      <c r="Q5" s="72" t="s">
        <v>13</v>
      </c>
      <c r="R5" s="72" t="s">
        <v>195</v>
      </c>
      <c r="S5" s="72" t="s">
        <v>638</v>
      </c>
      <c r="T5" s="72" t="s">
        <v>10</v>
      </c>
      <c r="U5" s="72"/>
      <c r="V5" s="72" t="s">
        <v>112</v>
      </c>
      <c r="W5" s="72" t="s">
        <v>677</v>
      </c>
      <c r="X5" s="72" t="s">
        <v>188</v>
      </c>
      <c r="Y5" s="72" t="s">
        <v>638</v>
      </c>
      <c r="Z5" s="72" t="s">
        <v>638</v>
      </c>
      <c r="AA5" s="72"/>
      <c r="AB5" s="72"/>
      <c r="AC5" s="72"/>
      <c r="AD5" s="72"/>
      <c r="AE5" s="70" t="s">
        <v>7</v>
      </c>
      <c r="AF5" s="70"/>
      <c r="AG5" s="70"/>
    </row>
    <row r="6" spans="1:33" x14ac:dyDescent="0.25">
      <c r="A6" s="72">
        <v>85600</v>
      </c>
      <c r="B6" s="72" t="s">
        <v>277</v>
      </c>
      <c r="C6" s="72" t="s">
        <v>285</v>
      </c>
      <c r="D6" s="72" t="s">
        <v>750</v>
      </c>
      <c r="E6" s="72" t="s">
        <v>11</v>
      </c>
      <c r="F6" s="72" t="s">
        <v>751</v>
      </c>
      <c r="G6" s="72" t="s">
        <v>537</v>
      </c>
      <c r="H6" s="72"/>
      <c r="I6" s="73">
        <v>42998.561006944445</v>
      </c>
      <c r="J6" s="72" t="s">
        <v>578</v>
      </c>
      <c r="K6" s="72" t="s">
        <v>577</v>
      </c>
      <c r="L6" s="72" t="s">
        <v>299</v>
      </c>
      <c r="M6" s="73">
        <v>42555.055763888886</v>
      </c>
      <c r="N6" s="72" t="s">
        <v>83</v>
      </c>
      <c r="O6" s="72"/>
      <c r="P6" s="72" t="s">
        <v>6</v>
      </c>
      <c r="Q6" s="72" t="s">
        <v>13</v>
      </c>
      <c r="R6" s="72" t="s">
        <v>19</v>
      </c>
      <c r="S6" s="72" t="s">
        <v>638</v>
      </c>
      <c r="T6" s="72" t="s">
        <v>10</v>
      </c>
      <c r="U6" s="72"/>
      <c r="V6" s="72" t="s">
        <v>112</v>
      </c>
      <c r="W6" s="72" t="s">
        <v>638</v>
      </c>
      <c r="X6" s="72" t="s">
        <v>638</v>
      </c>
      <c r="Y6" s="72" t="s">
        <v>638</v>
      </c>
      <c r="Z6" s="72" t="s">
        <v>638</v>
      </c>
      <c r="AA6" s="72"/>
      <c r="AB6" s="72"/>
      <c r="AC6" s="72"/>
      <c r="AD6" s="72"/>
      <c r="AE6" s="70" t="s">
        <v>7</v>
      </c>
      <c r="AF6" s="70"/>
      <c r="AG6" s="70"/>
    </row>
    <row r="7" spans="1:33" x14ac:dyDescent="0.25">
      <c r="A7" s="72">
        <v>85602</v>
      </c>
      <c r="B7" s="72" t="s">
        <v>277</v>
      </c>
      <c r="C7" s="72" t="s">
        <v>285</v>
      </c>
      <c r="D7" s="72" t="s">
        <v>752</v>
      </c>
      <c r="E7" s="72" t="s">
        <v>11</v>
      </c>
      <c r="F7" s="72" t="s">
        <v>751</v>
      </c>
      <c r="G7" s="72" t="s">
        <v>537</v>
      </c>
      <c r="H7" s="72"/>
      <c r="I7" s="73">
        <v>42998.559699074074</v>
      </c>
      <c r="J7" s="72" t="s">
        <v>578</v>
      </c>
      <c r="K7" s="72" t="s">
        <v>577</v>
      </c>
      <c r="L7" s="72" t="s">
        <v>47</v>
      </c>
      <c r="M7" s="73">
        <v>42555.059363425928</v>
      </c>
      <c r="N7" s="72" t="s">
        <v>313</v>
      </c>
      <c r="O7" s="72"/>
      <c r="P7" s="72" t="s">
        <v>6</v>
      </c>
      <c r="Q7" s="72" t="s">
        <v>13</v>
      </c>
      <c r="R7" s="72" t="s">
        <v>19</v>
      </c>
      <c r="S7" s="72" t="s">
        <v>638</v>
      </c>
      <c r="T7" s="72" t="s">
        <v>10</v>
      </c>
      <c r="U7" s="72"/>
      <c r="V7" s="72" t="s">
        <v>112</v>
      </c>
      <c r="W7" s="72" t="s">
        <v>638</v>
      </c>
      <c r="X7" s="72" t="s">
        <v>638</v>
      </c>
      <c r="Y7" s="72" t="s">
        <v>638</v>
      </c>
      <c r="Z7" s="72" t="s">
        <v>638</v>
      </c>
      <c r="AA7" s="72"/>
      <c r="AB7" s="72"/>
      <c r="AC7" s="72"/>
      <c r="AD7" s="72"/>
      <c r="AE7" s="70" t="s">
        <v>7</v>
      </c>
      <c r="AF7" s="70"/>
      <c r="AG7" s="70"/>
    </row>
    <row r="8" spans="1:33" x14ac:dyDescent="0.25">
      <c r="A8" s="72">
        <v>85641</v>
      </c>
      <c r="B8" s="72" t="s">
        <v>277</v>
      </c>
      <c r="C8" s="72" t="s">
        <v>285</v>
      </c>
      <c r="D8" s="72" t="s">
        <v>753</v>
      </c>
      <c r="E8" s="72" t="s">
        <v>11</v>
      </c>
      <c r="F8" s="72" t="s">
        <v>751</v>
      </c>
      <c r="G8" s="72" t="s">
        <v>537</v>
      </c>
      <c r="H8" s="72"/>
      <c r="I8" s="73">
        <v>42998.569143518522</v>
      </c>
      <c r="J8" s="72" t="s">
        <v>578</v>
      </c>
      <c r="K8" s="72" t="s">
        <v>577</v>
      </c>
      <c r="L8" s="72" t="s">
        <v>3</v>
      </c>
      <c r="M8" s="73">
        <v>42555.209039351852</v>
      </c>
      <c r="N8" s="72" t="s">
        <v>5</v>
      </c>
      <c r="O8" s="72"/>
      <c r="P8" s="72" t="s">
        <v>6</v>
      </c>
      <c r="Q8" s="72" t="s">
        <v>13</v>
      </c>
      <c r="R8" s="72" t="s">
        <v>35</v>
      </c>
      <c r="S8" s="72" t="s">
        <v>638</v>
      </c>
      <c r="T8" s="72" t="s">
        <v>10</v>
      </c>
      <c r="U8" s="72"/>
      <c r="V8" s="72" t="s">
        <v>112</v>
      </c>
      <c r="W8" s="72" t="s">
        <v>638</v>
      </c>
      <c r="X8" s="72" t="s">
        <v>638</v>
      </c>
      <c r="Y8" s="72" t="s">
        <v>638</v>
      </c>
      <c r="Z8" s="72" t="s">
        <v>638</v>
      </c>
      <c r="AA8" s="72"/>
      <c r="AB8" s="72" t="s">
        <v>754</v>
      </c>
      <c r="AC8" s="72"/>
      <c r="AD8" s="72"/>
      <c r="AE8" s="70" t="s">
        <v>7</v>
      </c>
      <c r="AF8" s="70">
        <v>9871</v>
      </c>
      <c r="AG8" s="70"/>
    </row>
    <row r="9" spans="1:33" x14ac:dyDescent="0.25">
      <c r="A9" s="72">
        <v>85644</v>
      </c>
      <c r="B9" s="72" t="s">
        <v>277</v>
      </c>
      <c r="C9" s="72" t="s">
        <v>285</v>
      </c>
      <c r="D9" s="72" t="s">
        <v>755</v>
      </c>
      <c r="E9" s="72" t="s">
        <v>11</v>
      </c>
      <c r="F9" s="72" t="s">
        <v>751</v>
      </c>
      <c r="G9" s="72" t="s">
        <v>537</v>
      </c>
      <c r="H9" s="72"/>
      <c r="I9" s="73">
        <v>42998.566284722219</v>
      </c>
      <c r="J9" s="72" t="s">
        <v>578</v>
      </c>
      <c r="K9" s="72" t="s">
        <v>577</v>
      </c>
      <c r="L9" s="72" t="s">
        <v>3</v>
      </c>
      <c r="M9" s="73">
        <v>42555.212222222224</v>
      </c>
      <c r="N9" s="72" t="s">
        <v>5</v>
      </c>
      <c r="O9" s="72"/>
      <c r="P9" s="72" t="s">
        <v>6</v>
      </c>
      <c r="Q9" s="72" t="s">
        <v>13</v>
      </c>
      <c r="R9" s="72" t="s">
        <v>19</v>
      </c>
      <c r="S9" s="72" t="s">
        <v>638</v>
      </c>
      <c r="T9" s="72" t="s">
        <v>10</v>
      </c>
      <c r="U9" s="72"/>
      <c r="V9" s="72" t="s">
        <v>112</v>
      </c>
      <c r="W9" s="72" t="s">
        <v>638</v>
      </c>
      <c r="X9" s="72" t="s">
        <v>638</v>
      </c>
      <c r="Y9" s="72" t="s">
        <v>638</v>
      </c>
      <c r="Z9" s="72" t="s">
        <v>638</v>
      </c>
      <c r="AA9" s="72"/>
      <c r="AB9" s="72"/>
      <c r="AC9" s="72"/>
      <c r="AD9" s="72"/>
      <c r="AE9" s="70" t="s">
        <v>7</v>
      </c>
      <c r="AF9" s="70">
        <v>9871</v>
      </c>
      <c r="AG9" s="70"/>
    </row>
    <row r="10" spans="1:33" x14ac:dyDescent="0.25">
      <c r="A10" s="72">
        <v>85759</v>
      </c>
      <c r="B10" s="72" t="s">
        <v>277</v>
      </c>
      <c r="C10" s="72" t="s">
        <v>656</v>
      </c>
      <c r="D10" s="72" t="s">
        <v>756</v>
      </c>
      <c r="E10" s="72" t="s">
        <v>11</v>
      </c>
      <c r="F10" s="72" t="s">
        <v>156</v>
      </c>
      <c r="G10" s="72" t="s">
        <v>621</v>
      </c>
      <c r="H10" s="72"/>
      <c r="I10" s="73">
        <v>42998.518796296295</v>
      </c>
      <c r="J10" s="72" t="s">
        <v>578</v>
      </c>
      <c r="K10" s="72" t="s">
        <v>575</v>
      </c>
      <c r="L10" s="72" t="s">
        <v>299</v>
      </c>
      <c r="M10" s="73">
        <v>42558.059050925927</v>
      </c>
      <c r="N10" s="72" t="s">
        <v>5</v>
      </c>
      <c r="O10" s="72"/>
      <c r="P10" s="72" t="s">
        <v>12</v>
      </c>
      <c r="Q10" s="72" t="s">
        <v>13</v>
      </c>
      <c r="R10" s="72" t="s">
        <v>302</v>
      </c>
      <c r="S10" s="72" t="s">
        <v>638</v>
      </c>
      <c r="T10" s="72" t="s">
        <v>10</v>
      </c>
      <c r="U10" s="72"/>
      <c r="V10" s="72" t="s">
        <v>81</v>
      </c>
      <c r="W10" s="72" t="s">
        <v>638</v>
      </c>
      <c r="X10" s="72" t="s">
        <v>638</v>
      </c>
      <c r="Y10" s="72" t="s">
        <v>638</v>
      </c>
      <c r="Z10" s="72" t="s">
        <v>638</v>
      </c>
      <c r="AA10" s="72"/>
      <c r="AB10" s="72"/>
      <c r="AC10" s="72"/>
      <c r="AD10" s="72"/>
      <c r="AE10" s="70" t="s">
        <v>7</v>
      </c>
      <c r="AF10" s="70"/>
      <c r="AG10" s="70"/>
    </row>
    <row r="11" spans="1:33" x14ac:dyDescent="0.25">
      <c r="A11" s="72">
        <v>88344</v>
      </c>
      <c r="B11" s="72" t="s">
        <v>277</v>
      </c>
      <c r="C11" s="72" t="s">
        <v>287</v>
      </c>
      <c r="D11" s="72" t="s">
        <v>757</v>
      </c>
      <c r="E11" s="72" t="s">
        <v>11</v>
      </c>
      <c r="F11" s="72" t="s">
        <v>751</v>
      </c>
      <c r="G11" s="72" t="s">
        <v>80</v>
      </c>
      <c r="H11" s="72"/>
      <c r="I11" s="73">
        <v>42998.561921296299</v>
      </c>
      <c r="J11" s="72" t="s">
        <v>578</v>
      </c>
      <c r="K11" s="72" t="s">
        <v>577</v>
      </c>
      <c r="L11" s="72" t="s">
        <v>299</v>
      </c>
      <c r="M11" s="73">
        <v>42612.53361111111</v>
      </c>
      <c r="N11" s="72" t="s">
        <v>115</v>
      </c>
      <c r="O11" s="72"/>
      <c r="P11" s="72" t="s">
        <v>6</v>
      </c>
      <c r="Q11" s="72" t="s">
        <v>13</v>
      </c>
      <c r="R11" s="72" t="s">
        <v>302</v>
      </c>
      <c r="S11" s="72" t="s">
        <v>638</v>
      </c>
      <c r="T11" s="72" t="s">
        <v>10</v>
      </c>
      <c r="U11" s="72"/>
      <c r="V11" s="72" t="s">
        <v>112</v>
      </c>
      <c r="W11" s="72" t="s">
        <v>638</v>
      </c>
      <c r="X11" s="72" t="s">
        <v>638</v>
      </c>
      <c r="Y11" s="72" t="s">
        <v>638</v>
      </c>
      <c r="Z11" s="72" t="s">
        <v>638</v>
      </c>
      <c r="AA11" s="72"/>
      <c r="AB11" s="72"/>
      <c r="AC11" s="72"/>
      <c r="AD11" s="72"/>
      <c r="AE11" s="70" t="s">
        <v>7</v>
      </c>
      <c r="AF11" s="70"/>
      <c r="AG11" s="70"/>
    </row>
    <row r="12" spans="1:33" x14ac:dyDescent="0.25">
      <c r="A12" s="72">
        <v>88346</v>
      </c>
      <c r="B12" s="72" t="s">
        <v>277</v>
      </c>
      <c r="C12" s="72" t="s">
        <v>285</v>
      </c>
      <c r="D12" s="72" t="s">
        <v>758</v>
      </c>
      <c r="E12" s="72" t="s">
        <v>11</v>
      </c>
      <c r="F12" s="72" t="s">
        <v>751</v>
      </c>
      <c r="G12" s="72" t="s">
        <v>80</v>
      </c>
      <c r="H12" s="72"/>
      <c r="I12" s="73">
        <v>42998.563368055555</v>
      </c>
      <c r="J12" s="72" t="s">
        <v>578</v>
      </c>
      <c r="K12" s="72" t="s">
        <v>577</v>
      </c>
      <c r="L12" s="72" t="s">
        <v>47</v>
      </c>
      <c r="M12" s="73">
        <v>42612.543703703705</v>
      </c>
      <c r="N12" s="72" t="s">
        <v>5</v>
      </c>
      <c r="O12" s="72"/>
      <c r="P12" s="72" t="s">
        <v>6</v>
      </c>
      <c r="Q12" s="72" t="s">
        <v>13</v>
      </c>
      <c r="R12" s="72" t="s">
        <v>19</v>
      </c>
      <c r="S12" s="72" t="s">
        <v>638</v>
      </c>
      <c r="T12" s="72" t="s">
        <v>10</v>
      </c>
      <c r="U12" s="72"/>
      <c r="V12" s="72" t="s">
        <v>112</v>
      </c>
      <c r="W12" s="72" t="s">
        <v>638</v>
      </c>
      <c r="X12" s="72" t="s">
        <v>638</v>
      </c>
      <c r="Y12" s="72" t="s">
        <v>638</v>
      </c>
      <c r="Z12" s="72" t="s">
        <v>638</v>
      </c>
      <c r="AA12" s="72"/>
      <c r="AB12" s="72"/>
      <c r="AC12" s="72"/>
      <c r="AD12" s="72"/>
      <c r="AE12" s="70" t="s">
        <v>7</v>
      </c>
      <c r="AF12" s="70"/>
      <c r="AG12" s="70"/>
    </row>
    <row r="13" spans="1:33" x14ac:dyDescent="0.25">
      <c r="A13" s="72">
        <v>90372</v>
      </c>
      <c r="B13" s="72" t="s">
        <v>277</v>
      </c>
      <c r="C13" s="72" t="s">
        <v>287</v>
      </c>
      <c r="D13" s="72" t="s">
        <v>759</v>
      </c>
      <c r="E13" s="72" t="s">
        <v>11</v>
      </c>
      <c r="F13" s="72" t="s">
        <v>751</v>
      </c>
      <c r="G13" s="72" t="s">
        <v>80</v>
      </c>
      <c r="H13" s="72"/>
      <c r="I13" s="73">
        <v>42998.565069444441</v>
      </c>
      <c r="J13" s="72" t="s">
        <v>578</v>
      </c>
      <c r="K13" s="72" t="s">
        <v>577</v>
      </c>
      <c r="L13" s="72" t="s">
        <v>299</v>
      </c>
      <c r="M13" s="73">
        <v>42654.379537037035</v>
      </c>
      <c r="N13" s="72" t="s">
        <v>114</v>
      </c>
      <c r="O13" s="72" t="s">
        <v>52</v>
      </c>
      <c r="P13" s="72" t="s">
        <v>6</v>
      </c>
      <c r="Q13" s="72" t="s">
        <v>13</v>
      </c>
      <c r="R13" s="72" t="s">
        <v>302</v>
      </c>
      <c r="S13" s="72" t="s">
        <v>638</v>
      </c>
      <c r="T13" s="72" t="s">
        <v>10</v>
      </c>
      <c r="U13" s="72"/>
      <c r="V13" s="72" t="s">
        <v>112</v>
      </c>
      <c r="W13" s="72" t="s">
        <v>638</v>
      </c>
      <c r="X13" s="72" t="s">
        <v>638</v>
      </c>
      <c r="Y13" s="72" t="s">
        <v>638</v>
      </c>
      <c r="Z13" s="72" t="s">
        <v>638</v>
      </c>
      <c r="AA13" s="72"/>
      <c r="AB13" s="72"/>
      <c r="AC13" s="72"/>
      <c r="AD13" s="72"/>
      <c r="AE13" s="70" t="s">
        <v>7</v>
      </c>
      <c r="AF13" s="70"/>
      <c r="AG13" s="70"/>
    </row>
    <row r="14" spans="1:33" x14ac:dyDescent="0.25">
      <c r="A14" s="72">
        <v>91086</v>
      </c>
      <c r="B14" s="72" t="s">
        <v>277</v>
      </c>
      <c r="C14" s="72" t="s">
        <v>665</v>
      </c>
      <c r="D14" s="72" t="s">
        <v>704</v>
      </c>
      <c r="E14" s="72" t="s">
        <v>2</v>
      </c>
      <c r="F14" s="72" t="s">
        <v>156</v>
      </c>
      <c r="G14" s="72" t="s">
        <v>362</v>
      </c>
      <c r="H14" s="72" t="s">
        <v>705</v>
      </c>
      <c r="I14" s="73">
        <v>42998.516250000001</v>
      </c>
      <c r="J14" s="72" t="s">
        <v>578</v>
      </c>
      <c r="K14" s="72" t="s">
        <v>573</v>
      </c>
      <c r="L14" s="72" t="s">
        <v>633</v>
      </c>
      <c r="M14" s="73">
        <v>42664.30978009259</v>
      </c>
      <c r="N14" s="72" t="s">
        <v>16</v>
      </c>
      <c r="O14" s="72" t="s">
        <v>496</v>
      </c>
      <c r="P14" s="72" t="s">
        <v>6</v>
      </c>
      <c r="Q14" s="72" t="s">
        <v>13</v>
      </c>
      <c r="R14" s="72" t="s">
        <v>19</v>
      </c>
      <c r="S14" s="72" t="s">
        <v>638</v>
      </c>
      <c r="T14" s="72" t="s">
        <v>88</v>
      </c>
      <c r="U14" s="72"/>
      <c r="V14" s="72" t="s">
        <v>81</v>
      </c>
      <c r="W14" s="72" t="s">
        <v>638</v>
      </c>
      <c r="X14" s="72" t="s">
        <v>638</v>
      </c>
      <c r="Y14" s="72" t="s">
        <v>638</v>
      </c>
      <c r="Z14" s="72" t="s">
        <v>544</v>
      </c>
      <c r="AA14" s="72">
        <v>12685</v>
      </c>
      <c r="AB14" s="72"/>
      <c r="AC14" s="72"/>
      <c r="AD14" s="72"/>
      <c r="AE14" s="70" t="s">
        <v>7</v>
      </c>
      <c r="AF14" s="70">
        <v>10408</v>
      </c>
      <c r="AG14" s="70"/>
    </row>
    <row r="15" spans="1:33" x14ac:dyDescent="0.25">
      <c r="A15" s="72">
        <v>93114</v>
      </c>
      <c r="B15" s="72" t="s">
        <v>277</v>
      </c>
      <c r="C15" s="72" t="s">
        <v>285</v>
      </c>
      <c r="D15" s="72" t="s">
        <v>760</v>
      </c>
      <c r="E15" s="72" t="s">
        <v>138</v>
      </c>
      <c r="F15" s="72" t="s">
        <v>751</v>
      </c>
      <c r="G15" s="72" t="s">
        <v>80</v>
      </c>
      <c r="H15" s="72"/>
      <c r="I15" s="73">
        <v>42998.556956018518</v>
      </c>
      <c r="J15" s="72" t="s">
        <v>578</v>
      </c>
      <c r="K15" s="72" t="s">
        <v>593</v>
      </c>
      <c r="L15" s="72" t="s">
        <v>509</v>
      </c>
      <c r="M15" s="73">
        <v>42704.423182870371</v>
      </c>
      <c r="N15" s="72" t="s">
        <v>39</v>
      </c>
      <c r="O15" s="72"/>
      <c r="P15" s="72" t="s">
        <v>17</v>
      </c>
      <c r="Q15" s="72" t="s">
        <v>13</v>
      </c>
      <c r="R15" s="72" t="s">
        <v>19</v>
      </c>
      <c r="S15" s="72" t="s">
        <v>638</v>
      </c>
      <c r="T15" s="72" t="s">
        <v>10</v>
      </c>
      <c r="U15" s="72"/>
      <c r="V15" s="72" t="s">
        <v>112</v>
      </c>
      <c r="W15" s="72" t="s">
        <v>638</v>
      </c>
      <c r="X15" s="72" t="s">
        <v>638</v>
      </c>
      <c r="Y15" s="72" t="s">
        <v>638</v>
      </c>
      <c r="Z15" s="72" t="s">
        <v>638</v>
      </c>
      <c r="AA15" s="72"/>
      <c r="AB15" s="72"/>
      <c r="AC15" s="72"/>
      <c r="AD15" s="72"/>
      <c r="AE15" s="70" t="s">
        <v>7</v>
      </c>
      <c r="AF15" s="70"/>
      <c r="AG15" s="70"/>
    </row>
    <row r="16" spans="1:33" x14ac:dyDescent="0.25">
      <c r="A16" s="72">
        <v>95394</v>
      </c>
      <c r="B16" s="72" t="s">
        <v>277</v>
      </c>
      <c r="C16" s="72" t="s">
        <v>515</v>
      </c>
      <c r="D16" s="72" t="s">
        <v>706</v>
      </c>
      <c r="E16" s="72" t="s">
        <v>2</v>
      </c>
      <c r="F16" s="72" t="s">
        <v>156</v>
      </c>
      <c r="G16" s="72" t="s">
        <v>362</v>
      </c>
      <c r="H16" s="72"/>
      <c r="I16" s="73">
        <v>42998.514537037037</v>
      </c>
      <c r="J16" s="72" t="s">
        <v>578</v>
      </c>
      <c r="K16" s="72" t="s">
        <v>573</v>
      </c>
      <c r="L16" s="72" t="s">
        <v>625</v>
      </c>
      <c r="M16" s="73">
        <v>42768.462939814817</v>
      </c>
      <c r="N16" s="72" t="s">
        <v>16</v>
      </c>
      <c r="O16" s="72" t="s">
        <v>282</v>
      </c>
      <c r="P16" s="72" t="s">
        <v>12</v>
      </c>
      <c r="Q16" s="72" t="s">
        <v>13</v>
      </c>
      <c r="R16" s="72" t="s">
        <v>19</v>
      </c>
      <c r="S16" s="72" t="s">
        <v>638</v>
      </c>
      <c r="T16" s="72" t="s">
        <v>26</v>
      </c>
      <c r="U16" s="72"/>
      <c r="V16" s="72" t="s">
        <v>81</v>
      </c>
      <c r="W16" s="72" t="s">
        <v>638</v>
      </c>
      <c r="X16" s="72" t="s">
        <v>638</v>
      </c>
      <c r="Y16" s="72" t="s">
        <v>638</v>
      </c>
      <c r="Z16" s="72" t="s">
        <v>638</v>
      </c>
      <c r="AA16" s="72" t="s">
        <v>707</v>
      </c>
      <c r="AB16" s="72"/>
      <c r="AC16" s="72"/>
      <c r="AD16" s="72"/>
      <c r="AE16" s="70" t="s">
        <v>7</v>
      </c>
      <c r="AF16" s="70">
        <v>10408</v>
      </c>
      <c r="AG16" s="70"/>
    </row>
    <row r="17" spans="1:33" x14ac:dyDescent="0.25">
      <c r="A17" s="72">
        <v>96968</v>
      </c>
      <c r="B17" s="72" t="s">
        <v>277</v>
      </c>
      <c r="C17" s="72" t="s">
        <v>636</v>
      </c>
      <c r="D17" s="72" t="s">
        <v>708</v>
      </c>
      <c r="E17" s="72" t="s">
        <v>138</v>
      </c>
      <c r="F17" s="72" t="s">
        <v>156</v>
      </c>
      <c r="G17" s="72" t="s">
        <v>287</v>
      </c>
      <c r="H17" s="72" t="s">
        <v>709</v>
      </c>
      <c r="I17" s="73">
        <v>42998.680578703701</v>
      </c>
      <c r="J17" s="72" t="s">
        <v>578</v>
      </c>
      <c r="K17" s="72" t="s">
        <v>573</v>
      </c>
      <c r="L17" s="72" t="s">
        <v>509</v>
      </c>
      <c r="M17" s="73">
        <v>42804.733449074076</v>
      </c>
      <c r="N17" s="72" t="s">
        <v>710</v>
      </c>
      <c r="O17" s="72"/>
      <c r="P17" s="72" t="s">
        <v>17</v>
      </c>
      <c r="Q17" s="72" t="s">
        <v>13</v>
      </c>
      <c r="R17" s="72" t="s">
        <v>19</v>
      </c>
      <c r="S17" s="72" t="s">
        <v>638</v>
      </c>
      <c r="T17" s="72" t="s">
        <v>10</v>
      </c>
      <c r="U17" s="72"/>
      <c r="V17" s="72" t="s">
        <v>112</v>
      </c>
      <c r="W17" s="72" t="s">
        <v>638</v>
      </c>
      <c r="X17" s="72" t="s">
        <v>638</v>
      </c>
      <c r="Y17" s="72" t="s">
        <v>638</v>
      </c>
      <c r="Z17" s="72" t="s">
        <v>638</v>
      </c>
      <c r="AA17" s="72"/>
      <c r="AB17" s="72"/>
      <c r="AC17" s="72"/>
      <c r="AD17" s="72"/>
      <c r="AE17" s="70" t="s">
        <v>7</v>
      </c>
      <c r="AF17" s="70"/>
      <c r="AG17" s="70"/>
    </row>
    <row r="18" spans="1:33" x14ac:dyDescent="0.25">
      <c r="A18" s="72">
        <v>97646</v>
      </c>
      <c r="B18" s="72" t="s">
        <v>277</v>
      </c>
      <c r="C18" s="72" t="s">
        <v>272</v>
      </c>
      <c r="D18" s="72" t="s">
        <v>711</v>
      </c>
      <c r="E18" s="72" t="s">
        <v>2</v>
      </c>
      <c r="F18" s="72" t="s">
        <v>641</v>
      </c>
      <c r="G18" s="72" t="s">
        <v>277</v>
      </c>
      <c r="H18" s="72"/>
      <c r="I18" s="73">
        <v>42997.708877314813</v>
      </c>
      <c r="J18" s="72" t="s">
        <v>574</v>
      </c>
      <c r="K18" s="72" t="s">
        <v>573</v>
      </c>
      <c r="L18" s="72" t="s">
        <v>299</v>
      </c>
      <c r="M18" s="73">
        <v>42823.593645833331</v>
      </c>
      <c r="N18" s="72" t="s">
        <v>306</v>
      </c>
      <c r="O18" s="72" t="s">
        <v>280</v>
      </c>
      <c r="P18" s="72" t="s">
        <v>6</v>
      </c>
      <c r="Q18" s="72" t="s">
        <v>13</v>
      </c>
      <c r="R18" s="72" t="s">
        <v>239</v>
      </c>
      <c r="S18" s="72" t="s">
        <v>638</v>
      </c>
      <c r="T18" s="72" t="s">
        <v>88</v>
      </c>
      <c r="U18" s="72"/>
      <c r="V18" s="72" t="s">
        <v>81</v>
      </c>
      <c r="W18" s="72" t="s">
        <v>712</v>
      </c>
      <c r="X18" s="72" t="s">
        <v>188</v>
      </c>
      <c r="Y18" s="72" t="s">
        <v>638</v>
      </c>
      <c r="Z18" s="72" t="s">
        <v>638</v>
      </c>
      <c r="AA18" s="72">
        <v>17360</v>
      </c>
      <c r="AB18" s="72"/>
      <c r="AC18" s="72"/>
      <c r="AD18" s="72"/>
      <c r="AE18" s="70" t="s">
        <v>7</v>
      </c>
      <c r="AF18" s="70"/>
      <c r="AG18" s="70"/>
    </row>
    <row r="19" spans="1:33" x14ac:dyDescent="0.25">
      <c r="A19" s="72">
        <v>97710</v>
      </c>
      <c r="B19" s="72" t="s">
        <v>277</v>
      </c>
      <c r="C19" s="72" t="s">
        <v>639</v>
      </c>
      <c r="D19" s="72" t="s">
        <v>713</v>
      </c>
      <c r="E19" s="72" t="s">
        <v>11</v>
      </c>
      <c r="F19" s="72" t="s">
        <v>156</v>
      </c>
      <c r="G19" s="72" t="s">
        <v>365</v>
      </c>
      <c r="H19" s="72"/>
      <c r="I19" s="73">
        <v>42998.543958333335</v>
      </c>
      <c r="J19" s="72" t="s">
        <v>578</v>
      </c>
      <c r="K19" s="72" t="s">
        <v>573</v>
      </c>
      <c r="L19" s="72" t="s">
        <v>635</v>
      </c>
      <c r="M19" s="73">
        <v>42824.676435185182</v>
      </c>
      <c r="N19" s="72" t="s">
        <v>16</v>
      </c>
      <c r="O19" s="72"/>
      <c r="P19" s="72" t="s">
        <v>12</v>
      </c>
      <c r="Q19" s="72" t="s">
        <v>13</v>
      </c>
      <c r="R19" s="72" t="s">
        <v>19</v>
      </c>
      <c r="S19" s="72" t="s">
        <v>638</v>
      </c>
      <c r="T19" s="72" t="s">
        <v>10</v>
      </c>
      <c r="U19" s="72"/>
      <c r="V19" s="72" t="s">
        <v>81</v>
      </c>
      <c r="W19" s="72" t="s">
        <v>638</v>
      </c>
      <c r="X19" s="72" t="s">
        <v>638</v>
      </c>
      <c r="Y19" s="72" t="s">
        <v>638</v>
      </c>
      <c r="Z19" s="72" t="s">
        <v>638</v>
      </c>
      <c r="AA19" s="72">
        <v>17259</v>
      </c>
      <c r="AB19" s="72"/>
      <c r="AC19" s="72"/>
      <c r="AD19" s="72"/>
      <c r="AE19" s="70" t="s">
        <v>7</v>
      </c>
      <c r="AF19" s="70"/>
      <c r="AG19" s="70"/>
    </row>
    <row r="20" spans="1:33" x14ac:dyDescent="0.25">
      <c r="A20" s="72">
        <v>98708</v>
      </c>
      <c r="B20" s="72" t="s">
        <v>277</v>
      </c>
      <c r="C20" s="72" t="s">
        <v>634</v>
      </c>
      <c r="D20" s="72" t="s">
        <v>714</v>
      </c>
      <c r="E20" s="72" t="s">
        <v>11</v>
      </c>
      <c r="F20" s="72" t="s">
        <v>156</v>
      </c>
      <c r="G20" s="72" t="s">
        <v>634</v>
      </c>
      <c r="H20" s="72"/>
      <c r="I20" s="73">
        <v>42998.682523148149</v>
      </c>
      <c r="J20" s="72" t="s">
        <v>578</v>
      </c>
      <c r="K20" s="72" t="s">
        <v>573</v>
      </c>
      <c r="L20" s="72" t="s">
        <v>635</v>
      </c>
      <c r="M20" s="73">
        <v>42850.376377314817</v>
      </c>
      <c r="N20" s="72" t="s">
        <v>16</v>
      </c>
      <c r="O20" s="72" t="s">
        <v>715</v>
      </c>
      <c r="P20" s="72" t="s">
        <v>17</v>
      </c>
      <c r="Q20" s="72" t="s">
        <v>13</v>
      </c>
      <c r="R20" s="72" t="s">
        <v>19</v>
      </c>
      <c r="S20" s="72" t="s">
        <v>638</v>
      </c>
      <c r="T20" s="72" t="s">
        <v>88</v>
      </c>
      <c r="U20" s="72"/>
      <c r="V20" s="72" t="s">
        <v>81</v>
      </c>
      <c r="W20" s="72" t="s">
        <v>638</v>
      </c>
      <c r="X20" s="72" t="s">
        <v>638</v>
      </c>
      <c r="Y20" s="72" t="s">
        <v>638</v>
      </c>
      <c r="Z20" s="72" t="s">
        <v>638</v>
      </c>
      <c r="AA20" s="72">
        <v>16394</v>
      </c>
      <c r="AB20" s="72"/>
      <c r="AC20" s="72"/>
      <c r="AD20" s="72"/>
      <c r="AE20" s="70" t="s">
        <v>7</v>
      </c>
      <c r="AF20" s="70"/>
      <c r="AG20" s="70"/>
    </row>
    <row r="21" spans="1:33" x14ac:dyDescent="0.25">
      <c r="A21" s="72">
        <v>98842</v>
      </c>
      <c r="B21" s="72" t="s">
        <v>277</v>
      </c>
      <c r="C21" s="72" t="s">
        <v>537</v>
      </c>
      <c r="D21" s="72" t="s">
        <v>761</v>
      </c>
      <c r="E21" s="72" t="s">
        <v>11</v>
      </c>
      <c r="F21" s="72" t="s">
        <v>762</v>
      </c>
      <c r="G21" s="72" t="s">
        <v>537</v>
      </c>
      <c r="H21" s="72"/>
      <c r="I21" s="73">
        <v>42998.032743055555</v>
      </c>
      <c r="J21" s="72" t="s">
        <v>574</v>
      </c>
      <c r="K21" s="72" t="s">
        <v>577</v>
      </c>
      <c r="L21" s="72" t="s">
        <v>44</v>
      </c>
      <c r="M21" s="73">
        <v>42852.901076388887</v>
      </c>
      <c r="N21" s="72" t="s">
        <v>197</v>
      </c>
      <c r="O21" s="72" t="s">
        <v>691</v>
      </c>
      <c r="P21" s="72" t="s">
        <v>6</v>
      </c>
      <c r="Q21" s="72" t="s">
        <v>13</v>
      </c>
      <c r="R21" s="72" t="s">
        <v>35</v>
      </c>
      <c r="S21" s="72" t="s">
        <v>638</v>
      </c>
      <c r="T21" s="72" t="s">
        <v>10</v>
      </c>
      <c r="U21" s="72"/>
      <c r="V21" s="72" t="s">
        <v>112</v>
      </c>
      <c r="W21" s="72" t="s">
        <v>638</v>
      </c>
      <c r="X21" s="72" t="s">
        <v>638</v>
      </c>
      <c r="Y21" s="72" t="s">
        <v>638</v>
      </c>
      <c r="Z21" s="72" t="s">
        <v>638</v>
      </c>
      <c r="AA21" s="72"/>
      <c r="AB21" s="72"/>
      <c r="AC21" s="72"/>
      <c r="AD21" s="72"/>
      <c r="AE21" s="70" t="s">
        <v>7</v>
      </c>
      <c r="AF21" s="70"/>
      <c r="AG21" s="70"/>
    </row>
    <row r="22" spans="1:33" x14ac:dyDescent="0.25">
      <c r="A22" s="72">
        <v>98888</v>
      </c>
      <c r="B22" s="72" t="s">
        <v>277</v>
      </c>
      <c r="C22" s="72" t="s">
        <v>344</v>
      </c>
      <c r="D22" s="72" t="s">
        <v>716</v>
      </c>
      <c r="E22" s="72" t="s">
        <v>2</v>
      </c>
      <c r="F22" s="72" t="s">
        <v>156</v>
      </c>
      <c r="G22" s="72" t="s">
        <v>365</v>
      </c>
      <c r="H22" s="72" t="s">
        <v>540</v>
      </c>
      <c r="I22" s="73">
        <v>42998.136250000003</v>
      </c>
      <c r="J22" s="72" t="s">
        <v>574</v>
      </c>
      <c r="K22" s="72" t="s">
        <v>573</v>
      </c>
      <c r="L22" s="72" t="s">
        <v>635</v>
      </c>
      <c r="M22" s="73">
        <v>42853.595312500001</v>
      </c>
      <c r="N22" s="72" t="s">
        <v>16</v>
      </c>
      <c r="O22" s="72" t="s">
        <v>282</v>
      </c>
      <c r="P22" s="72" t="s">
        <v>6</v>
      </c>
      <c r="Q22" s="72" t="s">
        <v>13</v>
      </c>
      <c r="R22" s="72" t="s">
        <v>19</v>
      </c>
      <c r="S22" s="72" t="s">
        <v>638</v>
      </c>
      <c r="T22" s="72" t="s">
        <v>88</v>
      </c>
      <c r="U22" s="72"/>
      <c r="V22" s="72" t="s">
        <v>81</v>
      </c>
      <c r="W22" s="72" t="s">
        <v>638</v>
      </c>
      <c r="X22" s="72" t="s">
        <v>638</v>
      </c>
      <c r="Y22" s="72" t="s">
        <v>638</v>
      </c>
      <c r="Z22" s="72" t="s">
        <v>544</v>
      </c>
      <c r="AA22" s="72">
        <v>17509</v>
      </c>
      <c r="AB22" s="72"/>
      <c r="AC22" s="72"/>
      <c r="AD22" s="72"/>
      <c r="AE22" s="70" t="s">
        <v>7</v>
      </c>
      <c r="AF22" s="70"/>
      <c r="AG22" s="70"/>
    </row>
    <row r="23" spans="1:33" x14ac:dyDescent="0.25">
      <c r="A23" s="72">
        <v>99365</v>
      </c>
      <c r="B23" s="72" t="s">
        <v>277</v>
      </c>
      <c r="C23" s="72" t="s">
        <v>305</v>
      </c>
      <c r="D23" s="72" t="s">
        <v>717</v>
      </c>
      <c r="E23" s="72" t="s">
        <v>138</v>
      </c>
      <c r="F23" s="72" t="s">
        <v>641</v>
      </c>
      <c r="G23" s="72" t="s">
        <v>297</v>
      </c>
      <c r="H23" s="72"/>
      <c r="I23" s="73">
        <v>42997.134965277779</v>
      </c>
      <c r="J23" s="72" t="s">
        <v>574</v>
      </c>
      <c r="K23" s="72" t="s">
        <v>573</v>
      </c>
      <c r="L23" s="72" t="s">
        <v>299</v>
      </c>
      <c r="M23" s="73">
        <v>42866.374745370369</v>
      </c>
      <c r="N23" s="72" t="s">
        <v>312</v>
      </c>
      <c r="O23" s="72" t="s">
        <v>691</v>
      </c>
      <c r="P23" s="72" t="s">
        <v>17</v>
      </c>
      <c r="Q23" s="72" t="s">
        <v>13</v>
      </c>
      <c r="R23" s="72" t="s">
        <v>195</v>
      </c>
      <c r="S23" s="72" t="s">
        <v>638</v>
      </c>
      <c r="T23" s="72" t="s">
        <v>10</v>
      </c>
      <c r="U23" s="72"/>
      <c r="V23" s="72" t="s">
        <v>112</v>
      </c>
      <c r="W23" s="72" t="s">
        <v>718</v>
      </c>
      <c r="X23" s="72" t="s">
        <v>638</v>
      </c>
      <c r="Y23" s="72" t="s">
        <v>638</v>
      </c>
      <c r="Z23" s="72" t="s">
        <v>638</v>
      </c>
      <c r="AA23" s="72"/>
      <c r="AB23" s="72"/>
      <c r="AC23" s="72"/>
      <c r="AD23" s="72"/>
      <c r="AE23" s="70" t="s">
        <v>7</v>
      </c>
      <c r="AF23" s="70"/>
      <c r="AG23" s="70"/>
    </row>
    <row r="24" spans="1:33" x14ac:dyDescent="0.25">
      <c r="A24" s="72">
        <v>99548</v>
      </c>
      <c r="B24" s="72" t="s">
        <v>277</v>
      </c>
      <c r="C24" s="72" t="s">
        <v>517</v>
      </c>
      <c r="D24" s="72" t="s">
        <v>719</v>
      </c>
      <c r="E24" s="72" t="s">
        <v>11</v>
      </c>
      <c r="F24" s="72" t="s">
        <v>641</v>
      </c>
      <c r="G24" s="72" t="s">
        <v>297</v>
      </c>
      <c r="H24" s="72"/>
      <c r="I24" s="73">
        <v>42991.310613425929</v>
      </c>
      <c r="J24" s="72" t="s">
        <v>574</v>
      </c>
      <c r="K24" s="72" t="s">
        <v>573</v>
      </c>
      <c r="L24" s="72" t="s">
        <v>509</v>
      </c>
      <c r="M24" s="73">
        <v>42871.305219907408</v>
      </c>
      <c r="N24" s="72" t="s">
        <v>312</v>
      </c>
      <c r="O24" s="72"/>
      <c r="P24" s="72" t="s">
        <v>6</v>
      </c>
      <c r="Q24" s="72" t="s">
        <v>13</v>
      </c>
      <c r="R24" s="72" t="s">
        <v>195</v>
      </c>
      <c r="S24" s="72" t="s">
        <v>638</v>
      </c>
      <c r="T24" s="72" t="s">
        <v>10</v>
      </c>
      <c r="U24" s="72"/>
      <c r="V24" s="72" t="s">
        <v>112</v>
      </c>
      <c r="W24" s="72" t="s">
        <v>718</v>
      </c>
      <c r="X24" s="72" t="s">
        <v>638</v>
      </c>
      <c r="Y24" s="72" t="s">
        <v>638</v>
      </c>
      <c r="Z24" s="72" t="s">
        <v>638</v>
      </c>
      <c r="AA24" s="72"/>
      <c r="AB24" s="72"/>
      <c r="AC24" s="72"/>
      <c r="AD24" s="72"/>
      <c r="AE24" s="70" t="s">
        <v>7</v>
      </c>
      <c r="AF24" s="70"/>
      <c r="AG24" s="70"/>
    </row>
    <row r="25" spans="1:33" x14ac:dyDescent="0.25">
      <c r="A25" s="72">
        <v>100011</v>
      </c>
      <c r="B25" s="72" t="s">
        <v>277</v>
      </c>
      <c r="C25" s="72" t="s">
        <v>344</v>
      </c>
      <c r="D25" s="72" t="s">
        <v>720</v>
      </c>
      <c r="E25" s="72" t="s">
        <v>2</v>
      </c>
      <c r="F25" s="72" t="s">
        <v>641</v>
      </c>
      <c r="G25" s="72" t="s">
        <v>277</v>
      </c>
      <c r="H25" s="72"/>
      <c r="I25" s="73">
        <v>42998.126145833332</v>
      </c>
      <c r="J25" s="72" t="s">
        <v>574</v>
      </c>
      <c r="K25" s="72" t="s">
        <v>573</v>
      </c>
      <c r="L25" s="72" t="s">
        <v>635</v>
      </c>
      <c r="M25" s="73">
        <v>42880.610752314817</v>
      </c>
      <c r="N25" s="72" t="s">
        <v>16</v>
      </c>
      <c r="O25" s="72" t="s">
        <v>280</v>
      </c>
      <c r="P25" s="72" t="s">
        <v>6</v>
      </c>
      <c r="Q25" s="72" t="s">
        <v>13</v>
      </c>
      <c r="R25" s="72" t="s">
        <v>19</v>
      </c>
      <c r="S25" s="72" t="s">
        <v>638</v>
      </c>
      <c r="T25" s="72" t="s">
        <v>88</v>
      </c>
      <c r="U25" s="72"/>
      <c r="V25" s="72" t="s">
        <v>81</v>
      </c>
      <c r="W25" s="72" t="s">
        <v>638</v>
      </c>
      <c r="X25" s="72" t="s">
        <v>638</v>
      </c>
      <c r="Y25" s="72" t="s">
        <v>638</v>
      </c>
      <c r="Z25" s="72" t="s">
        <v>544</v>
      </c>
      <c r="AA25" s="72">
        <v>17509</v>
      </c>
      <c r="AB25" s="72"/>
      <c r="AC25" s="72"/>
      <c r="AD25" s="21">
        <v>43006</v>
      </c>
      <c r="AE25" s="70" t="s">
        <v>7</v>
      </c>
      <c r="AF25" s="70"/>
      <c r="AG25" s="70"/>
    </row>
    <row r="26" spans="1:33" x14ac:dyDescent="0.25">
      <c r="A26" s="72">
        <v>101181</v>
      </c>
      <c r="B26" s="72" t="s">
        <v>277</v>
      </c>
      <c r="C26" s="72" t="s">
        <v>304</v>
      </c>
      <c r="D26" s="72" t="s">
        <v>763</v>
      </c>
      <c r="E26" s="72" t="s">
        <v>2</v>
      </c>
      <c r="F26" s="72" t="s">
        <v>764</v>
      </c>
      <c r="G26" s="72" t="s">
        <v>304</v>
      </c>
      <c r="H26" s="72" t="s">
        <v>765</v>
      </c>
      <c r="I26" s="73">
        <v>42996.236168981479</v>
      </c>
      <c r="J26" s="72" t="s">
        <v>578</v>
      </c>
      <c r="K26" s="72" t="s">
        <v>577</v>
      </c>
      <c r="L26" s="72" t="s">
        <v>633</v>
      </c>
      <c r="M26" s="73">
        <v>42906.310567129629</v>
      </c>
      <c r="N26" s="72" t="s">
        <v>16</v>
      </c>
      <c r="O26" s="72" t="s">
        <v>496</v>
      </c>
      <c r="P26" s="72" t="s">
        <v>6</v>
      </c>
      <c r="Q26" s="72" t="s">
        <v>13</v>
      </c>
      <c r="R26" s="72" t="s">
        <v>19</v>
      </c>
      <c r="S26" s="72" t="s">
        <v>638</v>
      </c>
      <c r="T26" s="72" t="s">
        <v>88</v>
      </c>
      <c r="U26" s="72"/>
      <c r="V26" s="72" t="s">
        <v>81</v>
      </c>
      <c r="W26" s="72" t="s">
        <v>638</v>
      </c>
      <c r="X26" s="72" t="s">
        <v>637</v>
      </c>
      <c r="Y26" s="72" t="s">
        <v>766</v>
      </c>
      <c r="Z26" s="72" t="s">
        <v>544</v>
      </c>
      <c r="AA26" s="72">
        <v>12685</v>
      </c>
      <c r="AB26" s="72"/>
      <c r="AC26" s="72"/>
      <c r="AD26" s="72"/>
      <c r="AE26" s="70" t="s">
        <v>7</v>
      </c>
      <c r="AF26" s="70"/>
      <c r="AG26" s="70"/>
    </row>
    <row r="27" spans="1:33" x14ac:dyDescent="0.25">
      <c r="A27" s="72">
        <v>101548</v>
      </c>
      <c r="B27" s="72" t="s">
        <v>277</v>
      </c>
      <c r="C27" s="72" t="s">
        <v>304</v>
      </c>
      <c r="D27" s="72" t="s">
        <v>767</v>
      </c>
      <c r="E27" s="72" t="s">
        <v>2</v>
      </c>
      <c r="F27" s="72" t="s">
        <v>764</v>
      </c>
      <c r="G27" s="72" t="s">
        <v>344</v>
      </c>
      <c r="H27" s="72" t="s">
        <v>765</v>
      </c>
      <c r="I27" s="73">
        <v>42996.234027777777</v>
      </c>
      <c r="J27" s="72" t="s">
        <v>578</v>
      </c>
      <c r="K27" s="72" t="s">
        <v>577</v>
      </c>
      <c r="L27" s="72" t="s">
        <v>625</v>
      </c>
      <c r="M27" s="73">
        <v>42914.150891203702</v>
      </c>
      <c r="N27" s="72" t="s">
        <v>16</v>
      </c>
      <c r="O27" s="72" t="s">
        <v>282</v>
      </c>
      <c r="P27" s="72" t="s">
        <v>12</v>
      </c>
      <c r="Q27" s="72" t="s">
        <v>13</v>
      </c>
      <c r="R27" s="72" t="s">
        <v>19</v>
      </c>
      <c r="S27" s="72" t="s">
        <v>638</v>
      </c>
      <c r="T27" s="72" t="s">
        <v>26</v>
      </c>
      <c r="U27" s="72"/>
      <c r="V27" s="72" t="s">
        <v>81</v>
      </c>
      <c r="W27" s="72" t="s">
        <v>638</v>
      </c>
      <c r="X27" s="72" t="s">
        <v>637</v>
      </c>
      <c r="Y27" s="72" t="s">
        <v>766</v>
      </c>
      <c r="Z27" s="72" t="s">
        <v>638</v>
      </c>
      <c r="AA27" s="72" t="s">
        <v>707</v>
      </c>
      <c r="AB27" s="72"/>
      <c r="AC27" s="72"/>
      <c r="AD27" s="72"/>
      <c r="AE27" s="70" t="s">
        <v>7</v>
      </c>
      <c r="AF27" s="70"/>
      <c r="AG27" s="70"/>
    </row>
    <row r="28" spans="1:33" x14ac:dyDescent="0.25">
      <c r="A28" s="72">
        <v>101563</v>
      </c>
      <c r="B28" s="72" t="s">
        <v>277</v>
      </c>
      <c r="C28" s="72" t="s">
        <v>304</v>
      </c>
      <c r="D28" s="72" t="s">
        <v>768</v>
      </c>
      <c r="E28" s="72" t="s">
        <v>2</v>
      </c>
      <c r="F28" s="72" t="s">
        <v>764</v>
      </c>
      <c r="G28" s="72" t="s">
        <v>515</v>
      </c>
      <c r="H28" s="72" t="s">
        <v>765</v>
      </c>
      <c r="I28" s="73">
        <v>42996.231956018521</v>
      </c>
      <c r="J28" s="72" t="s">
        <v>578</v>
      </c>
      <c r="K28" s="72" t="s">
        <v>577</v>
      </c>
      <c r="L28" s="72" t="s">
        <v>769</v>
      </c>
      <c r="M28" s="73">
        <v>42914.19804398148</v>
      </c>
      <c r="N28" s="72" t="s">
        <v>16</v>
      </c>
      <c r="O28" s="72"/>
      <c r="P28" s="72" t="s">
        <v>12</v>
      </c>
      <c r="Q28" s="72" t="s">
        <v>13</v>
      </c>
      <c r="R28" s="72" t="s">
        <v>19</v>
      </c>
      <c r="S28" s="72" t="s">
        <v>638</v>
      </c>
      <c r="T28" s="72" t="s">
        <v>516</v>
      </c>
      <c r="U28" s="72"/>
      <c r="V28" s="72" t="s">
        <v>81</v>
      </c>
      <c r="W28" s="72" t="s">
        <v>638</v>
      </c>
      <c r="X28" s="72" t="s">
        <v>637</v>
      </c>
      <c r="Y28" s="72" t="s">
        <v>766</v>
      </c>
      <c r="Z28" s="72" t="s">
        <v>638</v>
      </c>
      <c r="AA28" s="72"/>
      <c r="AB28" s="72"/>
      <c r="AC28" s="72"/>
      <c r="AD28" s="72"/>
      <c r="AE28" s="70" t="s">
        <v>7</v>
      </c>
      <c r="AF28" s="70"/>
      <c r="AG28" s="70"/>
    </row>
    <row r="29" spans="1:33" x14ac:dyDescent="0.25">
      <c r="A29" s="72">
        <v>101954</v>
      </c>
      <c r="B29" s="72" t="s">
        <v>277</v>
      </c>
      <c r="C29" s="72" t="s">
        <v>305</v>
      </c>
      <c r="D29" s="72" t="s">
        <v>721</v>
      </c>
      <c r="E29" s="72" t="s">
        <v>11</v>
      </c>
      <c r="F29" s="72" t="s">
        <v>156</v>
      </c>
      <c r="G29" s="72" t="s">
        <v>259</v>
      </c>
      <c r="H29" s="72"/>
      <c r="I29" s="73">
        <v>42999.865439814814</v>
      </c>
      <c r="J29" s="72" t="s">
        <v>574</v>
      </c>
      <c r="K29" s="72" t="s">
        <v>573</v>
      </c>
      <c r="L29" s="72" t="s">
        <v>641</v>
      </c>
      <c r="M29" s="73">
        <v>42922.745266203703</v>
      </c>
      <c r="N29" s="72" t="s">
        <v>39</v>
      </c>
      <c r="O29" s="72" t="s">
        <v>280</v>
      </c>
      <c r="P29" s="72" t="s">
        <v>6</v>
      </c>
      <c r="Q29" s="72" t="s">
        <v>13</v>
      </c>
      <c r="R29" s="72" t="s">
        <v>195</v>
      </c>
      <c r="S29" s="72" t="s">
        <v>638</v>
      </c>
      <c r="T29" s="72" t="s">
        <v>10</v>
      </c>
      <c r="U29" s="72"/>
      <c r="V29" s="72" t="s">
        <v>112</v>
      </c>
      <c r="W29" s="72" t="s">
        <v>638</v>
      </c>
      <c r="X29" s="72" t="s">
        <v>638</v>
      </c>
      <c r="Y29" s="72" t="s">
        <v>638</v>
      </c>
      <c r="Z29" s="72" t="s">
        <v>638</v>
      </c>
      <c r="AA29" s="72"/>
      <c r="AB29" s="72"/>
      <c r="AC29" s="72"/>
      <c r="AD29" s="72"/>
      <c r="AE29" s="70" t="s">
        <v>544</v>
      </c>
      <c r="AF29" s="70"/>
      <c r="AG29" s="70"/>
    </row>
    <row r="30" spans="1:33" x14ac:dyDescent="0.25">
      <c r="A30" s="72">
        <v>101994</v>
      </c>
      <c r="B30" s="72" t="s">
        <v>277</v>
      </c>
      <c r="C30" s="72" t="s">
        <v>304</v>
      </c>
      <c r="D30" s="72" t="s">
        <v>770</v>
      </c>
      <c r="E30" s="72" t="s">
        <v>11</v>
      </c>
      <c r="F30" s="72" t="s">
        <v>764</v>
      </c>
      <c r="G30" s="72" t="s">
        <v>636</v>
      </c>
      <c r="H30" s="72" t="s">
        <v>765</v>
      </c>
      <c r="I30" s="73">
        <v>42996.230868055558</v>
      </c>
      <c r="J30" s="72" t="s">
        <v>578</v>
      </c>
      <c r="K30" s="72" t="s">
        <v>577</v>
      </c>
      <c r="L30" s="72" t="s">
        <v>769</v>
      </c>
      <c r="M30" s="73">
        <v>42923.214675925927</v>
      </c>
      <c r="N30" s="72" t="s">
        <v>16</v>
      </c>
      <c r="O30" s="72"/>
      <c r="P30" s="72" t="s">
        <v>522</v>
      </c>
      <c r="Q30" s="72" t="s">
        <v>13</v>
      </c>
      <c r="R30" s="72" t="s">
        <v>19</v>
      </c>
      <c r="S30" s="72" t="s">
        <v>638</v>
      </c>
      <c r="T30" s="72" t="s">
        <v>10</v>
      </c>
      <c r="U30" s="72"/>
      <c r="V30" s="72" t="s">
        <v>81</v>
      </c>
      <c r="W30" s="72" t="s">
        <v>638</v>
      </c>
      <c r="X30" s="72" t="s">
        <v>637</v>
      </c>
      <c r="Y30" s="72" t="s">
        <v>766</v>
      </c>
      <c r="Z30" s="72" t="s">
        <v>638</v>
      </c>
      <c r="AA30" s="72"/>
      <c r="AB30" s="72"/>
      <c r="AC30" s="72"/>
      <c r="AD30" s="72"/>
      <c r="AE30" s="70" t="s">
        <v>544</v>
      </c>
      <c r="AF30" s="70"/>
      <c r="AG30" s="70"/>
    </row>
    <row r="31" spans="1:33" x14ac:dyDescent="0.25">
      <c r="A31" s="72">
        <v>102155</v>
      </c>
      <c r="B31" s="72" t="s">
        <v>277</v>
      </c>
      <c r="C31" s="72" t="s">
        <v>722</v>
      </c>
      <c r="D31" s="72" t="s">
        <v>723</v>
      </c>
      <c r="E31" s="72" t="s">
        <v>2</v>
      </c>
      <c r="F31" s="72" t="s">
        <v>156</v>
      </c>
      <c r="G31" s="72" t="s">
        <v>272</v>
      </c>
      <c r="H31" s="72"/>
      <c r="I31" s="73">
        <v>42998.539456018516</v>
      </c>
      <c r="J31" s="72" t="s">
        <v>578</v>
      </c>
      <c r="K31" s="72" t="s">
        <v>573</v>
      </c>
      <c r="L31" s="72" t="s">
        <v>509</v>
      </c>
      <c r="M31" s="73">
        <v>42927.821064814816</v>
      </c>
      <c r="N31" s="72" t="s">
        <v>39</v>
      </c>
      <c r="O31" s="72" t="s">
        <v>282</v>
      </c>
      <c r="P31" s="72" t="s">
        <v>17</v>
      </c>
      <c r="Q31" s="72" t="s">
        <v>13</v>
      </c>
      <c r="R31" s="72" t="s">
        <v>19</v>
      </c>
      <c r="S31" s="72" t="s">
        <v>638</v>
      </c>
      <c r="T31" s="72" t="s">
        <v>88</v>
      </c>
      <c r="U31" s="72"/>
      <c r="V31" s="72" t="s">
        <v>81</v>
      </c>
      <c r="W31" s="72" t="s">
        <v>638</v>
      </c>
      <c r="X31" s="72" t="s">
        <v>638</v>
      </c>
      <c r="Y31" s="72" t="s">
        <v>638</v>
      </c>
      <c r="Z31" s="72" t="s">
        <v>638</v>
      </c>
      <c r="AA31" s="72"/>
      <c r="AB31" s="72"/>
      <c r="AC31" s="72"/>
      <c r="AD31" s="72"/>
      <c r="AE31" s="70" t="s">
        <v>7</v>
      </c>
      <c r="AF31" s="70"/>
      <c r="AG31" s="70"/>
    </row>
    <row r="32" spans="1:33" x14ac:dyDescent="0.25">
      <c r="A32" s="72">
        <v>102501</v>
      </c>
      <c r="B32" s="72" t="s">
        <v>277</v>
      </c>
      <c r="C32" s="72" t="s">
        <v>304</v>
      </c>
      <c r="D32" s="72" t="s">
        <v>771</v>
      </c>
      <c r="E32" s="72" t="s">
        <v>2</v>
      </c>
      <c r="F32" s="72" t="s">
        <v>764</v>
      </c>
      <c r="G32" s="72" t="s">
        <v>304</v>
      </c>
      <c r="H32" s="72" t="s">
        <v>765</v>
      </c>
      <c r="I32" s="73">
        <v>42996.228807870371</v>
      </c>
      <c r="J32" s="72" t="s">
        <v>578</v>
      </c>
      <c r="K32" s="72" t="s">
        <v>577</v>
      </c>
      <c r="L32" s="72" t="s">
        <v>630</v>
      </c>
      <c r="M32" s="73">
        <v>42935.06150462963</v>
      </c>
      <c r="N32" s="72" t="s">
        <v>16</v>
      </c>
      <c r="O32" s="72" t="s">
        <v>282</v>
      </c>
      <c r="P32" s="72" t="s">
        <v>17</v>
      </c>
      <c r="Q32" s="72" t="s">
        <v>13</v>
      </c>
      <c r="R32" s="72" t="s">
        <v>19</v>
      </c>
      <c r="S32" s="72" t="s">
        <v>638</v>
      </c>
      <c r="T32" s="72" t="s">
        <v>88</v>
      </c>
      <c r="U32" s="72"/>
      <c r="V32" s="72" t="s">
        <v>81</v>
      </c>
      <c r="W32" s="72" t="s">
        <v>638</v>
      </c>
      <c r="X32" s="72" t="s">
        <v>637</v>
      </c>
      <c r="Y32" s="72" t="s">
        <v>766</v>
      </c>
      <c r="Z32" s="72" t="s">
        <v>638</v>
      </c>
      <c r="AA32" s="72">
        <v>17327</v>
      </c>
      <c r="AB32" s="72"/>
      <c r="AC32" s="72"/>
      <c r="AD32" s="72"/>
      <c r="AE32" s="70" t="s">
        <v>7</v>
      </c>
      <c r="AF32" s="70"/>
      <c r="AG32" s="70"/>
    </row>
    <row r="33" spans="1:33" x14ac:dyDescent="0.25">
      <c r="A33" s="72">
        <v>102533</v>
      </c>
      <c r="B33" s="72" t="s">
        <v>277</v>
      </c>
      <c r="C33" s="72" t="s">
        <v>304</v>
      </c>
      <c r="D33" s="72" t="s">
        <v>772</v>
      </c>
      <c r="E33" s="72" t="s">
        <v>11</v>
      </c>
      <c r="F33" s="72" t="s">
        <v>764</v>
      </c>
      <c r="G33" s="72" t="s">
        <v>304</v>
      </c>
      <c r="H33" s="72" t="s">
        <v>765</v>
      </c>
      <c r="I33" s="73">
        <v>42996.210312499999</v>
      </c>
      <c r="J33" s="72" t="s">
        <v>578</v>
      </c>
      <c r="K33" s="72" t="s">
        <v>577</v>
      </c>
      <c r="L33" s="72" t="s">
        <v>625</v>
      </c>
      <c r="M33" s="73">
        <v>42935.281145833331</v>
      </c>
      <c r="N33" s="72" t="s">
        <v>16</v>
      </c>
      <c r="O33" s="72"/>
      <c r="P33" s="72" t="s">
        <v>12</v>
      </c>
      <c r="Q33" s="72" t="s">
        <v>13</v>
      </c>
      <c r="R33" s="72" t="s">
        <v>19</v>
      </c>
      <c r="S33" s="72" t="s">
        <v>638</v>
      </c>
      <c r="T33" s="72" t="s">
        <v>10</v>
      </c>
      <c r="U33" s="72"/>
      <c r="V33" s="72" t="s">
        <v>81</v>
      </c>
      <c r="W33" s="72" t="s">
        <v>638</v>
      </c>
      <c r="X33" s="72" t="s">
        <v>637</v>
      </c>
      <c r="Y33" s="72" t="s">
        <v>766</v>
      </c>
      <c r="Z33" s="72" t="s">
        <v>638</v>
      </c>
      <c r="AA33" s="72">
        <v>11730</v>
      </c>
      <c r="AB33" s="72"/>
      <c r="AC33" s="72"/>
      <c r="AD33" s="72"/>
      <c r="AE33" s="70" t="s">
        <v>7</v>
      </c>
      <c r="AF33" s="70">
        <v>11243</v>
      </c>
      <c r="AG33" s="70"/>
    </row>
    <row r="34" spans="1:33" x14ac:dyDescent="0.25">
      <c r="A34" s="72">
        <v>102631</v>
      </c>
      <c r="B34" s="72" t="s">
        <v>277</v>
      </c>
      <c r="C34" s="72" t="s">
        <v>541</v>
      </c>
      <c r="D34" s="72" t="s">
        <v>724</v>
      </c>
      <c r="E34" s="72" t="s">
        <v>2</v>
      </c>
      <c r="F34" s="72" t="s">
        <v>641</v>
      </c>
      <c r="G34" s="72" t="s">
        <v>277</v>
      </c>
      <c r="H34" s="72"/>
      <c r="I34" s="73">
        <v>42992.307569444441</v>
      </c>
      <c r="J34" s="72" t="s">
        <v>574</v>
      </c>
      <c r="K34" s="72" t="s">
        <v>573</v>
      </c>
      <c r="L34" s="72" t="s">
        <v>509</v>
      </c>
      <c r="M34" s="73">
        <v>42936.55877314815</v>
      </c>
      <c r="N34" s="72" t="s">
        <v>306</v>
      </c>
      <c r="O34" s="72" t="s">
        <v>627</v>
      </c>
      <c r="P34" s="72" t="s">
        <v>17</v>
      </c>
      <c r="Q34" s="72" t="s">
        <v>13</v>
      </c>
      <c r="R34" s="72" t="s">
        <v>302</v>
      </c>
      <c r="S34" s="72" t="s">
        <v>638</v>
      </c>
      <c r="T34" s="72" t="s">
        <v>516</v>
      </c>
      <c r="U34" s="72"/>
      <c r="V34" s="72" t="s">
        <v>81</v>
      </c>
      <c r="W34" s="72" t="s">
        <v>718</v>
      </c>
      <c r="X34" s="72" t="s">
        <v>638</v>
      </c>
      <c r="Y34" s="72" t="s">
        <v>638</v>
      </c>
      <c r="Z34" s="72" t="s">
        <v>544</v>
      </c>
      <c r="AA34" s="72"/>
      <c r="AB34" s="72"/>
      <c r="AC34" s="72"/>
      <c r="AD34" s="72"/>
      <c r="AE34" s="70" t="s">
        <v>7</v>
      </c>
      <c r="AF34" s="70">
        <v>11243</v>
      </c>
      <c r="AG34" s="70"/>
    </row>
    <row r="35" spans="1:33" x14ac:dyDescent="0.25">
      <c r="A35" s="72">
        <v>102670</v>
      </c>
      <c r="B35" s="72" t="s">
        <v>277</v>
      </c>
      <c r="C35" s="72" t="s">
        <v>571</v>
      </c>
      <c r="D35" s="72" t="s">
        <v>725</v>
      </c>
      <c r="E35" s="72" t="s">
        <v>11</v>
      </c>
      <c r="F35" s="72" t="s">
        <v>641</v>
      </c>
      <c r="G35" s="72" t="s">
        <v>631</v>
      </c>
      <c r="H35" s="72"/>
      <c r="I35" s="73">
        <v>42997.875127314815</v>
      </c>
      <c r="J35" s="72" t="s">
        <v>578</v>
      </c>
      <c r="K35" s="72" t="s">
        <v>573</v>
      </c>
      <c r="L35" s="72" t="s">
        <v>26</v>
      </c>
      <c r="M35" s="73">
        <v>42937.324583333335</v>
      </c>
      <c r="N35" s="72" t="s">
        <v>306</v>
      </c>
      <c r="O35" s="72"/>
      <c r="P35" s="72" t="s">
        <v>6</v>
      </c>
      <c r="Q35" s="72" t="s">
        <v>13</v>
      </c>
      <c r="R35" s="72" t="s">
        <v>302</v>
      </c>
      <c r="S35" s="72" t="s">
        <v>638</v>
      </c>
      <c r="T35" s="72" t="s">
        <v>10</v>
      </c>
      <c r="U35" s="72"/>
      <c r="V35" s="72" t="s">
        <v>112</v>
      </c>
      <c r="W35" s="72" t="s">
        <v>638</v>
      </c>
      <c r="X35" s="72" t="s">
        <v>638</v>
      </c>
      <c r="Y35" s="72" t="s">
        <v>638</v>
      </c>
      <c r="Z35" s="72" t="s">
        <v>638</v>
      </c>
      <c r="AA35" s="72"/>
      <c r="AB35" s="72"/>
      <c r="AC35" s="72"/>
      <c r="AD35" s="72"/>
      <c r="AE35" s="70"/>
      <c r="AF35" s="70"/>
      <c r="AG35" s="70"/>
    </row>
    <row r="36" spans="1:33" x14ac:dyDescent="0.25">
      <c r="A36" s="72">
        <v>103231</v>
      </c>
      <c r="B36" s="72" t="s">
        <v>277</v>
      </c>
      <c r="C36" s="72" t="s">
        <v>632</v>
      </c>
      <c r="D36" s="72" t="s">
        <v>773</v>
      </c>
      <c r="E36" s="72" t="s">
        <v>138</v>
      </c>
      <c r="F36" s="72" t="s">
        <v>774</v>
      </c>
      <c r="G36" s="72" t="s">
        <v>297</v>
      </c>
      <c r="H36" s="72"/>
      <c r="I36" s="73">
        <v>42990.662499999999</v>
      </c>
      <c r="J36" s="72" t="s">
        <v>574</v>
      </c>
      <c r="K36" s="72" t="s">
        <v>575</v>
      </c>
      <c r="L36" s="72" t="s">
        <v>299</v>
      </c>
      <c r="M36" s="73">
        <v>42950.518935185188</v>
      </c>
      <c r="N36" s="72" t="s">
        <v>22</v>
      </c>
      <c r="O36" s="72" t="s">
        <v>282</v>
      </c>
      <c r="P36" s="72" t="s">
        <v>17</v>
      </c>
      <c r="Q36" s="72" t="s">
        <v>13</v>
      </c>
      <c r="R36" s="72" t="s">
        <v>195</v>
      </c>
      <c r="S36" s="72" t="s">
        <v>638</v>
      </c>
      <c r="T36" s="72" t="s">
        <v>88</v>
      </c>
      <c r="U36" s="72"/>
      <c r="V36" s="72" t="s">
        <v>112</v>
      </c>
      <c r="W36" s="72" t="s">
        <v>638</v>
      </c>
      <c r="X36" s="72" t="s">
        <v>638</v>
      </c>
      <c r="Y36" s="72" t="s">
        <v>638</v>
      </c>
      <c r="Z36" s="72" t="s">
        <v>638</v>
      </c>
      <c r="AA36" s="72">
        <v>10556</v>
      </c>
      <c r="AB36" s="72" t="s">
        <v>775</v>
      </c>
      <c r="AC36" s="72"/>
      <c r="AD36" s="72"/>
      <c r="AE36" s="70"/>
      <c r="AF36" s="70"/>
      <c r="AG36" s="70"/>
    </row>
    <row r="37" spans="1:33" x14ac:dyDescent="0.25">
      <c r="A37" s="72">
        <v>103584</v>
      </c>
      <c r="B37" s="72" t="s">
        <v>277</v>
      </c>
      <c r="C37" s="72" t="s">
        <v>515</v>
      </c>
      <c r="D37" s="72" t="s">
        <v>726</v>
      </c>
      <c r="E37" s="72" t="s">
        <v>138</v>
      </c>
      <c r="F37" s="72" t="s">
        <v>156</v>
      </c>
      <c r="G37" s="72" t="s">
        <v>287</v>
      </c>
      <c r="H37" s="72"/>
      <c r="I37" s="73">
        <v>42998.538425925923</v>
      </c>
      <c r="J37" s="72" t="s">
        <v>578</v>
      </c>
      <c r="K37" s="72" t="s">
        <v>573</v>
      </c>
      <c r="L37" s="72" t="s">
        <v>509</v>
      </c>
      <c r="M37" s="73">
        <v>42958.732824074075</v>
      </c>
      <c r="N37" s="72" t="s">
        <v>710</v>
      </c>
      <c r="O37" s="72"/>
      <c r="P37" s="72" t="s">
        <v>12</v>
      </c>
      <c r="Q37" s="72" t="s">
        <v>13</v>
      </c>
      <c r="R37" s="72" t="s">
        <v>302</v>
      </c>
      <c r="S37" s="72" t="s">
        <v>638</v>
      </c>
      <c r="T37" s="72" t="s">
        <v>26</v>
      </c>
      <c r="U37" s="72"/>
      <c r="V37" s="72" t="s">
        <v>112</v>
      </c>
      <c r="W37" s="72" t="s">
        <v>638</v>
      </c>
      <c r="X37" s="72" t="s">
        <v>638</v>
      </c>
      <c r="Y37" s="72" t="s">
        <v>638</v>
      </c>
      <c r="Z37" s="72" t="s">
        <v>638</v>
      </c>
      <c r="AA37" s="72"/>
      <c r="AB37" s="72"/>
      <c r="AC37" s="72"/>
      <c r="AD37" s="72"/>
      <c r="AE37" s="70"/>
      <c r="AF37" s="70"/>
      <c r="AG37" s="70"/>
    </row>
    <row r="38" spans="1:33" x14ac:dyDescent="0.25">
      <c r="A38" s="72">
        <v>103675</v>
      </c>
      <c r="B38" s="72" t="s">
        <v>277</v>
      </c>
      <c r="C38" s="72" t="s">
        <v>776</v>
      </c>
      <c r="D38" s="72" t="s">
        <v>777</v>
      </c>
      <c r="E38" s="72" t="s">
        <v>138</v>
      </c>
      <c r="F38" s="72" t="s">
        <v>751</v>
      </c>
      <c r="G38" s="72" t="s">
        <v>776</v>
      </c>
      <c r="H38" s="72"/>
      <c r="I38" s="73">
        <v>42993.851875</v>
      </c>
      <c r="J38" s="72" t="s">
        <v>574</v>
      </c>
      <c r="K38" s="72" t="s">
        <v>575</v>
      </c>
      <c r="L38" s="72" t="s">
        <v>641</v>
      </c>
      <c r="M38" s="73">
        <v>42963.215324074074</v>
      </c>
      <c r="N38" s="72" t="s">
        <v>113</v>
      </c>
      <c r="O38" s="72"/>
      <c r="P38" s="72" t="s">
        <v>17</v>
      </c>
      <c r="Q38" s="72" t="s">
        <v>13</v>
      </c>
      <c r="R38" s="72" t="s">
        <v>19</v>
      </c>
      <c r="S38" s="72" t="s">
        <v>638</v>
      </c>
      <c r="T38" s="72" t="s">
        <v>26</v>
      </c>
      <c r="U38" s="72"/>
      <c r="V38" s="72" t="s">
        <v>112</v>
      </c>
      <c r="W38" s="72" t="s">
        <v>638</v>
      </c>
      <c r="X38" s="72" t="s">
        <v>638</v>
      </c>
      <c r="Y38" s="72" t="s">
        <v>638</v>
      </c>
      <c r="Z38" s="72" t="s">
        <v>638</v>
      </c>
      <c r="AA38" s="72"/>
      <c r="AB38" s="72"/>
      <c r="AC38" s="72"/>
      <c r="AD38" s="72"/>
      <c r="AE38" s="70"/>
      <c r="AF38" s="70"/>
      <c r="AG38" s="70"/>
    </row>
    <row r="39" spans="1:33" x14ac:dyDescent="0.25">
      <c r="A39" s="72">
        <v>103741</v>
      </c>
      <c r="B39" s="72" t="s">
        <v>277</v>
      </c>
      <c r="C39" s="72" t="s">
        <v>272</v>
      </c>
      <c r="D39" s="72" t="s">
        <v>778</v>
      </c>
      <c r="E39" s="72" t="s">
        <v>11</v>
      </c>
      <c r="F39" s="72" t="s">
        <v>156</v>
      </c>
      <c r="G39" s="72" t="s">
        <v>513</v>
      </c>
      <c r="H39" s="72"/>
      <c r="I39" s="73">
        <v>42998.521874999999</v>
      </c>
      <c r="J39" s="72" t="s">
        <v>578</v>
      </c>
      <c r="K39" s="72" t="s">
        <v>575</v>
      </c>
      <c r="L39" s="72" t="s">
        <v>509</v>
      </c>
      <c r="M39" s="73">
        <v>42964.394756944443</v>
      </c>
      <c r="N39" s="72" t="s">
        <v>306</v>
      </c>
      <c r="O39" s="72" t="s">
        <v>308</v>
      </c>
      <c r="P39" s="72" t="s">
        <v>17</v>
      </c>
      <c r="Q39" s="72" t="s">
        <v>13</v>
      </c>
      <c r="R39" s="72" t="s">
        <v>239</v>
      </c>
      <c r="S39" s="72" t="s">
        <v>638</v>
      </c>
      <c r="T39" s="72" t="s">
        <v>516</v>
      </c>
      <c r="U39" s="72"/>
      <c r="V39" s="72" t="s">
        <v>81</v>
      </c>
      <c r="W39" s="72" t="s">
        <v>638</v>
      </c>
      <c r="X39" s="72" t="s">
        <v>638</v>
      </c>
      <c r="Y39" s="72" t="s">
        <v>638</v>
      </c>
      <c r="Z39" s="72" t="s">
        <v>638</v>
      </c>
      <c r="AA39" s="72"/>
      <c r="AB39" s="72"/>
      <c r="AC39" s="72"/>
      <c r="AD39" s="72"/>
      <c r="AE39" s="70"/>
      <c r="AF39" s="70"/>
      <c r="AG39" s="70"/>
    </row>
    <row r="40" spans="1:33" x14ac:dyDescent="0.25">
      <c r="A40" s="72">
        <v>103861</v>
      </c>
      <c r="B40" s="72" t="s">
        <v>277</v>
      </c>
      <c r="C40" s="72" t="s">
        <v>776</v>
      </c>
      <c r="D40" s="72" t="s">
        <v>779</v>
      </c>
      <c r="E40" s="72" t="s">
        <v>138</v>
      </c>
      <c r="F40" s="72" t="s">
        <v>751</v>
      </c>
      <c r="G40" s="72" t="s">
        <v>776</v>
      </c>
      <c r="H40" s="72"/>
      <c r="I40" s="73">
        <v>42998.161111111112</v>
      </c>
      <c r="J40" s="72" t="s">
        <v>574</v>
      </c>
      <c r="K40" s="72" t="s">
        <v>575</v>
      </c>
      <c r="L40" s="72" t="s">
        <v>641</v>
      </c>
      <c r="M40" s="73">
        <v>42969.29791666667</v>
      </c>
      <c r="N40" s="72" t="s">
        <v>113</v>
      </c>
      <c r="O40" s="72"/>
      <c r="P40" s="72" t="s">
        <v>17</v>
      </c>
      <c r="Q40" s="72" t="s">
        <v>13</v>
      </c>
      <c r="R40" s="72" t="s">
        <v>19</v>
      </c>
      <c r="S40" s="72" t="s">
        <v>638</v>
      </c>
      <c r="T40" s="72" t="s">
        <v>26</v>
      </c>
      <c r="U40" s="72"/>
      <c r="V40" s="72" t="s">
        <v>112</v>
      </c>
      <c r="W40" s="72" t="s">
        <v>638</v>
      </c>
      <c r="X40" s="72" t="s">
        <v>638</v>
      </c>
      <c r="Y40" s="72" t="s">
        <v>638</v>
      </c>
      <c r="Z40" s="72" t="s">
        <v>638</v>
      </c>
      <c r="AA40" s="72"/>
      <c r="AB40" s="72"/>
      <c r="AC40" s="72"/>
      <c r="AD40" s="72"/>
      <c r="AE40" s="70"/>
      <c r="AF40" s="70"/>
      <c r="AG40" s="70"/>
    </row>
    <row r="41" spans="1:33" x14ac:dyDescent="0.25">
      <c r="A41" s="72">
        <v>104042</v>
      </c>
      <c r="B41" s="72" t="s">
        <v>277</v>
      </c>
      <c r="C41" s="72" t="s">
        <v>776</v>
      </c>
      <c r="D41" s="72" t="s">
        <v>780</v>
      </c>
      <c r="E41" s="72" t="s">
        <v>138</v>
      </c>
      <c r="F41" s="72" t="s">
        <v>751</v>
      </c>
      <c r="G41" s="72" t="s">
        <v>776</v>
      </c>
      <c r="H41" s="72"/>
      <c r="I41" s="73">
        <v>42998.142430555556</v>
      </c>
      <c r="J41" s="72" t="s">
        <v>574</v>
      </c>
      <c r="K41" s="72" t="s">
        <v>575</v>
      </c>
      <c r="L41" s="72" t="s">
        <v>641</v>
      </c>
      <c r="M41" s="73">
        <v>42976.078553240739</v>
      </c>
      <c r="N41" s="72" t="s">
        <v>113</v>
      </c>
      <c r="O41" s="72"/>
      <c r="P41" s="72" t="s">
        <v>6</v>
      </c>
      <c r="Q41" s="72" t="s">
        <v>13</v>
      </c>
      <c r="R41" s="72" t="s">
        <v>19</v>
      </c>
      <c r="S41" s="72" t="s">
        <v>638</v>
      </c>
      <c r="T41" s="72" t="s">
        <v>26</v>
      </c>
      <c r="U41" s="72"/>
      <c r="V41" s="72" t="s">
        <v>346</v>
      </c>
      <c r="W41" s="72" t="s">
        <v>638</v>
      </c>
      <c r="X41" s="72" t="s">
        <v>638</v>
      </c>
      <c r="Y41" s="72" t="s">
        <v>638</v>
      </c>
      <c r="Z41" s="72" t="s">
        <v>638</v>
      </c>
      <c r="AA41" s="72"/>
      <c r="AB41" s="72"/>
      <c r="AC41" s="72"/>
      <c r="AD41" s="72"/>
      <c r="AE41" s="70"/>
      <c r="AF41" s="70"/>
      <c r="AG41" s="70"/>
    </row>
    <row r="42" spans="1:33" x14ac:dyDescent="0.25">
      <c r="A42" s="72">
        <v>104043</v>
      </c>
      <c r="B42" s="72" t="s">
        <v>277</v>
      </c>
      <c r="C42" s="72" t="s">
        <v>776</v>
      </c>
      <c r="D42" s="72" t="s">
        <v>781</v>
      </c>
      <c r="E42" s="72" t="s">
        <v>138</v>
      </c>
      <c r="F42" s="72" t="s">
        <v>751</v>
      </c>
      <c r="G42" s="72" t="s">
        <v>776</v>
      </c>
      <c r="H42" s="72"/>
      <c r="I42" s="73">
        <v>42999.028148148151</v>
      </c>
      <c r="J42" s="72" t="s">
        <v>574</v>
      </c>
      <c r="K42" s="72" t="s">
        <v>575</v>
      </c>
      <c r="L42" s="72" t="s">
        <v>641</v>
      </c>
      <c r="M42" s="73">
        <v>42976.081608796296</v>
      </c>
      <c r="N42" s="72" t="s">
        <v>113</v>
      </c>
      <c r="O42" s="72"/>
      <c r="P42" s="72" t="s">
        <v>522</v>
      </c>
      <c r="Q42" s="72" t="s">
        <v>13</v>
      </c>
      <c r="R42" s="72" t="s">
        <v>19</v>
      </c>
      <c r="S42" s="72" t="s">
        <v>638</v>
      </c>
      <c r="T42" s="72" t="s">
        <v>26</v>
      </c>
      <c r="U42" s="72"/>
      <c r="V42" s="72" t="s">
        <v>112</v>
      </c>
      <c r="W42" s="72" t="s">
        <v>638</v>
      </c>
      <c r="X42" s="72" t="s">
        <v>638</v>
      </c>
      <c r="Y42" s="72" t="s">
        <v>638</v>
      </c>
      <c r="Z42" s="72" t="s">
        <v>638</v>
      </c>
      <c r="AA42" s="72"/>
      <c r="AB42" s="72"/>
      <c r="AC42" s="72"/>
      <c r="AD42" s="72"/>
      <c r="AE42" s="70"/>
      <c r="AF42" s="70"/>
      <c r="AG42" s="70"/>
    </row>
    <row r="43" spans="1:33" x14ac:dyDescent="0.25">
      <c r="A43" s="72">
        <v>104095</v>
      </c>
      <c r="B43" s="72" t="s">
        <v>277</v>
      </c>
      <c r="C43" s="72" t="s">
        <v>636</v>
      </c>
      <c r="D43" s="72" t="s">
        <v>727</v>
      </c>
      <c r="E43" s="72" t="s">
        <v>2</v>
      </c>
      <c r="F43" s="72" t="s">
        <v>680</v>
      </c>
      <c r="G43" s="72" t="s">
        <v>277</v>
      </c>
      <c r="H43" s="72"/>
      <c r="I43" s="73">
        <v>42998.303483796299</v>
      </c>
      <c r="J43" s="72" t="s">
        <v>574</v>
      </c>
      <c r="K43" s="72" t="s">
        <v>573</v>
      </c>
      <c r="L43" s="72" t="s">
        <v>635</v>
      </c>
      <c r="M43" s="73">
        <v>42976.456342592595</v>
      </c>
      <c r="N43" s="72" t="s">
        <v>16</v>
      </c>
      <c r="O43" s="72" t="s">
        <v>280</v>
      </c>
      <c r="P43" s="72" t="s">
        <v>6</v>
      </c>
      <c r="Q43" s="72" t="s">
        <v>13</v>
      </c>
      <c r="R43" s="72" t="s">
        <v>19</v>
      </c>
      <c r="S43" s="72" t="s">
        <v>638</v>
      </c>
      <c r="T43" s="72" t="s">
        <v>516</v>
      </c>
      <c r="U43" s="72"/>
      <c r="V43" s="72" t="s">
        <v>81</v>
      </c>
      <c r="W43" s="72" t="s">
        <v>728</v>
      </c>
      <c r="X43" s="72" t="s">
        <v>188</v>
      </c>
      <c r="Y43" s="72" t="s">
        <v>638</v>
      </c>
      <c r="Z43" s="72" t="s">
        <v>544</v>
      </c>
      <c r="AA43" s="72">
        <v>17461</v>
      </c>
      <c r="AB43" s="72"/>
      <c r="AC43" s="72"/>
      <c r="AD43" s="72"/>
      <c r="AE43" s="70"/>
      <c r="AF43" s="70"/>
      <c r="AG43" s="70"/>
    </row>
    <row r="44" spans="1:33" x14ac:dyDescent="0.25">
      <c r="A44" s="72">
        <v>104100</v>
      </c>
      <c r="B44" s="72" t="s">
        <v>277</v>
      </c>
      <c r="C44" s="72" t="s">
        <v>735</v>
      </c>
      <c r="D44" s="72" t="s">
        <v>782</v>
      </c>
      <c r="E44" s="72" t="s">
        <v>11</v>
      </c>
      <c r="F44" s="72" t="s">
        <v>783</v>
      </c>
      <c r="G44" s="72" t="s">
        <v>515</v>
      </c>
      <c r="H44" s="72" t="s">
        <v>784</v>
      </c>
      <c r="I44" s="73">
        <v>42997.432210648149</v>
      </c>
      <c r="J44" s="72" t="s">
        <v>578</v>
      </c>
      <c r="K44" s="72" t="s">
        <v>577</v>
      </c>
      <c r="L44" s="72" t="s">
        <v>625</v>
      </c>
      <c r="M44" s="73">
        <v>42976.996400462966</v>
      </c>
      <c r="N44" s="72" t="s">
        <v>16</v>
      </c>
      <c r="O44" s="72"/>
      <c r="P44" s="72" t="s">
        <v>12</v>
      </c>
      <c r="Q44" s="72" t="s">
        <v>13</v>
      </c>
      <c r="R44" s="72" t="s">
        <v>19</v>
      </c>
      <c r="S44" s="72" t="s">
        <v>638</v>
      </c>
      <c r="T44" s="72" t="s">
        <v>10</v>
      </c>
      <c r="U44" s="72"/>
      <c r="V44" s="72" t="s">
        <v>81</v>
      </c>
      <c r="W44" s="72" t="s">
        <v>638</v>
      </c>
      <c r="X44" s="72" t="s">
        <v>637</v>
      </c>
      <c r="Y44" s="72" t="s">
        <v>659</v>
      </c>
      <c r="Z44" s="72" t="s">
        <v>638</v>
      </c>
      <c r="AA44" s="72" t="s">
        <v>738</v>
      </c>
      <c r="AB44" s="72"/>
      <c r="AC44" s="72"/>
      <c r="AD44" s="72"/>
      <c r="AE44" s="70"/>
      <c r="AF44" s="70"/>
      <c r="AG44" s="70"/>
    </row>
    <row r="45" spans="1:33" x14ac:dyDescent="0.25">
      <c r="A45" s="72">
        <v>104105</v>
      </c>
      <c r="B45" s="72" t="s">
        <v>277</v>
      </c>
      <c r="C45" s="72" t="s">
        <v>515</v>
      </c>
      <c r="D45" s="72" t="s">
        <v>785</v>
      </c>
      <c r="E45" s="72" t="s">
        <v>2</v>
      </c>
      <c r="F45" s="72" t="s">
        <v>764</v>
      </c>
      <c r="G45" s="72" t="s">
        <v>304</v>
      </c>
      <c r="H45" s="72"/>
      <c r="I45" s="73">
        <v>42996.205254629633</v>
      </c>
      <c r="J45" s="72" t="s">
        <v>574</v>
      </c>
      <c r="K45" s="72" t="s">
        <v>577</v>
      </c>
      <c r="L45" s="72" t="s">
        <v>509</v>
      </c>
      <c r="M45" s="73">
        <v>42977.092557870368</v>
      </c>
      <c r="N45" s="72" t="s">
        <v>39</v>
      </c>
      <c r="O45" s="72" t="s">
        <v>282</v>
      </c>
      <c r="P45" s="72" t="s">
        <v>6</v>
      </c>
      <c r="Q45" s="72" t="s">
        <v>13</v>
      </c>
      <c r="R45" s="72" t="s">
        <v>19</v>
      </c>
      <c r="S45" s="72" t="s">
        <v>638</v>
      </c>
      <c r="T45" s="72" t="s">
        <v>88</v>
      </c>
      <c r="U45" s="72"/>
      <c r="V45" s="72" t="s">
        <v>81</v>
      </c>
      <c r="W45" s="72" t="s">
        <v>638</v>
      </c>
      <c r="X45" s="72" t="s">
        <v>638</v>
      </c>
      <c r="Y45" s="72" t="s">
        <v>766</v>
      </c>
      <c r="Z45" s="72" t="s">
        <v>638</v>
      </c>
      <c r="AA45" s="72"/>
      <c r="AB45" s="72"/>
      <c r="AC45" s="72"/>
      <c r="AD45" s="72"/>
      <c r="AE45" s="70"/>
      <c r="AF45" s="70"/>
      <c r="AG45" s="70"/>
    </row>
    <row r="46" spans="1:33" x14ac:dyDescent="0.25">
      <c r="A46" s="72">
        <v>104265</v>
      </c>
      <c r="B46" s="72" t="s">
        <v>277</v>
      </c>
      <c r="C46" s="72" t="s">
        <v>628</v>
      </c>
      <c r="D46" s="72" t="s">
        <v>729</v>
      </c>
      <c r="E46" s="72" t="s">
        <v>11</v>
      </c>
      <c r="F46" s="72" t="s">
        <v>156</v>
      </c>
      <c r="G46" s="72" t="s">
        <v>730</v>
      </c>
      <c r="H46" s="72"/>
      <c r="I46" s="73">
        <v>43003.239085648151</v>
      </c>
      <c r="J46" s="72" t="s">
        <v>574</v>
      </c>
      <c r="K46" s="72" t="s">
        <v>573</v>
      </c>
      <c r="L46" s="72" t="s">
        <v>641</v>
      </c>
      <c r="M46" s="73">
        <v>42982.258240740739</v>
      </c>
      <c r="N46" s="72" t="s">
        <v>42</v>
      </c>
      <c r="O46" s="72" t="s">
        <v>308</v>
      </c>
      <c r="P46" s="72" t="s">
        <v>17</v>
      </c>
      <c r="Q46" s="72" t="s">
        <v>13</v>
      </c>
      <c r="R46" s="72" t="s">
        <v>19</v>
      </c>
      <c r="S46" s="72" t="s">
        <v>638</v>
      </c>
      <c r="T46" s="72" t="s">
        <v>26</v>
      </c>
      <c r="U46" s="72"/>
      <c r="V46" s="72" t="s">
        <v>81</v>
      </c>
      <c r="W46" s="72" t="s">
        <v>638</v>
      </c>
      <c r="X46" s="72" t="s">
        <v>638</v>
      </c>
      <c r="Y46" s="72" t="s">
        <v>638</v>
      </c>
      <c r="Z46" s="72" t="s">
        <v>638</v>
      </c>
      <c r="AA46" s="72"/>
      <c r="AB46" s="72"/>
      <c r="AC46" s="72"/>
      <c r="AD46" s="72"/>
      <c r="AE46" s="70"/>
      <c r="AF46" s="70"/>
      <c r="AG46" s="70"/>
    </row>
    <row r="47" spans="1:33" x14ac:dyDescent="0.25">
      <c r="A47" s="72">
        <v>104455</v>
      </c>
      <c r="B47" s="72" t="s">
        <v>277</v>
      </c>
      <c r="C47" s="72" t="s">
        <v>628</v>
      </c>
      <c r="D47" s="72" t="s">
        <v>731</v>
      </c>
      <c r="E47" s="72" t="s">
        <v>11</v>
      </c>
      <c r="F47" s="72" t="s">
        <v>690</v>
      </c>
      <c r="G47" s="72" t="s">
        <v>628</v>
      </c>
      <c r="H47" s="72"/>
      <c r="I47" s="73">
        <v>43003.237916666665</v>
      </c>
      <c r="J47" s="72" t="s">
        <v>574</v>
      </c>
      <c r="K47" s="72" t="s">
        <v>573</v>
      </c>
      <c r="L47" s="72" t="s">
        <v>641</v>
      </c>
      <c r="M47" s="73">
        <v>42986.16609953704</v>
      </c>
      <c r="N47" s="72" t="s">
        <v>42</v>
      </c>
      <c r="O47" s="72" t="s">
        <v>691</v>
      </c>
      <c r="P47" s="72" t="s">
        <v>17</v>
      </c>
      <c r="Q47" s="72" t="s">
        <v>13</v>
      </c>
      <c r="R47" s="72" t="s">
        <v>19</v>
      </c>
      <c r="S47" s="72" t="s">
        <v>638</v>
      </c>
      <c r="T47" s="72" t="s">
        <v>516</v>
      </c>
      <c r="U47" s="72"/>
      <c r="V47" s="72" t="s">
        <v>81</v>
      </c>
      <c r="W47" s="72" t="s">
        <v>692</v>
      </c>
      <c r="X47" s="72" t="s">
        <v>638</v>
      </c>
      <c r="Y47" s="72" t="s">
        <v>638</v>
      </c>
      <c r="Z47" s="72" t="s">
        <v>638</v>
      </c>
      <c r="AA47" s="72"/>
      <c r="AB47" s="72"/>
      <c r="AC47" s="72"/>
      <c r="AD47" s="72"/>
      <c r="AE47" s="70"/>
      <c r="AF47" s="70"/>
      <c r="AG47" s="70"/>
    </row>
    <row r="48" spans="1:33" x14ac:dyDescent="0.25">
      <c r="A48" s="72">
        <v>104485</v>
      </c>
      <c r="B48" s="72" t="s">
        <v>277</v>
      </c>
      <c r="C48" s="72" t="s">
        <v>273</v>
      </c>
      <c r="D48" s="72" t="s">
        <v>732</v>
      </c>
      <c r="E48" s="72" t="s">
        <v>2</v>
      </c>
      <c r="F48" s="72" t="s">
        <v>156</v>
      </c>
      <c r="G48" s="72" t="s">
        <v>513</v>
      </c>
      <c r="H48" s="72"/>
      <c r="I48" s="73">
        <v>43003.658078703702</v>
      </c>
      <c r="J48" s="72" t="s">
        <v>574</v>
      </c>
      <c r="K48" s="72" t="s">
        <v>573</v>
      </c>
      <c r="L48" s="72" t="s">
        <v>509</v>
      </c>
      <c r="M48" s="73">
        <v>42986.481574074074</v>
      </c>
      <c r="N48" s="72" t="s">
        <v>306</v>
      </c>
      <c r="O48" s="72" t="s">
        <v>282</v>
      </c>
      <c r="P48" s="72" t="s">
        <v>17</v>
      </c>
      <c r="Q48" s="72" t="s">
        <v>13</v>
      </c>
      <c r="R48" s="72" t="s">
        <v>239</v>
      </c>
      <c r="S48" s="72" t="s">
        <v>638</v>
      </c>
      <c r="T48" s="72" t="s">
        <v>516</v>
      </c>
      <c r="U48" s="72"/>
      <c r="V48" s="72" t="s">
        <v>81</v>
      </c>
      <c r="W48" s="72" t="s">
        <v>638</v>
      </c>
      <c r="X48" s="72" t="s">
        <v>638</v>
      </c>
      <c r="Y48" s="72" t="s">
        <v>638</v>
      </c>
      <c r="Z48" s="72" t="s">
        <v>544</v>
      </c>
      <c r="AA48" s="72"/>
      <c r="AB48" s="72"/>
      <c r="AC48" s="72"/>
      <c r="AD48" s="72"/>
      <c r="AE48" s="70"/>
      <c r="AF48" s="70"/>
      <c r="AG48" s="70"/>
    </row>
    <row r="49" spans="1:33" x14ac:dyDescent="0.25">
      <c r="A49" s="72">
        <v>104544</v>
      </c>
      <c r="B49" s="72" t="s">
        <v>277</v>
      </c>
      <c r="C49" s="72" t="s">
        <v>661</v>
      </c>
      <c r="D49" s="72" t="s">
        <v>733</v>
      </c>
      <c r="E49" s="72" t="s">
        <v>11</v>
      </c>
      <c r="F49" s="72" t="s">
        <v>680</v>
      </c>
      <c r="G49" s="72" t="s">
        <v>259</v>
      </c>
      <c r="H49" s="72"/>
      <c r="I49" s="73">
        <v>43004.60328703704</v>
      </c>
      <c r="J49" s="72" t="s">
        <v>574</v>
      </c>
      <c r="K49" s="72" t="s">
        <v>573</v>
      </c>
      <c r="L49" s="72" t="s">
        <v>635</v>
      </c>
      <c r="M49" s="73">
        <v>42989.307291666664</v>
      </c>
      <c r="N49" s="72" t="s">
        <v>16</v>
      </c>
      <c r="O49" s="72" t="s">
        <v>496</v>
      </c>
      <c r="P49" s="72" t="s">
        <v>17</v>
      </c>
      <c r="Q49" s="72" t="s">
        <v>13</v>
      </c>
      <c r="R49" s="72" t="s">
        <v>19</v>
      </c>
      <c r="S49" s="72" t="s">
        <v>638</v>
      </c>
      <c r="T49" s="72" t="s">
        <v>88</v>
      </c>
      <c r="U49" s="72"/>
      <c r="V49" s="72" t="s">
        <v>81</v>
      </c>
      <c r="W49" s="72" t="s">
        <v>734</v>
      </c>
      <c r="X49" s="72" t="s">
        <v>188</v>
      </c>
      <c r="Y49" s="72" t="s">
        <v>638</v>
      </c>
      <c r="Z49" s="72" t="s">
        <v>638</v>
      </c>
      <c r="AA49" s="75">
        <v>1320418520</v>
      </c>
      <c r="AB49" s="72"/>
      <c r="AC49" s="72"/>
      <c r="AD49" s="72"/>
      <c r="AE49" s="70"/>
      <c r="AF49" s="70"/>
      <c r="AG49" s="70"/>
    </row>
    <row r="50" spans="1:33" x14ac:dyDescent="0.25">
      <c r="A50" s="72">
        <v>104590</v>
      </c>
      <c r="B50" s="72" t="s">
        <v>277</v>
      </c>
      <c r="C50" s="72" t="s">
        <v>735</v>
      </c>
      <c r="D50" s="72" t="s">
        <v>736</v>
      </c>
      <c r="E50" s="72" t="s">
        <v>11</v>
      </c>
      <c r="F50" s="72" t="s">
        <v>690</v>
      </c>
      <c r="G50" s="72" t="s">
        <v>735</v>
      </c>
      <c r="H50" s="72"/>
      <c r="I50" s="73">
        <v>42998.343124999999</v>
      </c>
      <c r="J50" s="72" t="s">
        <v>574</v>
      </c>
      <c r="K50" s="72" t="s">
        <v>573</v>
      </c>
      <c r="L50" s="72" t="s">
        <v>625</v>
      </c>
      <c r="M50" s="73">
        <v>42990.314155092594</v>
      </c>
      <c r="N50" s="72" t="s">
        <v>16</v>
      </c>
      <c r="O50" s="72" t="s">
        <v>691</v>
      </c>
      <c r="P50" s="72" t="s">
        <v>12</v>
      </c>
      <c r="Q50" s="72" t="s">
        <v>13</v>
      </c>
      <c r="R50" s="72" t="s">
        <v>19</v>
      </c>
      <c r="S50" s="72" t="s">
        <v>638</v>
      </c>
      <c r="T50" s="72" t="s">
        <v>516</v>
      </c>
      <c r="U50" s="72"/>
      <c r="V50" s="72" t="s">
        <v>81</v>
      </c>
      <c r="W50" s="72" t="s">
        <v>737</v>
      </c>
      <c r="X50" s="72" t="s">
        <v>638</v>
      </c>
      <c r="Y50" s="72" t="s">
        <v>638</v>
      </c>
      <c r="Z50" s="72" t="s">
        <v>638</v>
      </c>
      <c r="AA50" s="72" t="s">
        <v>738</v>
      </c>
      <c r="AB50" s="72"/>
      <c r="AC50" s="72"/>
      <c r="AD50" s="72"/>
      <c r="AE50" s="70"/>
      <c r="AF50" s="70"/>
      <c r="AG50" s="70"/>
    </row>
    <row r="51" spans="1:33" x14ac:dyDescent="0.25">
      <c r="A51" s="72">
        <v>104591</v>
      </c>
      <c r="B51" s="72" t="s">
        <v>277</v>
      </c>
      <c r="C51" s="72" t="s">
        <v>673</v>
      </c>
      <c r="D51" s="72" t="s">
        <v>675</v>
      </c>
      <c r="E51" s="72" t="s">
        <v>11</v>
      </c>
      <c r="F51" s="72" t="s">
        <v>641</v>
      </c>
      <c r="G51" s="72" t="s">
        <v>277</v>
      </c>
      <c r="H51" s="72"/>
      <c r="I51" s="73">
        <v>43004.443784722222</v>
      </c>
      <c r="J51" s="72" t="s">
        <v>574</v>
      </c>
      <c r="K51" s="72" t="s">
        <v>573</v>
      </c>
      <c r="L51" s="72" t="s">
        <v>641</v>
      </c>
      <c r="M51" s="73">
        <v>42990.316747685189</v>
      </c>
      <c r="N51" s="72" t="s">
        <v>312</v>
      </c>
      <c r="O51" s="72" t="s">
        <v>308</v>
      </c>
      <c r="P51" s="72" t="s">
        <v>12</v>
      </c>
      <c r="Q51" s="72" t="s">
        <v>13</v>
      </c>
      <c r="R51" s="72" t="s">
        <v>35</v>
      </c>
      <c r="S51" s="72" t="s">
        <v>638</v>
      </c>
      <c r="T51" s="72" t="s">
        <v>516</v>
      </c>
      <c r="U51" s="72"/>
      <c r="V51" s="72" t="s">
        <v>81</v>
      </c>
      <c r="W51" s="72" t="s">
        <v>677</v>
      </c>
      <c r="X51" s="72" t="s">
        <v>188</v>
      </c>
      <c r="Y51" s="72" t="s">
        <v>638</v>
      </c>
      <c r="Z51" s="72" t="s">
        <v>638</v>
      </c>
      <c r="AA51" s="72"/>
      <c r="AB51" s="72"/>
      <c r="AC51" s="72"/>
      <c r="AD51" s="72"/>
      <c r="AE51" s="70"/>
      <c r="AF51" s="70"/>
      <c r="AG51" s="70"/>
    </row>
    <row r="52" spans="1:33" x14ac:dyDescent="0.25">
      <c r="A52" s="72">
        <v>104598</v>
      </c>
      <c r="B52" s="72" t="s">
        <v>277</v>
      </c>
      <c r="C52" s="72" t="s">
        <v>273</v>
      </c>
      <c r="D52" s="72" t="s">
        <v>739</v>
      </c>
      <c r="E52" s="72" t="s">
        <v>2</v>
      </c>
      <c r="F52" s="72" t="s">
        <v>641</v>
      </c>
      <c r="G52" s="72" t="s">
        <v>277</v>
      </c>
      <c r="H52" s="72"/>
      <c r="I52" s="73">
        <v>43000.443495370368</v>
      </c>
      <c r="J52" s="72" t="s">
        <v>574</v>
      </c>
      <c r="K52" s="72" t="s">
        <v>573</v>
      </c>
      <c r="L52" s="72" t="s">
        <v>509</v>
      </c>
      <c r="M52" s="73">
        <v>42990.452499999999</v>
      </c>
      <c r="N52" s="72" t="s">
        <v>306</v>
      </c>
      <c r="O52" s="72" t="s">
        <v>282</v>
      </c>
      <c r="P52" s="72" t="s">
        <v>17</v>
      </c>
      <c r="Q52" s="72" t="s">
        <v>13</v>
      </c>
      <c r="R52" s="72" t="s">
        <v>239</v>
      </c>
      <c r="S52" s="72" t="s">
        <v>638</v>
      </c>
      <c r="T52" s="72" t="s">
        <v>516</v>
      </c>
      <c r="U52" s="72"/>
      <c r="V52" s="72" t="s">
        <v>81</v>
      </c>
      <c r="W52" s="72" t="s">
        <v>677</v>
      </c>
      <c r="X52" s="72" t="s">
        <v>188</v>
      </c>
      <c r="Y52" s="72" t="s">
        <v>638</v>
      </c>
      <c r="Z52" s="72" t="s">
        <v>544</v>
      </c>
      <c r="AA52" s="72"/>
      <c r="AB52" s="72"/>
      <c r="AC52" s="72"/>
      <c r="AD52" s="72"/>
      <c r="AE52" s="70"/>
      <c r="AF52" s="70"/>
      <c r="AG52" s="70"/>
    </row>
    <row r="53" spans="1:33" x14ac:dyDescent="0.25">
      <c r="A53" s="72">
        <v>104599</v>
      </c>
      <c r="B53" s="72" t="s">
        <v>277</v>
      </c>
      <c r="C53" s="72" t="s">
        <v>273</v>
      </c>
      <c r="D53" s="72" t="s">
        <v>740</v>
      </c>
      <c r="E53" s="72" t="s">
        <v>2</v>
      </c>
      <c r="F53" s="72" t="s">
        <v>690</v>
      </c>
      <c r="G53" s="72" t="s">
        <v>277</v>
      </c>
      <c r="H53" s="72"/>
      <c r="I53" s="73">
        <v>43003.657129629632</v>
      </c>
      <c r="J53" s="72" t="s">
        <v>574</v>
      </c>
      <c r="K53" s="72" t="s">
        <v>573</v>
      </c>
      <c r="L53" s="72" t="s">
        <v>509</v>
      </c>
      <c r="M53" s="73">
        <v>42990.453217592592</v>
      </c>
      <c r="N53" s="72" t="s">
        <v>306</v>
      </c>
      <c r="O53" s="72" t="s">
        <v>691</v>
      </c>
      <c r="P53" s="72" t="s">
        <v>17</v>
      </c>
      <c r="Q53" s="72" t="s">
        <v>13</v>
      </c>
      <c r="R53" s="72" t="s">
        <v>239</v>
      </c>
      <c r="S53" s="72" t="s">
        <v>638</v>
      </c>
      <c r="T53" s="72" t="s">
        <v>516</v>
      </c>
      <c r="U53" s="72"/>
      <c r="V53" s="72" t="s">
        <v>81</v>
      </c>
      <c r="W53" s="72" t="s">
        <v>692</v>
      </c>
      <c r="X53" s="72" t="s">
        <v>638</v>
      </c>
      <c r="Y53" s="72" t="s">
        <v>638</v>
      </c>
      <c r="Z53" s="72" t="s">
        <v>544</v>
      </c>
      <c r="AA53" s="72"/>
      <c r="AB53" s="72"/>
      <c r="AC53" s="72"/>
      <c r="AD53" s="72"/>
      <c r="AE53" s="70"/>
      <c r="AF53" s="70"/>
      <c r="AG53" s="70"/>
    </row>
    <row r="54" spans="1:33" x14ac:dyDescent="0.25">
      <c r="A54" s="72">
        <v>104601</v>
      </c>
      <c r="B54" s="72" t="s">
        <v>277</v>
      </c>
      <c r="C54" s="72" t="s">
        <v>661</v>
      </c>
      <c r="D54" s="72" t="s">
        <v>741</v>
      </c>
      <c r="E54" s="72" t="s">
        <v>11</v>
      </c>
      <c r="F54" s="72" t="s">
        <v>690</v>
      </c>
      <c r="G54" s="72" t="s">
        <v>287</v>
      </c>
      <c r="H54" s="72"/>
      <c r="I54" s="73">
        <v>42992.147013888891</v>
      </c>
      <c r="J54" s="72" t="s">
        <v>574</v>
      </c>
      <c r="K54" s="72" t="s">
        <v>573</v>
      </c>
      <c r="L54" s="72" t="s">
        <v>635</v>
      </c>
      <c r="M54" s="73">
        <v>42990.48940972222</v>
      </c>
      <c r="N54" s="72" t="s">
        <v>16</v>
      </c>
      <c r="O54" s="72" t="s">
        <v>282</v>
      </c>
      <c r="P54" s="72" t="s">
        <v>17</v>
      </c>
      <c r="Q54" s="72" t="s">
        <v>13</v>
      </c>
      <c r="R54" s="72" t="s">
        <v>19</v>
      </c>
      <c r="S54" s="72" t="s">
        <v>638</v>
      </c>
      <c r="T54" s="72" t="s">
        <v>88</v>
      </c>
      <c r="U54" s="72"/>
      <c r="V54" s="72" t="s">
        <v>81</v>
      </c>
      <c r="W54" s="72" t="s">
        <v>737</v>
      </c>
      <c r="X54" s="72" t="s">
        <v>638</v>
      </c>
      <c r="Y54" s="72" t="s">
        <v>638</v>
      </c>
      <c r="Z54" s="72" t="s">
        <v>638</v>
      </c>
      <c r="AA54" s="75">
        <v>1320418520</v>
      </c>
      <c r="AB54" s="72"/>
      <c r="AC54" s="72"/>
      <c r="AD54" s="72"/>
      <c r="AE54" s="70"/>
      <c r="AF54" s="70"/>
      <c r="AG54" s="70"/>
    </row>
    <row r="55" spans="1:33" x14ac:dyDescent="0.25">
      <c r="A55" s="72">
        <v>104637</v>
      </c>
      <c r="B55" s="72" t="s">
        <v>277</v>
      </c>
      <c r="C55" s="72" t="s">
        <v>517</v>
      </c>
      <c r="D55" s="72" t="s">
        <v>786</v>
      </c>
      <c r="E55" s="72" t="s">
        <v>11</v>
      </c>
      <c r="F55" s="72" t="s">
        <v>751</v>
      </c>
      <c r="G55" s="72" t="s">
        <v>517</v>
      </c>
      <c r="H55" s="72" t="s">
        <v>787</v>
      </c>
      <c r="I55" s="73">
        <v>42998.571817129632</v>
      </c>
      <c r="J55" s="72" t="s">
        <v>578</v>
      </c>
      <c r="K55" s="72" t="s">
        <v>575</v>
      </c>
      <c r="L55" s="72" t="s">
        <v>641</v>
      </c>
      <c r="M55" s="73">
        <v>42991.31894675926</v>
      </c>
      <c r="N55" s="72" t="s">
        <v>114</v>
      </c>
      <c r="O55" s="72"/>
      <c r="P55" s="72" t="s">
        <v>6</v>
      </c>
      <c r="Q55" s="72" t="s">
        <v>13</v>
      </c>
      <c r="R55" s="72" t="s">
        <v>19</v>
      </c>
      <c r="S55" s="72" t="s">
        <v>638</v>
      </c>
      <c r="T55" s="72" t="s">
        <v>88</v>
      </c>
      <c r="U55" s="72"/>
      <c r="V55" s="72" t="s">
        <v>112</v>
      </c>
      <c r="W55" s="72" t="s">
        <v>638</v>
      </c>
      <c r="X55" s="72" t="s">
        <v>638</v>
      </c>
      <c r="Y55" s="72" t="s">
        <v>638</v>
      </c>
      <c r="Z55" s="72" t="s">
        <v>638</v>
      </c>
      <c r="AA55" s="72"/>
      <c r="AB55" s="72"/>
      <c r="AC55" s="72"/>
      <c r="AD55" s="72"/>
      <c r="AE55" s="70"/>
      <c r="AF55" s="70"/>
      <c r="AG55" s="70"/>
    </row>
    <row r="56" spans="1:33" x14ac:dyDescent="0.25">
      <c r="A56" s="72">
        <v>104649</v>
      </c>
      <c r="B56" s="72" t="s">
        <v>277</v>
      </c>
      <c r="C56" s="72" t="s">
        <v>742</v>
      </c>
      <c r="D56" s="72" t="s">
        <v>743</v>
      </c>
      <c r="E56" s="72" t="s">
        <v>316</v>
      </c>
      <c r="F56" s="72" t="s">
        <v>690</v>
      </c>
      <c r="G56" s="72" t="s">
        <v>320</v>
      </c>
      <c r="H56" s="72"/>
      <c r="I56" s="73">
        <v>43003.36246527778</v>
      </c>
      <c r="J56" s="72" t="s">
        <v>578</v>
      </c>
      <c r="K56" s="72" t="s">
        <v>573</v>
      </c>
      <c r="L56" s="72" t="s">
        <v>26</v>
      </c>
      <c r="M56" s="73">
        <v>42991.594548611109</v>
      </c>
      <c r="N56" s="72" t="s">
        <v>510</v>
      </c>
      <c r="O56" s="72"/>
      <c r="P56" s="72" t="s">
        <v>12</v>
      </c>
      <c r="Q56" s="72" t="s">
        <v>13</v>
      </c>
      <c r="R56" s="72" t="s">
        <v>19</v>
      </c>
      <c r="S56" s="72" t="s">
        <v>638</v>
      </c>
      <c r="T56" s="72" t="s">
        <v>516</v>
      </c>
      <c r="U56" s="72"/>
      <c r="V56" s="72" t="s">
        <v>102</v>
      </c>
      <c r="W56" s="72" t="s">
        <v>737</v>
      </c>
      <c r="X56" s="72" t="s">
        <v>638</v>
      </c>
      <c r="Y56" s="72" t="s">
        <v>638</v>
      </c>
      <c r="Z56" s="72" t="s">
        <v>638</v>
      </c>
      <c r="AA56" s="72"/>
      <c r="AB56" s="72"/>
      <c r="AC56" s="72"/>
      <c r="AD56" s="72"/>
      <c r="AE56" s="70"/>
      <c r="AF56" s="70"/>
      <c r="AG56" s="70"/>
    </row>
    <row r="57" spans="1:33" x14ac:dyDescent="0.25">
      <c r="A57" s="72">
        <v>104688</v>
      </c>
      <c r="B57" s="72" t="s">
        <v>277</v>
      </c>
      <c r="C57" s="72" t="s">
        <v>277</v>
      </c>
      <c r="D57" s="72" t="s">
        <v>788</v>
      </c>
      <c r="E57" s="72" t="s">
        <v>2</v>
      </c>
      <c r="F57" s="72" t="s">
        <v>690</v>
      </c>
      <c r="G57" s="72" t="s">
        <v>789</v>
      </c>
      <c r="H57" s="72"/>
      <c r="I57" s="73">
        <v>43000.68037037037</v>
      </c>
      <c r="J57" s="72" t="s">
        <v>578</v>
      </c>
      <c r="K57" s="72" t="s">
        <v>576</v>
      </c>
      <c r="L57" s="72" t="s">
        <v>641</v>
      </c>
      <c r="M57" s="73">
        <v>42992.222777777781</v>
      </c>
      <c r="N57" s="72" t="s">
        <v>510</v>
      </c>
      <c r="O57" s="72"/>
      <c r="P57" s="72" t="s">
        <v>522</v>
      </c>
      <c r="Q57" s="72" t="s">
        <v>13</v>
      </c>
      <c r="R57" s="72" t="s">
        <v>239</v>
      </c>
      <c r="S57" s="72" t="s">
        <v>638</v>
      </c>
      <c r="T57" s="72" t="s">
        <v>26</v>
      </c>
      <c r="U57" s="72"/>
      <c r="V57" s="72" t="s">
        <v>81</v>
      </c>
      <c r="W57" s="72" t="s">
        <v>638</v>
      </c>
      <c r="X57" s="72" t="s">
        <v>638</v>
      </c>
      <c r="Y57" s="72" t="s">
        <v>638</v>
      </c>
      <c r="Z57" s="72" t="s">
        <v>638</v>
      </c>
      <c r="AA57" s="72"/>
      <c r="AB57" s="72"/>
      <c r="AC57" s="72"/>
      <c r="AD57" s="72"/>
      <c r="AE57" s="70"/>
      <c r="AF57" s="70"/>
      <c r="AG57" s="70"/>
    </row>
    <row r="58" spans="1:33" x14ac:dyDescent="0.25">
      <c r="A58" s="72">
        <v>104695</v>
      </c>
      <c r="B58" s="72" t="s">
        <v>277</v>
      </c>
      <c r="C58" s="72" t="s">
        <v>541</v>
      </c>
      <c r="D58" s="72" t="s">
        <v>744</v>
      </c>
      <c r="E58" s="72" t="s">
        <v>11</v>
      </c>
      <c r="F58" s="72" t="s">
        <v>641</v>
      </c>
      <c r="G58" s="72" t="s">
        <v>363</v>
      </c>
      <c r="H58" s="72"/>
      <c r="I58" s="73">
        <v>43000.678541666668</v>
      </c>
      <c r="J58" s="72" t="s">
        <v>578</v>
      </c>
      <c r="K58" s="72" t="s">
        <v>573</v>
      </c>
      <c r="L58" s="72" t="s">
        <v>641</v>
      </c>
      <c r="M58" s="73">
        <v>42992.268738425926</v>
      </c>
      <c r="N58" s="72" t="s">
        <v>83</v>
      </c>
      <c r="O58" s="72"/>
      <c r="P58" s="72" t="s">
        <v>12</v>
      </c>
      <c r="Q58" s="72" t="s">
        <v>13</v>
      </c>
      <c r="R58" s="72" t="s">
        <v>745</v>
      </c>
      <c r="S58" s="72" t="s">
        <v>638</v>
      </c>
      <c r="T58" s="72" t="s">
        <v>88</v>
      </c>
      <c r="U58" s="72"/>
      <c r="V58" s="72" t="s">
        <v>81</v>
      </c>
      <c r="W58" s="72" t="s">
        <v>638</v>
      </c>
      <c r="X58" s="72" t="s">
        <v>638</v>
      </c>
      <c r="Y58" s="72" t="s">
        <v>638</v>
      </c>
      <c r="Z58" s="72" t="s">
        <v>638</v>
      </c>
      <c r="AA58" s="72"/>
      <c r="AB58" s="72"/>
      <c r="AC58" s="72"/>
      <c r="AD58" s="72"/>
      <c r="AE58" s="70"/>
      <c r="AF58" s="70"/>
      <c r="AG58" s="70"/>
    </row>
    <row r="59" spans="1:33" x14ac:dyDescent="0.25">
      <c r="A59" s="72">
        <v>104712</v>
      </c>
      <c r="B59" s="72" t="s">
        <v>277</v>
      </c>
      <c r="C59" s="72" t="s">
        <v>274</v>
      </c>
      <c r="D59" s="72" t="s">
        <v>790</v>
      </c>
      <c r="E59" s="72" t="s">
        <v>2</v>
      </c>
      <c r="F59" s="72" t="s">
        <v>156</v>
      </c>
      <c r="G59" s="72" t="s">
        <v>274</v>
      </c>
      <c r="H59" s="72" t="s">
        <v>791</v>
      </c>
      <c r="I59" s="73">
        <v>43004.600335648145</v>
      </c>
      <c r="J59" s="72" t="s">
        <v>578</v>
      </c>
      <c r="K59" s="72" t="s">
        <v>575</v>
      </c>
      <c r="L59" s="72" t="s">
        <v>509</v>
      </c>
      <c r="M59" s="73">
        <v>42992.467175925929</v>
      </c>
      <c r="N59" s="72" t="s">
        <v>676</v>
      </c>
      <c r="O59" s="72"/>
      <c r="P59" s="72" t="s">
        <v>17</v>
      </c>
      <c r="Q59" s="72" t="s">
        <v>13</v>
      </c>
      <c r="R59" s="72" t="s">
        <v>19</v>
      </c>
      <c r="S59" s="72" t="s">
        <v>638</v>
      </c>
      <c r="T59" s="72" t="s">
        <v>516</v>
      </c>
      <c r="U59" s="72"/>
      <c r="V59" s="72" t="s">
        <v>81</v>
      </c>
      <c r="W59" s="72" t="s">
        <v>638</v>
      </c>
      <c r="X59" s="72" t="s">
        <v>638</v>
      </c>
      <c r="Y59" s="72" t="s">
        <v>638</v>
      </c>
      <c r="Z59" s="72" t="s">
        <v>638</v>
      </c>
      <c r="AA59" s="72"/>
      <c r="AB59" s="72"/>
      <c r="AC59" s="72"/>
      <c r="AD59" s="72"/>
      <c r="AE59" s="70"/>
      <c r="AF59" s="70"/>
      <c r="AG59" s="70"/>
    </row>
    <row r="60" spans="1:33" x14ac:dyDescent="0.25">
      <c r="A60" s="72">
        <v>104726</v>
      </c>
      <c r="B60" s="72" t="s">
        <v>277</v>
      </c>
      <c r="C60" s="72" t="s">
        <v>305</v>
      </c>
      <c r="D60" s="72" t="s">
        <v>792</v>
      </c>
      <c r="E60" s="72" t="s">
        <v>2</v>
      </c>
      <c r="F60" s="72" t="s">
        <v>668</v>
      </c>
      <c r="G60" s="72" t="s">
        <v>513</v>
      </c>
      <c r="H60" s="72"/>
      <c r="I60" s="73">
        <v>43004.332777777781</v>
      </c>
      <c r="J60" s="72" t="s">
        <v>574</v>
      </c>
      <c r="K60" s="72" t="s">
        <v>593</v>
      </c>
      <c r="L60" s="72" t="s">
        <v>509</v>
      </c>
      <c r="M60" s="73">
        <v>42992.793043981481</v>
      </c>
      <c r="N60" s="72" t="s">
        <v>306</v>
      </c>
      <c r="O60" s="72"/>
      <c r="P60" s="72" t="s">
        <v>6</v>
      </c>
      <c r="Q60" s="72" t="s">
        <v>13</v>
      </c>
      <c r="R60" s="72" t="s">
        <v>793</v>
      </c>
      <c r="S60" s="72" t="s">
        <v>638</v>
      </c>
      <c r="T60" s="72" t="s">
        <v>26</v>
      </c>
      <c r="U60" s="72"/>
      <c r="V60" s="72" t="s">
        <v>81</v>
      </c>
      <c r="W60" s="72" t="s">
        <v>638</v>
      </c>
      <c r="X60" s="72" t="s">
        <v>638</v>
      </c>
      <c r="Y60" s="72" t="s">
        <v>638</v>
      </c>
      <c r="Z60" s="72" t="s">
        <v>638</v>
      </c>
      <c r="AA60" s="72"/>
      <c r="AB60" s="72"/>
      <c r="AC60" s="72"/>
      <c r="AD60" s="72"/>
      <c r="AE60" s="70"/>
      <c r="AF60" s="70"/>
      <c r="AG60" s="70"/>
    </row>
    <row r="61" spans="1:33" x14ac:dyDescent="0.25">
      <c r="A61" s="72">
        <v>104810</v>
      </c>
      <c r="B61" s="72" t="s">
        <v>277</v>
      </c>
      <c r="C61" s="72" t="s">
        <v>730</v>
      </c>
      <c r="D61" s="72" t="s">
        <v>794</v>
      </c>
      <c r="E61" s="72" t="s">
        <v>11</v>
      </c>
      <c r="F61" s="72" t="s">
        <v>641</v>
      </c>
      <c r="G61" s="72" t="s">
        <v>730</v>
      </c>
      <c r="H61" s="72" t="s">
        <v>795</v>
      </c>
      <c r="I61" s="73">
        <v>43000.678206018521</v>
      </c>
      <c r="J61" s="72" t="s">
        <v>578</v>
      </c>
      <c r="K61" s="72" t="s">
        <v>575</v>
      </c>
      <c r="L61" s="72" t="s">
        <v>641</v>
      </c>
      <c r="M61" s="73">
        <v>42994.138668981483</v>
      </c>
      <c r="N61" s="72" t="s">
        <v>42</v>
      </c>
      <c r="O61" s="72"/>
      <c r="P61" s="72" t="s">
        <v>6</v>
      </c>
      <c r="Q61" s="72" t="s">
        <v>13</v>
      </c>
      <c r="R61" s="72" t="s">
        <v>27</v>
      </c>
      <c r="S61" s="72" t="s">
        <v>638</v>
      </c>
      <c r="T61" s="72" t="s">
        <v>26</v>
      </c>
      <c r="U61" s="72"/>
      <c r="V61" s="72" t="s">
        <v>112</v>
      </c>
      <c r="W61" s="72" t="s">
        <v>638</v>
      </c>
      <c r="X61" s="72" t="s">
        <v>638</v>
      </c>
      <c r="Y61" s="72" t="s">
        <v>638</v>
      </c>
      <c r="Z61" s="72" t="s">
        <v>638</v>
      </c>
      <c r="AA61" s="72"/>
      <c r="AB61" s="72"/>
      <c r="AC61" s="72"/>
      <c r="AD61" s="72"/>
      <c r="AE61" s="70"/>
      <c r="AF61" s="70"/>
      <c r="AG61" s="70"/>
    </row>
    <row r="62" spans="1:33" x14ac:dyDescent="0.25">
      <c r="A62" s="72">
        <v>104825</v>
      </c>
      <c r="B62" s="72" t="s">
        <v>277</v>
      </c>
      <c r="C62" s="72" t="s">
        <v>285</v>
      </c>
      <c r="D62" s="72" t="s">
        <v>796</v>
      </c>
      <c r="E62" s="72" t="s">
        <v>316</v>
      </c>
      <c r="F62" s="72" t="s">
        <v>690</v>
      </c>
      <c r="G62" s="72" t="s">
        <v>789</v>
      </c>
      <c r="H62" s="72"/>
      <c r="I62" s="73">
        <v>42997.330196759256</v>
      </c>
      <c r="J62" s="72" t="s">
        <v>578</v>
      </c>
      <c r="K62" s="72" t="s">
        <v>593</v>
      </c>
      <c r="L62" s="72" t="s">
        <v>26</v>
      </c>
      <c r="M62" s="73">
        <v>42996.111944444441</v>
      </c>
      <c r="N62" s="72" t="s">
        <v>510</v>
      </c>
      <c r="O62" s="72"/>
      <c r="P62" s="72" t="s">
        <v>522</v>
      </c>
      <c r="Q62" s="72" t="s">
        <v>13</v>
      </c>
      <c r="R62" s="72" t="s">
        <v>19</v>
      </c>
      <c r="S62" s="72" t="s">
        <v>638</v>
      </c>
      <c r="T62" s="72" t="s">
        <v>516</v>
      </c>
      <c r="U62" s="72"/>
      <c r="V62" s="72" t="s">
        <v>102</v>
      </c>
      <c r="W62" s="72" t="s">
        <v>638</v>
      </c>
      <c r="X62" s="72" t="s">
        <v>638</v>
      </c>
      <c r="Y62" s="72" t="s">
        <v>638</v>
      </c>
      <c r="Z62" s="72" t="s">
        <v>638</v>
      </c>
      <c r="AA62" s="72"/>
      <c r="AB62" s="72"/>
      <c r="AC62" s="72"/>
      <c r="AD62" s="72"/>
      <c r="AE62" s="70"/>
      <c r="AF62" s="70"/>
      <c r="AG62" s="70"/>
    </row>
    <row r="63" spans="1:33" x14ac:dyDescent="0.25">
      <c r="A63" s="72">
        <v>104893</v>
      </c>
      <c r="B63" s="72" t="s">
        <v>277</v>
      </c>
      <c r="C63" s="72" t="s">
        <v>285</v>
      </c>
      <c r="D63" s="72" t="s">
        <v>681</v>
      </c>
      <c r="E63" s="72" t="s">
        <v>2</v>
      </c>
      <c r="F63" s="72" t="s">
        <v>668</v>
      </c>
      <c r="G63" s="72" t="s">
        <v>277</v>
      </c>
      <c r="H63" s="72"/>
      <c r="I63" s="73">
        <v>43004.600347222222</v>
      </c>
      <c r="J63" s="72" t="s">
        <v>578</v>
      </c>
      <c r="K63" s="72" t="s">
        <v>575</v>
      </c>
      <c r="L63" s="72" t="s">
        <v>509</v>
      </c>
      <c r="M63" s="73">
        <v>42997.320231481484</v>
      </c>
      <c r="N63" s="72" t="s">
        <v>676</v>
      </c>
      <c r="O63" s="72" t="s">
        <v>282</v>
      </c>
      <c r="P63" s="72" t="s">
        <v>12</v>
      </c>
      <c r="Q63" s="72" t="s">
        <v>13</v>
      </c>
      <c r="R63" s="72" t="s">
        <v>19</v>
      </c>
      <c r="S63" s="72" t="s">
        <v>638</v>
      </c>
      <c r="T63" s="72" t="s">
        <v>516</v>
      </c>
      <c r="U63" s="72"/>
      <c r="V63" s="72" t="s">
        <v>81</v>
      </c>
      <c r="W63" s="72" t="s">
        <v>638</v>
      </c>
      <c r="X63" s="72" t="s">
        <v>638</v>
      </c>
      <c r="Y63" s="72" t="s">
        <v>638</v>
      </c>
      <c r="Z63" s="72" t="s">
        <v>638</v>
      </c>
      <c r="AA63" s="72"/>
      <c r="AB63" s="72"/>
      <c r="AC63" s="72"/>
      <c r="AD63" s="72"/>
      <c r="AE63" s="70"/>
      <c r="AF63" s="70"/>
      <c r="AG63" s="70"/>
    </row>
    <row r="64" spans="1:33" x14ac:dyDescent="0.25">
      <c r="A64" s="72">
        <v>104894</v>
      </c>
      <c r="B64" s="72" t="s">
        <v>277</v>
      </c>
      <c r="C64" s="72" t="s">
        <v>673</v>
      </c>
      <c r="D64" s="72" t="s">
        <v>678</v>
      </c>
      <c r="E64" s="72" t="s">
        <v>2</v>
      </c>
      <c r="F64" s="72" t="s">
        <v>641</v>
      </c>
      <c r="G64" s="72" t="s">
        <v>277</v>
      </c>
      <c r="H64" s="72"/>
      <c r="I64" s="73">
        <v>43004.600358796299</v>
      </c>
      <c r="J64" s="72" t="s">
        <v>578</v>
      </c>
      <c r="K64" s="72" t="s">
        <v>575</v>
      </c>
      <c r="L64" s="72" t="s">
        <v>509</v>
      </c>
      <c r="M64" s="73">
        <v>42997.32135416667</v>
      </c>
      <c r="N64" s="72" t="s">
        <v>676</v>
      </c>
      <c r="O64" s="72" t="s">
        <v>282</v>
      </c>
      <c r="P64" s="72" t="s">
        <v>17</v>
      </c>
      <c r="Q64" s="72" t="s">
        <v>13</v>
      </c>
      <c r="R64" s="72" t="s">
        <v>19</v>
      </c>
      <c r="S64" s="72" t="s">
        <v>638</v>
      </c>
      <c r="T64" s="72" t="s">
        <v>516</v>
      </c>
      <c r="U64" s="72"/>
      <c r="V64" s="72" t="s">
        <v>81</v>
      </c>
      <c r="W64" s="72" t="s">
        <v>638</v>
      </c>
      <c r="X64" s="72" t="s">
        <v>638</v>
      </c>
      <c r="Y64" s="72" t="s">
        <v>638</v>
      </c>
      <c r="Z64" s="72" t="s">
        <v>638</v>
      </c>
      <c r="AA64" s="72"/>
      <c r="AB64" s="72"/>
      <c r="AC64" s="72"/>
      <c r="AD64" s="72"/>
      <c r="AE64" s="70"/>
      <c r="AF64" s="70"/>
      <c r="AG64" s="70"/>
    </row>
    <row r="65" spans="1:33" x14ac:dyDescent="0.25">
      <c r="A65" s="72">
        <v>104895</v>
      </c>
      <c r="B65" s="72" t="s">
        <v>277</v>
      </c>
      <c r="C65" s="72" t="s">
        <v>285</v>
      </c>
      <c r="D65" s="72" t="s">
        <v>695</v>
      </c>
      <c r="E65" s="72" t="s">
        <v>2</v>
      </c>
      <c r="F65" s="72" t="s">
        <v>690</v>
      </c>
      <c r="G65" s="72" t="s">
        <v>277</v>
      </c>
      <c r="H65" s="72"/>
      <c r="I65" s="73">
        <v>43004.600358796299</v>
      </c>
      <c r="J65" s="72" t="s">
        <v>578</v>
      </c>
      <c r="K65" s="72" t="s">
        <v>575</v>
      </c>
      <c r="L65" s="72" t="s">
        <v>509</v>
      </c>
      <c r="M65" s="73">
        <v>42997.322002314817</v>
      </c>
      <c r="N65" s="72" t="s">
        <v>676</v>
      </c>
      <c r="O65" s="72" t="s">
        <v>282</v>
      </c>
      <c r="P65" s="72" t="s">
        <v>12</v>
      </c>
      <c r="Q65" s="72" t="s">
        <v>13</v>
      </c>
      <c r="R65" s="72" t="s">
        <v>19</v>
      </c>
      <c r="S65" s="72" t="s">
        <v>638</v>
      </c>
      <c r="T65" s="72" t="s">
        <v>516</v>
      </c>
      <c r="U65" s="72"/>
      <c r="V65" s="72" t="s">
        <v>81</v>
      </c>
      <c r="W65" s="72" t="s">
        <v>638</v>
      </c>
      <c r="X65" s="72" t="s">
        <v>638</v>
      </c>
      <c r="Y65" s="72" t="s">
        <v>638</v>
      </c>
      <c r="Z65" s="72" t="s">
        <v>638</v>
      </c>
      <c r="AA65" s="72"/>
      <c r="AB65" s="72"/>
      <c r="AC65" s="72"/>
      <c r="AD65" s="72"/>
      <c r="AE65" s="70"/>
      <c r="AF65" s="70"/>
      <c r="AG65" s="70"/>
    </row>
    <row r="66" spans="1:33" x14ac:dyDescent="0.25">
      <c r="A66" s="72">
        <v>104908</v>
      </c>
      <c r="B66" s="72" t="s">
        <v>277</v>
      </c>
      <c r="C66" s="72" t="s">
        <v>285</v>
      </c>
      <c r="D66" s="72" t="s">
        <v>746</v>
      </c>
      <c r="E66" s="72" t="s">
        <v>2</v>
      </c>
      <c r="F66" s="72" t="s">
        <v>690</v>
      </c>
      <c r="G66" s="72" t="s">
        <v>272</v>
      </c>
      <c r="H66" s="72"/>
      <c r="I66" s="73">
        <v>42997.70753472222</v>
      </c>
      <c r="J66" s="72" t="s">
        <v>574</v>
      </c>
      <c r="K66" s="72" t="s">
        <v>573</v>
      </c>
      <c r="L66" s="72" t="s">
        <v>299</v>
      </c>
      <c r="M66" s="73">
        <v>42997.703449074077</v>
      </c>
      <c r="N66" s="72" t="s">
        <v>306</v>
      </c>
      <c r="O66" s="72" t="s">
        <v>691</v>
      </c>
      <c r="P66" s="72" t="s">
        <v>6</v>
      </c>
      <c r="Q66" s="72" t="s">
        <v>13</v>
      </c>
      <c r="R66" s="72" t="s">
        <v>19</v>
      </c>
      <c r="S66" s="72" t="s">
        <v>638</v>
      </c>
      <c r="T66" s="72" t="s">
        <v>516</v>
      </c>
      <c r="U66" s="72"/>
      <c r="V66" s="72" t="s">
        <v>81</v>
      </c>
      <c r="W66" s="72" t="s">
        <v>737</v>
      </c>
      <c r="X66" s="72" t="s">
        <v>638</v>
      </c>
      <c r="Y66" s="72" t="s">
        <v>638</v>
      </c>
      <c r="Z66" s="72" t="s">
        <v>638</v>
      </c>
      <c r="AA66" s="72">
        <v>17360</v>
      </c>
      <c r="AB66" s="72"/>
      <c r="AC66" s="72"/>
      <c r="AD66" s="72"/>
      <c r="AE66" s="70"/>
      <c r="AF66" s="70"/>
      <c r="AG66" s="70"/>
    </row>
    <row r="67" spans="1:33" x14ac:dyDescent="0.25">
      <c r="A67" s="72">
        <v>105001</v>
      </c>
      <c r="B67" s="72" t="s">
        <v>277</v>
      </c>
      <c r="C67" s="72" t="s">
        <v>628</v>
      </c>
      <c r="D67" s="72" t="s">
        <v>797</v>
      </c>
      <c r="E67" s="72" t="s">
        <v>2</v>
      </c>
      <c r="F67" s="72" t="s">
        <v>641</v>
      </c>
      <c r="G67" s="72" t="s">
        <v>535</v>
      </c>
      <c r="H67" s="72"/>
      <c r="I67" s="73">
        <v>43002.964837962965</v>
      </c>
      <c r="J67" s="72" t="s">
        <v>578</v>
      </c>
      <c r="K67" s="72" t="s">
        <v>575</v>
      </c>
      <c r="L67" s="72" t="s">
        <v>641</v>
      </c>
      <c r="M67" s="73">
        <v>42999.226701388892</v>
      </c>
      <c r="N67" s="72" t="s">
        <v>312</v>
      </c>
      <c r="O67" s="72"/>
      <c r="P67" s="72" t="s">
        <v>12</v>
      </c>
      <c r="Q67" s="72" t="s">
        <v>13</v>
      </c>
      <c r="R67" s="72" t="s">
        <v>27</v>
      </c>
      <c r="S67" s="72" t="s">
        <v>638</v>
      </c>
      <c r="T67" s="72" t="s">
        <v>26</v>
      </c>
      <c r="U67" s="72"/>
      <c r="V67" s="72" t="s">
        <v>81</v>
      </c>
      <c r="W67" s="72" t="s">
        <v>638</v>
      </c>
      <c r="X67" s="72" t="s">
        <v>638</v>
      </c>
      <c r="Y67" s="72" t="s">
        <v>638</v>
      </c>
      <c r="Z67" s="72" t="s">
        <v>638</v>
      </c>
      <c r="AA67" s="72"/>
      <c r="AB67" s="72"/>
      <c r="AC67" s="72"/>
      <c r="AD67" s="72"/>
      <c r="AE67" s="70"/>
      <c r="AF67" s="70"/>
      <c r="AG67" s="70"/>
    </row>
    <row r="68" spans="1:33" x14ac:dyDescent="0.25">
      <c r="A68" s="72">
        <v>105090</v>
      </c>
      <c r="B68" s="72" t="s">
        <v>277</v>
      </c>
      <c r="C68" s="72" t="s">
        <v>272</v>
      </c>
      <c r="D68" s="72" t="s">
        <v>747</v>
      </c>
      <c r="E68" s="72" t="s">
        <v>316</v>
      </c>
      <c r="F68" s="72" t="s">
        <v>690</v>
      </c>
      <c r="G68" s="72" t="s">
        <v>272</v>
      </c>
      <c r="H68" s="72"/>
      <c r="I68" s="73">
        <v>43003.692071759258</v>
      </c>
      <c r="J68" s="72" t="s">
        <v>574</v>
      </c>
      <c r="K68" s="72" t="s">
        <v>573</v>
      </c>
      <c r="L68" s="72" t="s">
        <v>641</v>
      </c>
      <c r="M68" s="73">
        <v>43000.4065625</v>
      </c>
      <c r="N68" s="72" t="s">
        <v>312</v>
      </c>
      <c r="O68" s="72" t="s">
        <v>691</v>
      </c>
      <c r="P68" s="72" t="s">
        <v>12</v>
      </c>
      <c r="Q68" s="72" t="s">
        <v>13</v>
      </c>
      <c r="R68" s="72" t="s">
        <v>101</v>
      </c>
      <c r="S68" s="72" t="s">
        <v>638</v>
      </c>
      <c r="T68" s="72" t="s">
        <v>516</v>
      </c>
      <c r="U68" s="72"/>
      <c r="V68" s="72" t="s">
        <v>102</v>
      </c>
      <c r="W68" s="72" t="s">
        <v>692</v>
      </c>
      <c r="X68" s="72" t="s">
        <v>638</v>
      </c>
      <c r="Y68" s="72" t="s">
        <v>638</v>
      </c>
      <c r="Z68" s="72" t="s">
        <v>638</v>
      </c>
      <c r="AA68" s="72"/>
      <c r="AB68" s="72"/>
      <c r="AC68" s="72"/>
      <c r="AD68" s="72"/>
      <c r="AE68" s="70"/>
      <c r="AF68" s="70"/>
      <c r="AG68" s="70"/>
    </row>
    <row r="69" spans="1:33" x14ac:dyDescent="0.25">
      <c r="A69" s="72">
        <v>105161</v>
      </c>
      <c r="B69" s="72" t="s">
        <v>277</v>
      </c>
      <c r="C69" s="72" t="s">
        <v>277</v>
      </c>
      <c r="D69" s="72" t="s">
        <v>798</v>
      </c>
      <c r="E69" s="72" t="s">
        <v>316</v>
      </c>
      <c r="F69" s="72" t="s">
        <v>641</v>
      </c>
      <c r="G69" s="72" t="s">
        <v>789</v>
      </c>
      <c r="H69" s="72"/>
      <c r="I69" s="73">
        <v>43003.358842592592</v>
      </c>
      <c r="J69" s="72" t="s">
        <v>578</v>
      </c>
      <c r="K69" s="72" t="s">
        <v>593</v>
      </c>
      <c r="L69" s="72" t="s">
        <v>26</v>
      </c>
      <c r="M69" s="73">
        <v>43003.21634259259</v>
      </c>
      <c r="N69" s="72" t="s">
        <v>510</v>
      </c>
      <c r="O69" s="72"/>
      <c r="P69" s="72" t="s">
        <v>12</v>
      </c>
      <c r="Q69" s="72" t="s">
        <v>13</v>
      </c>
      <c r="R69" s="72" t="s">
        <v>35</v>
      </c>
      <c r="S69" s="72" t="s">
        <v>638</v>
      </c>
      <c r="T69" s="72" t="s">
        <v>26</v>
      </c>
      <c r="U69" s="72"/>
      <c r="V69" s="72" t="s">
        <v>102</v>
      </c>
      <c r="W69" s="72" t="s">
        <v>638</v>
      </c>
      <c r="X69" s="72" t="s">
        <v>638</v>
      </c>
      <c r="Y69" s="72" t="s">
        <v>638</v>
      </c>
      <c r="Z69" s="72" t="s">
        <v>638</v>
      </c>
      <c r="AA69" s="72"/>
      <c r="AB69" s="72"/>
      <c r="AC69" s="72"/>
      <c r="AD69" s="72"/>
      <c r="AE69" s="70"/>
      <c r="AF69" s="70"/>
      <c r="AG69" s="70"/>
    </row>
    <row r="70" spans="1:33" x14ac:dyDescent="0.25">
      <c r="A70" s="72">
        <v>105175</v>
      </c>
      <c r="B70" s="72" t="s">
        <v>277</v>
      </c>
      <c r="C70" s="72" t="s">
        <v>274</v>
      </c>
      <c r="D70" s="72" t="s">
        <v>685</v>
      </c>
      <c r="E70" s="72" t="s">
        <v>11</v>
      </c>
      <c r="F70" s="72" t="s">
        <v>638</v>
      </c>
      <c r="G70" s="72" t="s">
        <v>664</v>
      </c>
      <c r="H70" s="72"/>
      <c r="I70" s="73">
        <v>43004.421875</v>
      </c>
      <c r="J70" s="72" t="s">
        <v>574</v>
      </c>
      <c r="K70" s="72" t="s">
        <v>575</v>
      </c>
      <c r="L70" s="72" t="s">
        <v>641</v>
      </c>
      <c r="M70" s="73">
        <v>43003.355682870373</v>
      </c>
      <c r="N70" s="72" t="s">
        <v>312</v>
      </c>
      <c r="O70" s="72"/>
      <c r="P70" s="72" t="s">
        <v>12</v>
      </c>
      <c r="Q70" s="72" t="s">
        <v>13</v>
      </c>
      <c r="R70" s="72" t="s">
        <v>239</v>
      </c>
      <c r="S70" s="72" t="s">
        <v>638</v>
      </c>
      <c r="T70" s="72" t="s">
        <v>26</v>
      </c>
      <c r="U70" s="72"/>
      <c r="V70" s="72" t="s">
        <v>81</v>
      </c>
      <c r="W70" s="72" t="s">
        <v>638</v>
      </c>
      <c r="X70" s="72" t="s">
        <v>638</v>
      </c>
      <c r="Y70" s="72" t="s">
        <v>638</v>
      </c>
      <c r="Z70" s="72" t="s">
        <v>638</v>
      </c>
      <c r="AA70" s="72"/>
      <c r="AB70" s="72"/>
      <c r="AC70" s="72"/>
      <c r="AD70" s="72"/>
      <c r="AE70" s="70"/>
      <c r="AF70" s="70"/>
      <c r="AG70" s="70"/>
    </row>
    <row r="71" spans="1:33" x14ac:dyDescent="0.25">
      <c r="A71" s="72"/>
      <c r="B71" s="72"/>
      <c r="C71" s="72"/>
      <c r="D71" s="72"/>
      <c r="E71" s="72"/>
      <c r="F71" s="72"/>
      <c r="G71" s="72"/>
      <c r="H71" s="72"/>
      <c r="I71" s="72"/>
      <c r="J71" s="72"/>
      <c r="K71" s="72"/>
      <c r="L71" s="72"/>
      <c r="M71" s="72"/>
      <c r="N71" s="72"/>
      <c r="O71" s="72"/>
      <c r="P71" s="72"/>
      <c r="Q71" s="72"/>
      <c r="R71" s="72"/>
      <c r="S71" s="72"/>
      <c r="T71" s="72"/>
      <c r="U71" s="72"/>
      <c r="V71" s="72"/>
      <c r="W71" s="72"/>
      <c r="X71" s="72"/>
      <c r="Y71" s="72"/>
      <c r="Z71" s="72"/>
      <c r="AA71" s="72"/>
      <c r="AB71" s="72"/>
      <c r="AC71" s="72"/>
      <c r="AD71" s="72"/>
      <c r="AE71" s="70"/>
      <c r="AF71" s="70"/>
      <c r="AG71" s="70"/>
    </row>
    <row r="72" spans="1:33" x14ac:dyDescent="0.25">
      <c r="A72" s="70"/>
      <c r="B72" s="70"/>
      <c r="C72" s="70"/>
      <c r="D72" s="70"/>
      <c r="E72" s="70"/>
      <c r="F72" s="70"/>
      <c r="G72" s="70"/>
      <c r="H72" s="71"/>
      <c r="I72" s="70"/>
      <c r="J72" s="70"/>
      <c r="K72" s="71"/>
      <c r="L72" s="70"/>
      <c r="M72" s="70"/>
      <c r="N72" s="70"/>
      <c r="O72" s="70"/>
      <c r="P72" s="70"/>
      <c r="Q72" s="70"/>
      <c r="R72" s="70"/>
      <c r="S72" s="70"/>
      <c r="T72" s="70"/>
      <c r="U72" s="70"/>
      <c r="V72" s="70"/>
      <c r="W72" s="70"/>
      <c r="X72" s="70"/>
      <c r="Y72" s="70"/>
      <c r="Z72" s="70"/>
      <c r="AA72" s="70"/>
      <c r="AB72" s="70"/>
      <c r="AC72" s="70"/>
      <c r="AD72" s="70"/>
      <c r="AE72" s="70"/>
      <c r="AF72" s="70"/>
      <c r="AG72" s="70"/>
    </row>
    <row r="73" spans="1:33" x14ac:dyDescent="0.25">
      <c r="A73" s="70"/>
      <c r="B73" s="70"/>
      <c r="C73" s="70"/>
      <c r="D73" s="70"/>
      <c r="E73" s="70"/>
      <c r="F73" s="70"/>
      <c r="G73" s="70"/>
      <c r="H73" s="71"/>
      <c r="I73" s="70"/>
      <c r="J73" s="70"/>
      <c r="K73" s="71"/>
      <c r="L73" s="70"/>
      <c r="M73" s="70"/>
      <c r="N73" s="70"/>
      <c r="O73" s="70"/>
      <c r="P73" s="70"/>
      <c r="Q73" s="70"/>
      <c r="R73" s="70"/>
      <c r="S73" s="70"/>
      <c r="T73" s="70"/>
      <c r="U73" s="70"/>
      <c r="V73" s="70"/>
      <c r="W73" s="70"/>
      <c r="X73" s="70"/>
      <c r="Y73" s="70"/>
      <c r="Z73" s="70"/>
      <c r="AA73" s="70"/>
      <c r="AB73" s="70"/>
      <c r="AC73" s="70"/>
      <c r="AD73" s="70"/>
      <c r="AE73" s="70"/>
      <c r="AF73" s="70"/>
      <c r="AG73" s="70"/>
    </row>
    <row r="74" spans="1:33" x14ac:dyDescent="0.25">
      <c r="A74" s="70"/>
      <c r="B74" s="70"/>
      <c r="C74" s="70"/>
      <c r="D74" s="70"/>
      <c r="E74" s="70"/>
      <c r="F74" s="70"/>
      <c r="G74" s="70"/>
      <c r="H74" s="71"/>
      <c r="I74" s="70"/>
      <c r="J74" s="70"/>
      <c r="K74" s="71"/>
      <c r="L74" s="70"/>
      <c r="M74" s="70"/>
      <c r="N74" s="70"/>
      <c r="O74" s="70"/>
      <c r="P74" s="70"/>
      <c r="Q74" s="70"/>
      <c r="R74" s="70"/>
      <c r="S74" s="70"/>
      <c r="T74" s="70"/>
      <c r="U74" s="70"/>
      <c r="V74" s="70"/>
      <c r="W74" s="70"/>
      <c r="X74" s="70"/>
      <c r="Y74" s="70"/>
      <c r="Z74" s="70"/>
      <c r="AA74" s="70"/>
      <c r="AB74" s="70"/>
      <c r="AC74" s="70"/>
      <c r="AD74" s="70"/>
      <c r="AE74" s="70"/>
      <c r="AF74" s="70"/>
      <c r="AG74" s="70"/>
    </row>
    <row r="75" spans="1:33" x14ac:dyDescent="0.25">
      <c r="A75" s="70"/>
      <c r="B75" s="70"/>
      <c r="C75" s="70"/>
      <c r="D75" s="70"/>
      <c r="E75" s="70"/>
      <c r="F75" s="70"/>
      <c r="G75" s="70"/>
      <c r="H75" s="71"/>
      <c r="I75" s="70"/>
      <c r="J75" s="70"/>
      <c r="K75" s="71"/>
      <c r="L75" s="70"/>
      <c r="M75" s="70"/>
      <c r="N75" s="70"/>
      <c r="O75" s="70"/>
      <c r="P75" s="70"/>
      <c r="Q75" s="70"/>
      <c r="R75" s="70"/>
      <c r="S75" s="70"/>
      <c r="T75" s="70"/>
      <c r="U75" s="70"/>
      <c r="V75" s="70"/>
      <c r="W75" s="70"/>
      <c r="X75" s="70"/>
      <c r="Y75" s="70"/>
      <c r="Z75" s="70"/>
      <c r="AA75" s="70"/>
      <c r="AB75" s="70"/>
      <c r="AC75" s="70"/>
      <c r="AD75" s="70"/>
      <c r="AE75" s="70"/>
      <c r="AF75" s="70"/>
      <c r="AG75" s="70"/>
    </row>
    <row r="76" spans="1:33" x14ac:dyDescent="0.25">
      <c r="A76" s="70"/>
      <c r="B76" s="70"/>
      <c r="C76" s="70"/>
      <c r="D76" s="70"/>
      <c r="E76" s="70"/>
      <c r="F76" s="70"/>
      <c r="G76" s="70"/>
      <c r="H76" s="71"/>
      <c r="I76" s="70"/>
      <c r="J76" s="70"/>
      <c r="K76" s="71"/>
      <c r="L76" s="70"/>
      <c r="M76" s="70"/>
      <c r="N76" s="70"/>
      <c r="O76" s="70"/>
      <c r="P76" s="70"/>
      <c r="Q76" s="70"/>
      <c r="R76" s="70"/>
      <c r="S76" s="70"/>
      <c r="T76" s="70"/>
      <c r="U76" s="70"/>
      <c r="V76" s="70"/>
      <c r="W76" s="70"/>
      <c r="X76" s="70"/>
      <c r="Y76" s="70"/>
      <c r="Z76" s="70"/>
      <c r="AA76" s="70"/>
      <c r="AB76" s="70"/>
      <c r="AC76" s="70"/>
      <c r="AD76" s="70"/>
      <c r="AE76" s="70"/>
      <c r="AF76" s="70"/>
      <c r="AG76" s="70"/>
    </row>
    <row r="77" spans="1:33" x14ac:dyDescent="0.25">
      <c r="A77" s="70"/>
      <c r="B77" s="70"/>
      <c r="C77" s="70"/>
      <c r="D77" s="70"/>
      <c r="E77" s="70"/>
      <c r="F77" s="70"/>
      <c r="G77" s="70"/>
      <c r="H77" s="71"/>
      <c r="I77" s="70"/>
      <c r="J77" s="70"/>
      <c r="K77" s="71"/>
      <c r="L77" s="70"/>
      <c r="M77" s="70"/>
      <c r="N77" s="70"/>
      <c r="O77" s="70"/>
      <c r="P77" s="70"/>
      <c r="Q77" s="70"/>
      <c r="R77" s="70"/>
      <c r="S77" s="70"/>
      <c r="T77" s="70"/>
      <c r="U77" s="70"/>
      <c r="V77" s="70"/>
      <c r="W77" s="70"/>
      <c r="X77" s="70"/>
      <c r="Y77" s="70"/>
      <c r="Z77" s="70"/>
      <c r="AA77" s="70"/>
      <c r="AB77" s="70"/>
      <c r="AC77" s="70"/>
      <c r="AD77" s="70"/>
      <c r="AE77" s="70"/>
      <c r="AF77" s="70"/>
      <c r="AG77" s="70"/>
    </row>
    <row r="78" spans="1:33" x14ac:dyDescent="0.25">
      <c r="A78" s="70"/>
      <c r="B78" s="70"/>
      <c r="C78" s="70"/>
      <c r="D78" s="70"/>
      <c r="E78" s="70"/>
      <c r="F78" s="70"/>
      <c r="G78" s="70"/>
      <c r="H78" s="71"/>
      <c r="I78" s="70"/>
      <c r="J78" s="70"/>
      <c r="K78" s="71"/>
      <c r="L78" s="70"/>
      <c r="M78" s="70"/>
      <c r="N78" s="70"/>
      <c r="O78" s="70"/>
      <c r="P78" s="70"/>
      <c r="Q78" s="70"/>
      <c r="R78" s="70"/>
      <c r="S78" s="70"/>
      <c r="T78" s="70"/>
      <c r="U78" s="70"/>
      <c r="V78" s="70"/>
      <c r="W78" s="70"/>
      <c r="X78" s="70"/>
      <c r="Y78" s="70"/>
      <c r="Z78" s="70"/>
      <c r="AA78" s="70"/>
      <c r="AB78" s="70"/>
      <c r="AC78" s="70"/>
      <c r="AD78" s="70"/>
      <c r="AE78" s="70"/>
      <c r="AF78" s="70"/>
      <c r="AG78" s="70"/>
    </row>
    <row r="79" spans="1:33" x14ac:dyDescent="0.25">
      <c r="A79" s="70"/>
      <c r="B79" s="70"/>
      <c r="C79" s="70"/>
      <c r="D79" s="70"/>
      <c r="E79" s="70"/>
      <c r="F79" s="70"/>
      <c r="G79" s="70"/>
      <c r="H79" s="71"/>
      <c r="I79" s="70"/>
      <c r="J79" s="70"/>
      <c r="K79" s="71"/>
      <c r="L79" s="70"/>
      <c r="M79" s="70"/>
      <c r="N79" s="70"/>
      <c r="O79" s="70"/>
      <c r="P79" s="70"/>
      <c r="Q79" s="70"/>
      <c r="R79" s="70"/>
      <c r="S79" s="70"/>
      <c r="T79" s="70"/>
      <c r="U79" s="70"/>
      <c r="V79" s="70"/>
      <c r="W79" s="70"/>
      <c r="X79" s="70"/>
      <c r="Y79" s="70"/>
      <c r="Z79" s="70"/>
      <c r="AA79" s="70"/>
      <c r="AB79" s="70"/>
      <c r="AC79" s="70"/>
      <c r="AD79" s="70"/>
      <c r="AE79" s="70"/>
      <c r="AF79" s="70"/>
      <c r="AG79" s="70"/>
    </row>
    <row r="80" spans="1:33" x14ac:dyDescent="0.25">
      <c r="A80" s="70"/>
      <c r="B80" s="70"/>
      <c r="C80" s="70"/>
      <c r="D80" s="70"/>
      <c r="E80" s="70"/>
      <c r="F80" s="70"/>
      <c r="G80" s="70"/>
      <c r="H80" s="71"/>
      <c r="I80" s="70"/>
      <c r="J80" s="70"/>
      <c r="K80" s="71"/>
      <c r="L80" s="70"/>
      <c r="M80" s="70"/>
      <c r="N80" s="70"/>
      <c r="O80" s="70"/>
      <c r="P80" s="70"/>
      <c r="Q80" s="70"/>
      <c r="R80" s="70"/>
      <c r="S80" s="70"/>
      <c r="T80" s="70"/>
      <c r="U80" s="70"/>
      <c r="V80" s="70"/>
      <c r="W80" s="70"/>
      <c r="X80" s="70"/>
      <c r="Y80" s="70"/>
      <c r="Z80" s="70"/>
      <c r="AA80" s="70"/>
      <c r="AB80" s="70"/>
      <c r="AC80" s="70"/>
      <c r="AD80" s="70"/>
      <c r="AE80" s="70"/>
      <c r="AF80" s="70"/>
      <c r="AG80" s="70"/>
    </row>
    <row r="81" spans="1:33" x14ac:dyDescent="0.25">
      <c r="A81" s="70"/>
      <c r="B81" s="70"/>
      <c r="C81" s="70"/>
      <c r="D81" s="70"/>
      <c r="E81" s="70"/>
      <c r="F81" s="70"/>
      <c r="G81" s="70"/>
      <c r="H81" s="71"/>
      <c r="I81" s="70"/>
      <c r="J81" s="70"/>
      <c r="K81" s="71"/>
      <c r="L81" s="70"/>
      <c r="M81" s="70"/>
      <c r="N81" s="70"/>
      <c r="O81" s="70"/>
      <c r="P81" s="70"/>
      <c r="Q81" s="70"/>
      <c r="R81" s="70"/>
      <c r="S81" s="70"/>
      <c r="T81" s="70"/>
      <c r="U81" s="70"/>
      <c r="V81" s="70"/>
      <c r="W81" s="70"/>
      <c r="X81" s="70"/>
      <c r="Y81" s="70"/>
      <c r="Z81" s="70"/>
      <c r="AA81" s="70"/>
      <c r="AB81" s="70"/>
      <c r="AC81" s="70"/>
      <c r="AD81" s="70"/>
      <c r="AE81" s="70"/>
      <c r="AF81" s="70"/>
      <c r="AG81" s="70"/>
    </row>
    <row r="82" spans="1:33" x14ac:dyDescent="0.25">
      <c r="A82" s="70"/>
      <c r="B82" s="70"/>
      <c r="C82" s="70"/>
      <c r="D82" s="70"/>
      <c r="E82" s="70"/>
      <c r="F82" s="70"/>
      <c r="G82" s="70"/>
      <c r="H82" s="71"/>
      <c r="I82" s="70"/>
      <c r="J82" s="70"/>
      <c r="K82" s="71"/>
      <c r="L82" s="70"/>
      <c r="M82" s="70"/>
      <c r="N82" s="70"/>
      <c r="O82" s="70"/>
      <c r="P82" s="70"/>
      <c r="Q82" s="70"/>
      <c r="R82" s="70"/>
      <c r="S82" s="70"/>
      <c r="T82" s="70"/>
      <c r="U82" s="70"/>
      <c r="V82" s="70"/>
      <c r="W82" s="70"/>
      <c r="X82" s="70"/>
      <c r="Y82" s="70"/>
      <c r="Z82" s="70"/>
      <c r="AA82" s="70"/>
      <c r="AB82" s="70"/>
      <c r="AC82" s="70"/>
      <c r="AD82" s="70"/>
      <c r="AE82" s="70"/>
      <c r="AF82" s="70"/>
      <c r="AG82" s="70"/>
    </row>
    <row r="83" spans="1:33" x14ac:dyDescent="0.25">
      <c r="A83" s="70"/>
      <c r="B83" s="70"/>
      <c r="C83" s="70"/>
      <c r="D83" s="70"/>
      <c r="E83" s="70"/>
      <c r="F83" s="70"/>
      <c r="G83" s="70"/>
      <c r="H83" s="71"/>
      <c r="I83" s="70"/>
      <c r="J83" s="70"/>
      <c r="K83" s="71"/>
      <c r="L83" s="70"/>
      <c r="M83" s="70"/>
      <c r="N83" s="70"/>
      <c r="O83" s="70"/>
      <c r="P83" s="70"/>
      <c r="Q83" s="70"/>
      <c r="R83" s="70"/>
      <c r="S83" s="70"/>
      <c r="T83" s="70"/>
      <c r="U83" s="70"/>
      <c r="V83" s="70"/>
      <c r="W83" s="70"/>
      <c r="X83" s="70"/>
      <c r="Y83" s="70"/>
      <c r="Z83" s="70"/>
      <c r="AA83" s="70"/>
      <c r="AB83" s="70"/>
      <c r="AC83" s="70"/>
      <c r="AD83" s="70"/>
      <c r="AE83" s="70"/>
      <c r="AF83" s="70"/>
      <c r="AG83" s="70"/>
    </row>
    <row r="84" spans="1:33" x14ac:dyDescent="0.25">
      <c r="A84" s="70"/>
      <c r="B84" s="70"/>
      <c r="C84" s="70"/>
      <c r="D84" s="70"/>
      <c r="E84" s="70"/>
      <c r="F84" s="70"/>
      <c r="G84" s="70"/>
      <c r="H84" s="71"/>
      <c r="I84" s="70"/>
      <c r="J84" s="70"/>
      <c r="K84" s="71"/>
      <c r="L84" s="70"/>
      <c r="M84" s="70"/>
      <c r="N84" s="70"/>
      <c r="O84" s="70"/>
      <c r="P84" s="70"/>
      <c r="Q84" s="70"/>
      <c r="R84" s="70"/>
      <c r="S84" s="70"/>
      <c r="T84" s="70"/>
      <c r="U84" s="70"/>
      <c r="V84" s="70"/>
      <c r="W84" s="70"/>
      <c r="X84" s="70"/>
      <c r="Y84" s="70"/>
      <c r="Z84" s="70"/>
      <c r="AA84" s="70"/>
      <c r="AB84" s="70"/>
      <c r="AC84" s="70"/>
      <c r="AD84" s="70"/>
      <c r="AE84" s="70"/>
      <c r="AF84" s="70"/>
      <c r="AG84" s="70"/>
    </row>
    <row r="85" spans="1:33" x14ac:dyDescent="0.25">
      <c r="A85" s="70"/>
      <c r="B85" s="70"/>
      <c r="C85" s="70"/>
      <c r="D85" s="70"/>
      <c r="E85" s="70"/>
      <c r="F85" s="70"/>
      <c r="G85" s="70"/>
      <c r="H85" s="71"/>
      <c r="I85" s="70"/>
      <c r="J85" s="70"/>
      <c r="K85" s="71"/>
      <c r="L85" s="70"/>
      <c r="M85" s="70"/>
      <c r="N85" s="70"/>
      <c r="O85" s="70"/>
      <c r="P85" s="70"/>
      <c r="Q85" s="70"/>
      <c r="R85" s="70"/>
      <c r="S85" s="70"/>
      <c r="T85" s="70"/>
      <c r="U85" s="70"/>
      <c r="V85" s="70"/>
      <c r="W85" s="70"/>
      <c r="X85" s="70"/>
      <c r="Y85" s="70"/>
      <c r="Z85" s="70"/>
      <c r="AA85" s="70"/>
      <c r="AB85" s="70"/>
      <c r="AC85" s="70"/>
      <c r="AD85" s="70"/>
      <c r="AE85" s="70"/>
      <c r="AF85" s="70"/>
      <c r="AG85" s="70"/>
    </row>
    <row r="86" spans="1:33" x14ac:dyDescent="0.25">
      <c r="A86" s="70"/>
      <c r="B86" s="70"/>
      <c r="C86" s="70"/>
      <c r="D86" s="70"/>
      <c r="E86" s="70"/>
      <c r="F86" s="70"/>
      <c r="G86" s="70"/>
      <c r="H86" s="71"/>
      <c r="I86" s="70"/>
      <c r="J86" s="70"/>
      <c r="K86" s="71"/>
      <c r="L86" s="70"/>
      <c r="M86" s="70"/>
      <c r="N86" s="70"/>
      <c r="O86" s="70"/>
      <c r="P86" s="70"/>
      <c r="Q86" s="70"/>
      <c r="R86" s="70"/>
      <c r="S86" s="70"/>
      <c r="T86" s="70"/>
      <c r="U86" s="70"/>
      <c r="V86" s="70"/>
      <c r="W86" s="70"/>
      <c r="X86" s="70"/>
      <c r="Y86" s="70"/>
      <c r="Z86" s="70"/>
      <c r="AA86" s="70"/>
      <c r="AB86" s="70"/>
      <c r="AC86" s="70"/>
      <c r="AD86" s="70"/>
      <c r="AE86" s="70"/>
      <c r="AF86" s="70"/>
      <c r="AG86" s="70"/>
    </row>
    <row r="87" spans="1:33" x14ac:dyDescent="0.25">
      <c r="A87" s="70"/>
      <c r="B87" s="70"/>
      <c r="C87" s="70"/>
      <c r="D87" s="70"/>
      <c r="E87" s="70"/>
      <c r="F87" s="70"/>
      <c r="G87" s="70"/>
      <c r="H87" s="71"/>
      <c r="I87" s="70"/>
      <c r="J87" s="70"/>
      <c r="K87" s="71"/>
      <c r="L87" s="70"/>
      <c r="M87" s="70"/>
      <c r="N87" s="70"/>
      <c r="O87" s="70"/>
      <c r="P87" s="70"/>
      <c r="Q87" s="70"/>
      <c r="R87" s="70"/>
      <c r="S87" s="70"/>
      <c r="T87" s="70"/>
      <c r="U87" s="70"/>
      <c r="V87" s="70"/>
      <c r="W87" s="70"/>
      <c r="X87" s="70"/>
      <c r="Y87" s="70"/>
      <c r="Z87" s="70"/>
      <c r="AA87" s="70"/>
      <c r="AB87" s="70"/>
      <c r="AC87" s="70"/>
      <c r="AD87" s="70"/>
      <c r="AE87" s="70"/>
      <c r="AF87" s="70"/>
      <c r="AG87" s="70"/>
    </row>
    <row r="88" spans="1:33" x14ac:dyDescent="0.25">
      <c r="A88" s="70"/>
      <c r="B88" s="70"/>
      <c r="C88" s="70"/>
      <c r="D88" s="70"/>
      <c r="E88" s="70"/>
      <c r="F88" s="70"/>
      <c r="G88" s="70"/>
      <c r="H88" s="71"/>
      <c r="I88" s="70"/>
      <c r="J88" s="70"/>
      <c r="K88" s="71"/>
      <c r="L88" s="70"/>
      <c r="M88" s="70"/>
      <c r="N88" s="70"/>
      <c r="O88" s="70"/>
      <c r="P88" s="70"/>
      <c r="Q88" s="70"/>
      <c r="R88" s="70"/>
      <c r="S88" s="70"/>
      <c r="T88" s="70"/>
      <c r="U88" s="70"/>
      <c r="V88" s="70"/>
      <c r="W88" s="70"/>
      <c r="X88" s="70"/>
      <c r="Y88" s="70"/>
      <c r="Z88" s="70"/>
      <c r="AA88" s="70"/>
      <c r="AB88" s="70"/>
      <c r="AC88" s="70"/>
      <c r="AD88" s="70"/>
      <c r="AE88" s="70"/>
      <c r="AF88" s="70"/>
      <c r="AG88" s="70"/>
    </row>
    <row r="89" spans="1:33" x14ac:dyDescent="0.25">
      <c r="A89" s="70"/>
      <c r="B89" s="70"/>
      <c r="C89" s="70"/>
      <c r="D89" s="70"/>
      <c r="E89" s="70"/>
      <c r="F89" s="70"/>
      <c r="G89" s="70"/>
      <c r="H89" s="71"/>
      <c r="I89" s="70"/>
      <c r="J89" s="70"/>
      <c r="K89" s="71"/>
      <c r="L89" s="70"/>
      <c r="M89" s="70"/>
      <c r="N89" s="70"/>
      <c r="O89" s="70"/>
      <c r="P89" s="70"/>
      <c r="Q89" s="70"/>
      <c r="R89" s="70"/>
      <c r="S89" s="70"/>
      <c r="T89" s="70"/>
      <c r="U89" s="70"/>
      <c r="V89" s="70"/>
      <c r="W89" s="70"/>
      <c r="X89" s="70"/>
      <c r="Y89" s="70"/>
      <c r="Z89" s="70"/>
      <c r="AA89" s="70"/>
      <c r="AB89" s="70"/>
      <c r="AC89" s="70"/>
      <c r="AD89" s="70"/>
      <c r="AE89" s="70"/>
      <c r="AF89" s="70"/>
    </row>
    <row r="90" spans="1:33" x14ac:dyDescent="0.25">
      <c r="A90" s="70"/>
      <c r="B90" s="70"/>
      <c r="C90" s="70"/>
      <c r="D90" s="70"/>
      <c r="E90" s="70"/>
      <c r="F90" s="70"/>
      <c r="G90" s="70"/>
      <c r="H90" s="71"/>
      <c r="I90" s="70"/>
      <c r="J90" s="70"/>
      <c r="K90" s="71"/>
      <c r="L90" s="70"/>
      <c r="M90" s="70"/>
      <c r="N90" s="70"/>
      <c r="O90" s="70"/>
      <c r="P90" s="70"/>
      <c r="Q90" s="70"/>
      <c r="R90" s="70"/>
      <c r="S90" s="70"/>
      <c r="T90" s="70"/>
      <c r="U90" s="70"/>
      <c r="V90" s="70"/>
      <c r="W90" s="70"/>
      <c r="X90" s="70"/>
      <c r="Y90" s="70"/>
      <c r="Z90" s="70"/>
      <c r="AA90" s="70"/>
      <c r="AB90" s="70"/>
      <c r="AC90" s="70"/>
      <c r="AD90" s="70"/>
      <c r="AE90" s="70"/>
      <c r="AF90" s="70"/>
    </row>
    <row r="91" spans="1:33" x14ac:dyDescent="0.25">
      <c r="A91" s="70"/>
      <c r="B91" s="70"/>
      <c r="C91" s="70"/>
      <c r="D91" s="70"/>
      <c r="E91" s="70"/>
      <c r="F91" s="70"/>
      <c r="G91" s="70"/>
      <c r="H91" s="71"/>
      <c r="I91" s="70"/>
      <c r="J91" s="70"/>
      <c r="K91" s="71"/>
      <c r="L91" s="70"/>
      <c r="M91" s="70"/>
      <c r="N91" s="70"/>
      <c r="O91" s="70"/>
      <c r="P91" s="70"/>
      <c r="Q91" s="70"/>
      <c r="R91" s="70"/>
      <c r="S91" s="70"/>
      <c r="T91" s="70"/>
      <c r="U91" s="70"/>
      <c r="V91" s="70"/>
      <c r="W91" s="70"/>
      <c r="X91" s="70"/>
      <c r="Y91" s="70"/>
      <c r="Z91" s="70"/>
      <c r="AA91" s="70"/>
      <c r="AB91" s="70"/>
      <c r="AC91" s="70"/>
      <c r="AD91" s="70"/>
      <c r="AE91" s="70"/>
      <c r="AF91" s="70"/>
    </row>
    <row r="92" spans="1:33" x14ac:dyDescent="0.25">
      <c r="A92" s="70"/>
      <c r="B92" s="70"/>
      <c r="C92" s="70"/>
      <c r="D92" s="70"/>
      <c r="E92" s="70"/>
      <c r="F92" s="70"/>
      <c r="G92" s="70"/>
      <c r="H92" s="71"/>
      <c r="I92" s="70"/>
      <c r="J92" s="70"/>
      <c r="K92" s="71"/>
      <c r="L92" s="70"/>
      <c r="M92" s="70"/>
      <c r="N92" s="70"/>
      <c r="O92" s="70"/>
      <c r="P92" s="70"/>
      <c r="Q92" s="70"/>
      <c r="R92" s="70"/>
      <c r="S92" s="70"/>
      <c r="T92" s="70"/>
      <c r="U92" s="70"/>
      <c r="V92" s="70"/>
      <c r="W92" s="70"/>
      <c r="X92" s="70"/>
      <c r="Y92" s="70"/>
      <c r="Z92" s="70"/>
      <c r="AA92" s="70"/>
      <c r="AB92" s="70"/>
      <c r="AC92" s="70"/>
      <c r="AD92" s="70"/>
      <c r="AE92" s="70"/>
      <c r="AF92" s="70"/>
    </row>
    <row r="93" spans="1:33" x14ac:dyDescent="0.25">
      <c r="A93" s="70"/>
      <c r="B93" s="70"/>
      <c r="C93" s="70"/>
      <c r="D93" s="70"/>
      <c r="E93" s="70"/>
      <c r="F93" s="70"/>
      <c r="G93" s="70"/>
      <c r="H93" s="71"/>
      <c r="I93" s="70"/>
      <c r="J93" s="70"/>
      <c r="K93" s="71"/>
      <c r="L93" s="70"/>
      <c r="M93" s="70"/>
      <c r="N93" s="70"/>
      <c r="O93" s="70"/>
      <c r="P93" s="70"/>
      <c r="Q93" s="70"/>
      <c r="R93" s="70"/>
      <c r="S93" s="70"/>
      <c r="T93" s="70"/>
      <c r="U93" s="70"/>
      <c r="V93" s="70"/>
      <c r="W93" s="70"/>
      <c r="X93" s="70"/>
      <c r="Y93" s="70"/>
      <c r="Z93" s="70"/>
      <c r="AA93" s="70"/>
      <c r="AB93" s="70"/>
      <c r="AC93" s="70"/>
      <c r="AD93" s="70"/>
      <c r="AE93" s="70"/>
      <c r="AF93" s="70"/>
    </row>
    <row r="94" spans="1:33" x14ac:dyDescent="0.25">
      <c r="A94" s="70"/>
      <c r="B94" s="70"/>
      <c r="C94" s="70"/>
      <c r="D94" s="70"/>
      <c r="E94" s="70"/>
      <c r="F94" s="70"/>
      <c r="G94" s="70"/>
      <c r="H94" s="71"/>
      <c r="I94" s="70"/>
      <c r="J94" s="70"/>
      <c r="K94" s="71"/>
      <c r="L94" s="70"/>
      <c r="M94" s="70"/>
      <c r="N94" s="70"/>
      <c r="O94" s="70"/>
      <c r="P94" s="70"/>
      <c r="Q94" s="70"/>
      <c r="R94" s="70"/>
      <c r="S94" s="70"/>
      <c r="T94" s="70"/>
      <c r="U94" s="70"/>
      <c r="V94" s="70"/>
      <c r="W94" s="70"/>
      <c r="X94" s="70"/>
      <c r="Y94" s="70"/>
      <c r="Z94" s="70"/>
      <c r="AA94" s="70"/>
      <c r="AB94" s="70"/>
      <c r="AC94" s="70"/>
      <c r="AD94" s="70"/>
      <c r="AE94" s="70"/>
      <c r="AF94" s="70"/>
    </row>
    <row r="95" spans="1:33" x14ac:dyDescent="0.25">
      <c r="A95" s="70"/>
      <c r="B95" s="70"/>
      <c r="C95" s="70"/>
      <c r="D95" s="70"/>
      <c r="E95" s="70"/>
      <c r="F95" s="70"/>
      <c r="G95" s="70"/>
      <c r="H95" s="71"/>
      <c r="I95" s="70"/>
      <c r="J95" s="70"/>
      <c r="K95" s="71"/>
      <c r="L95" s="70"/>
      <c r="M95" s="70"/>
      <c r="N95" s="70"/>
      <c r="O95" s="70"/>
      <c r="P95" s="70"/>
      <c r="Q95" s="70"/>
      <c r="R95" s="70"/>
      <c r="S95" s="70"/>
      <c r="T95" s="70"/>
      <c r="U95" s="70"/>
      <c r="V95" s="70"/>
      <c r="W95" s="70"/>
      <c r="X95" s="70"/>
      <c r="Y95" s="70"/>
      <c r="Z95" s="70"/>
      <c r="AA95" s="70"/>
      <c r="AB95" s="70"/>
      <c r="AC95" s="70"/>
      <c r="AD95" s="70"/>
      <c r="AE95" s="70"/>
      <c r="AF95" s="70"/>
    </row>
    <row r="96" spans="1:33" x14ac:dyDescent="0.25">
      <c r="A96" s="70"/>
      <c r="B96" s="70"/>
      <c r="C96" s="70"/>
      <c r="D96" s="70"/>
      <c r="E96" s="70"/>
      <c r="F96" s="70"/>
      <c r="G96" s="70"/>
      <c r="H96" s="71"/>
      <c r="I96" s="70"/>
      <c r="J96" s="70"/>
      <c r="K96" s="71"/>
      <c r="L96" s="70"/>
      <c r="M96" s="70"/>
      <c r="N96" s="70"/>
      <c r="O96" s="70"/>
      <c r="P96" s="70"/>
      <c r="Q96" s="70"/>
      <c r="R96" s="70"/>
      <c r="S96" s="70"/>
      <c r="T96" s="70"/>
      <c r="U96" s="70"/>
      <c r="V96" s="70"/>
      <c r="W96" s="70"/>
      <c r="X96" s="70"/>
      <c r="Y96" s="70"/>
      <c r="Z96" s="70"/>
      <c r="AA96" s="70"/>
      <c r="AB96" s="70"/>
      <c r="AC96" s="70"/>
      <c r="AD96" s="70"/>
      <c r="AE96" s="70"/>
      <c r="AF96" s="70"/>
    </row>
    <row r="97" spans="1:32" x14ac:dyDescent="0.25">
      <c r="A97" s="70"/>
      <c r="B97" s="70"/>
      <c r="C97" s="70"/>
      <c r="D97" s="70"/>
      <c r="E97" s="70"/>
      <c r="F97" s="70"/>
      <c r="G97" s="70"/>
      <c r="H97" s="71"/>
      <c r="I97" s="70"/>
      <c r="J97" s="70"/>
      <c r="K97" s="71"/>
      <c r="L97" s="70"/>
      <c r="M97" s="70"/>
      <c r="N97" s="70"/>
      <c r="O97" s="70"/>
      <c r="P97" s="70"/>
      <c r="Q97" s="70"/>
      <c r="R97" s="70"/>
      <c r="S97" s="70"/>
      <c r="T97" s="70"/>
      <c r="U97" s="70"/>
      <c r="V97" s="70"/>
      <c r="W97" s="70"/>
      <c r="X97" s="70"/>
      <c r="Y97" s="70"/>
      <c r="Z97" s="70"/>
      <c r="AA97" s="70"/>
      <c r="AB97" s="70"/>
      <c r="AC97" s="70"/>
      <c r="AD97" s="70"/>
      <c r="AE97" s="70"/>
      <c r="AF97" s="70"/>
    </row>
    <row r="98" spans="1:32" x14ac:dyDescent="0.25">
      <c r="A98" s="70"/>
      <c r="B98" s="70"/>
      <c r="C98" s="70"/>
      <c r="D98" s="70"/>
      <c r="E98" s="70"/>
      <c r="F98" s="70"/>
      <c r="G98" s="70"/>
      <c r="H98" s="71"/>
      <c r="I98" s="70"/>
      <c r="J98" s="70"/>
      <c r="K98" s="71"/>
      <c r="L98" s="70"/>
      <c r="M98" s="70"/>
      <c r="N98" s="70"/>
      <c r="O98" s="70"/>
      <c r="P98" s="70"/>
      <c r="Q98" s="70"/>
      <c r="R98" s="70"/>
      <c r="S98" s="70"/>
      <c r="T98" s="70"/>
      <c r="U98" s="70"/>
      <c r="V98" s="70"/>
      <c r="W98" s="70"/>
      <c r="X98" s="70"/>
      <c r="Y98" s="70"/>
      <c r="Z98" s="70"/>
      <c r="AA98" s="70"/>
      <c r="AB98" s="70"/>
      <c r="AC98" s="70"/>
      <c r="AD98" s="70"/>
      <c r="AE98" s="70"/>
      <c r="AF98" s="70"/>
    </row>
    <row r="99" spans="1:32" x14ac:dyDescent="0.25">
      <c r="A99" s="70"/>
      <c r="B99" s="70"/>
      <c r="C99" s="70"/>
      <c r="D99" s="70"/>
      <c r="E99" s="70"/>
      <c r="F99" s="70"/>
      <c r="G99" s="70"/>
      <c r="H99" s="71"/>
      <c r="I99" s="70"/>
      <c r="J99" s="70"/>
      <c r="K99" s="71"/>
      <c r="L99" s="70"/>
      <c r="M99" s="70"/>
      <c r="N99" s="70"/>
      <c r="O99" s="70"/>
      <c r="P99" s="70"/>
      <c r="Q99" s="70"/>
      <c r="R99" s="70"/>
      <c r="S99" s="70"/>
      <c r="T99" s="70"/>
      <c r="U99" s="70"/>
      <c r="V99" s="70"/>
      <c r="W99" s="70"/>
      <c r="X99" s="70"/>
      <c r="Y99" s="70"/>
      <c r="Z99" s="70"/>
      <c r="AA99" s="70"/>
      <c r="AB99" s="70"/>
      <c r="AC99" s="70"/>
      <c r="AD99" s="70"/>
      <c r="AE99" s="70"/>
      <c r="AF99" s="70"/>
    </row>
    <row r="100" spans="1:32" x14ac:dyDescent="0.25">
      <c r="A100" s="70"/>
      <c r="B100" s="70"/>
      <c r="C100" s="70"/>
      <c r="D100" s="70"/>
      <c r="E100" s="70"/>
      <c r="F100" s="70"/>
      <c r="G100" s="70"/>
      <c r="H100" s="71"/>
      <c r="I100" s="70"/>
      <c r="J100" s="70"/>
      <c r="K100" s="71"/>
      <c r="L100" s="70"/>
      <c r="M100" s="70"/>
      <c r="N100" s="70"/>
      <c r="O100" s="70"/>
      <c r="P100" s="70"/>
      <c r="Q100" s="70"/>
      <c r="R100" s="70"/>
      <c r="S100" s="70"/>
      <c r="T100" s="70"/>
      <c r="U100" s="70"/>
      <c r="V100" s="70"/>
      <c r="W100" s="70"/>
      <c r="X100" s="70"/>
      <c r="Y100" s="70"/>
      <c r="Z100" s="70"/>
      <c r="AA100" s="70"/>
      <c r="AB100" s="70"/>
      <c r="AC100" s="70"/>
      <c r="AD100" s="70"/>
      <c r="AE100" s="70"/>
      <c r="AF100" s="70"/>
    </row>
    <row r="101" spans="1:32" x14ac:dyDescent="0.25">
      <c r="A101" s="70"/>
      <c r="B101" s="70"/>
      <c r="C101" s="70"/>
      <c r="D101" s="70"/>
      <c r="E101" s="70"/>
      <c r="F101" s="70"/>
      <c r="G101" s="70"/>
      <c r="H101" s="71"/>
      <c r="I101" s="70"/>
      <c r="J101" s="70"/>
      <c r="K101" s="71"/>
      <c r="L101" s="70"/>
      <c r="M101" s="70"/>
      <c r="N101" s="70"/>
      <c r="O101" s="70"/>
      <c r="P101" s="70"/>
      <c r="Q101" s="70"/>
      <c r="R101" s="70"/>
      <c r="S101" s="70"/>
      <c r="T101" s="70"/>
      <c r="U101" s="70"/>
      <c r="V101" s="70"/>
      <c r="W101" s="70"/>
      <c r="X101" s="70"/>
      <c r="Y101" s="70"/>
      <c r="Z101" s="70"/>
      <c r="AA101" s="70"/>
      <c r="AB101" s="70"/>
      <c r="AC101" s="70"/>
      <c r="AD101" s="70"/>
      <c r="AE101" s="70"/>
      <c r="AF101" s="70"/>
    </row>
    <row r="102" spans="1:32" x14ac:dyDescent="0.25">
      <c r="A102" s="70"/>
      <c r="B102" s="70"/>
      <c r="C102" s="70"/>
      <c r="D102" s="70"/>
      <c r="E102" s="70"/>
      <c r="F102" s="70"/>
      <c r="G102" s="70"/>
      <c r="H102" s="71"/>
      <c r="I102" s="70"/>
      <c r="J102" s="70"/>
      <c r="K102" s="71"/>
      <c r="L102" s="70"/>
      <c r="M102" s="70"/>
      <c r="N102" s="70"/>
      <c r="O102" s="70"/>
      <c r="P102" s="70"/>
      <c r="Q102" s="70"/>
      <c r="R102" s="70"/>
      <c r="S102" s="70"/>
      <c r="T102" s="70"/>
      <c r="U102" s="70"/>
      <c r="V102" s="70"/>
      <c r="W102" s="70"/>
      <c r="X102" s="70"/>
      <c r="Y102" s="70"/>
      <c r="Z102" s="70"/>
      <c r="AA102" s="70"/>
      <c r="AB102" s="70"/>
      <c r="AC102" s="70"/>
      <c r="AD102" s="70"/>
      <c r="AE102" s="70"/>
      <c r="AF102" s="70"/>
    </row>
    <row r="103" spans="1:32" x14ac:dyDescent="0.25">
      <c r="A103" s="70"/>
      <c r="B103" s="70"/>
      <c r="C103" s="70"/>
      <c r="D103" s="70"/>
      <c r="E103" s="70"/>
      <c r="F103" s="70"/>
      <c r="G103" s="70"/>
      <c r="H103" s="71"/>
      <c r="I103" s="70"/>
      <c r="J103" s="70"/>
      <c r="K103" s="71"/>
      <c r="L103" s="70"/>
      <c r="M103" s="70"/>
      <c r="N103" s="70"/>
      <c r="O103" s="70"/>
      <c r="P103" s="70"/>
      <c r="Q103" s="70"/>
      <c r="R103" s="70"/>
      <c r="S103" s="70"/>
      <c r="T103" s="70"/>
      <c r="U103" s="70"/>
      <c r="V103" s="70"/>
      <c r="W103" s="70"/>
      <c r="X103" s="70"/>
      <c r="Y103" s="70"/>
      <c r="Z103" s="70"/>
      <c r="AA103" s="70"/>
      <c r="AB103" s="70"/>
      <c r="AC103" s="70"/>
      <c r="AD103" s="70"/>
      <c r="AE103" s="70"/>
      <c r="AF103" s="70"/>
    </row>
    <row r="104" spans="1:32" x14ac:dyDescent="0.25">
      <c r="A104" s="70"/>
      <c r="B104" s="70"/>
      <c r="C104" s="70"/>
      <c r="D104" s="70"/>
      <c r="E104" s="70"/>
      <c r="F104" s="70"/>
      <c r="G104" s="70"/>
      <c r="H104" s="71"/>
      <c r="I104" s="70"/>
      <c r="J104" s="70"/>
      <c r="K104" s="71"/>
      <c r="L104" s="70"/>
      <c r="M104" s="70"/>
      <c r="N104" s="70"/>
      <c r="O104" s="70"/>
      <c r="P104" s="70"/>
      <c r="Q104" s="70"/>
      <c r="R104" s="70"/>
      <c r="S104" s="70"/>
      <c r="T104" s="70"/>
      <c r="U104" s="70"/>
      <c r="V104" s="70"/>
      <c r="W104" s="70"/>
      <c r="X104" s="70"/>
      <c r="Y104" s="70"/>
      <c r="Z104" s="70"/>
      <c r="AA104" s="70"/>
      <c r="AB104" s="70"/>
      <c r="AC104" s="70"/>
      <c r="AD104" s="70"/>
      <c r="AE104" s="70"/>
      <c r="AF104" s="70"/>
    </row>
    <row r="105" spans="1:32" x14ac:dyDescent="0.25">
      <c r="A105" s="70"/>
      <c r="B105" s="70"/>
      <c r="C105" s="70"/>
      <c r="D105" s="70"/>
      <c r="E105" s="70"/>
      <c r="F105" s="70"/>
      <c r="G105" s="70"/>
      <c r="H105" s="71"/>
      <c r="I105" s="70"/>
      <c r="J105" s="70"/>
      <c r="K105" s="71"/>
      <c r="L105" s="70"/>
      <c r="M105" s="70"/>
      <c r="N105" s="70"/>
      <c r="O105" s="70"/>
      <c r="P105" s="70"/>
      <c r="Q105" s="70"/>
      <c r="R105" s="70"/>
      <c r="S105" s="70"/>
      <c r="T105" s="70"/>
      <c r="U105" s="70"/>
      <c r="V105" s="70"/>
      <c r="W105" s="70"/>
      <c r="X105" s="70"/>
      <c r="Y105" s="70"/>
      <c r="Z105" s="70"/>
      <c r="AA105" s="70"/>
      <c r="AB105" s="70"/>
      <c r="AC105" s="70"/>
      <c r="AD105" s="70"/>
      <c r="AE105" s="70"/>
      <c r="AF105" s="70"/>
    </row>
    <row r="106" spans="1:32" x14ac:dyDescent="0.25">
      <c r="A106" s="70"/>
      <c r="B106" s="70"/>
      <c r="C106" s="70"/>
      <c r="D106" s="70"/>
      <c r="E106" s="70"/>
      <c r="F106" s="70"/>
      <c r="G106" s="70"/>
      <c r="H106" s="71"/>
      <c r="I106" s="70"/>
      <c r="J106" s="70"/>
      <c r="K106" s="71"/>
      <c r="L106" s="70"/>
      <c r="M106" s="70"/>
      <c r="N106" s="70"/>
      <c r="O106" s="70"/>
      <c r="P106" s="70"/>
      <c r="Q106" s="70"/>
      <c r="R106" s="70"/>
      <c r="S106" s="70"/>
      <c r="T106" s="70"/>
      <c r="U106" s="70"/>
      <c r="V106" s="70"/>
      <c r="W106" s="70"/>
      <c r="X106" s="70"/>
      <c r="Y106" s="70"/>
      <c r="Z106" s="70"/>
      <c r="AA106" s="70"/>
      <c r="AB106" s="70"/>
      <c r="AC106" s="70"/>
      <c r="AD106" s="70"/>
      <c r="AE106" s="70"/>
      <c r="AF106" s="70"/>
    </row>
    <row r="107" spans="1:32" x14ac:dyDescent="0.25">
      <c r="A107" s="70"/>
      <c r="B107" s="70"/>
      <c r="C107" s="70"/>
      <c r="D107" s="70"/>
      <c r="E107" s="70"/>
      <c r="F107" s="70"/>
      <c r="G107" s="70"/>
      <c r="H107" s="71"/>
      <c r="I107" s="70"/>
      <c r="J107" s="70"/>
      <c r="K107" s="71"/>
      <c r="L107" s="70"/>
      <c r="M107" s="70"/>
      <c r="N107" s="70"/>
      <c r="O107" s="70"/>
      <c r="P107" s="70"/>
      <c r="Q107" s="70"/>
      <c r="R107" s="70"/>
      <c r="S107" s="70"/>
      <c r="T107" s="70"/>
      <c r="U107" s="70"/>
      <c r="V107" s="70"/>
      <c r="W107" s="70"/>
      <c r="X107" s="70"/>
      <c r="Y107" s="70"/>
      <c r="Z107" s="70"/>
      <c r="AA107" s="70"/>
      <c r="AB107" s="70"/>
      <c r="AC107" s="70"/>
      <c r="AD107" s="70"/>
      <c r="AE107" s="70"/>
      <c r="AF107" s="70"/>
    </row>
    <row r="108" spans="1:32" x14ac:dyDescent="0.25">
      <c r="A108" s="70"/>
      <c r="B108" s="70"/>
      <c r="C108" s="70"/>
      <c r="D108" s="70"/>
      <c r="E108" s="70"/>
      <c r="F108" s="70"/>
      <c r="G108" s="70"/>
      <c r="H108" s="71"/>
      <c r="I108" s="70"/>
      <c r="J108" s="70"/>
      <c r="K108" s="71"/>
      <c r="L108" s="70"/>
      <c r="M108" s="70"/>
      <c r="N108" s="70"/>
      <c r="O108" s="70"/>
      <c r="P108" s="70"/>
      <c r="Q108" s="70"/>
      <c r="R108" s="70"/>
      <c r="S108" s="70"/>
      <c r="T108" s="70"/>
      <c r="U108" s="70"/>
      <c r="V108" s="70"/>
      <c r="W108" s="70"/>
      <c r="X108" s="70"/>
      <c r="Y108" s="70"/>
      <c r="Z108" s="70"/>
      <c r="AA108" s="70"/>
      <c r="AB108" s="70"/>
      <c r="AC108" s="70"/>
      <c r="AD108" s="70"/>
      <c r="AE108" s="70"/>
      <c r="AF108" s="70"/>
    </row>
    <row r="109" spans="1:32" x14ac:dyDescent="0.25">
      <c r="A109" s="70"/>
      <c r="B109" s="70"/>
      <c r="C109" s="70"/>
      <c r="D109" s="70"/>
      <c r="E109" s="70"/>
      <c r="F109" s="70"/>
      <c r="G109" s="70"/>
      <c r="H109" s="71"/>
      <c r="I109" s="70"/>
      <c r="J109" s="70"/>
      <c r="K109" s="71"/>
      <c r="L109" s="70"/>
      <c r="M109" s="70"/>
      <c r="N109" s="70"/>
      <c r="O109" s="70"/>
      <c r="P109" s="70"/>
      <c r="Q109" s="70"/>
      <c r="R109" s="70"/>
      <c r="S109" s="70"/>
      <c r="T109" s="70"/>
      <c r="U109" s="70"/>
      <c r="V109" s="70"/>
      <c r="W109" s="70"/>
      <c r="X109" s="70"/>
      <c r="Y109" s="70"/>
      <c r="Z109" s="70"/>
      <c r="AA109" s="70"/>
      <c r="AB109" s="70"/>
      <c r="AC109" s="70"/>
      <c r="AD109" s="70"/>
      <c r="AE109" s="70"/>
      <c r="AF109" s="70"/>
    </row>
    <row r="110" spans="1:32" x14ac:dyDescent="0.25">
      <c r="A110" s="70"/>
      <c r="B110" s="70"/>
      <c r="C110" s="70"/>
      <c r="D110" s="70"/>
      <c r="E110" s="70"/>
      <c r="F110" s="70"/>
      <c r="G110" s="70"/>
      <c r="H110" s="71"/>
      <c r="I110" s="70"/>
      <c r="J110" s="70"/>
      <c r="K110" s="71"/>
      <c r="L110" s="70"/>
      <c r="M110" s="70"/>
      <c r="N110" s="70"/>
      <c r="O110" s="70"/>
      <c r="P110" s="70"/>
      <c r="Q110" s="70"/>
      <c r="R110" s="70"/>
      <c r="S110" s="70"/>
      <c r="T110" s="70"/>
      <c r="U110" s="70"/>
      <c r="V110" s="70"/>
      <c r="W110" s="70"/>
      <c r="X110" s="70"/>
      <c r="Y110" s="70"/>
      <c r="Z110" s="70"/>
      <c r="AA110" s="70"/>
      <c r="AB110" s="70"/>
      <c r="AC110" s="70"/>
      <c r="AD110" s="70"/>
      <c r="AE110" s="70"/>
      <c r="AF110" s="70"/>
    </row>
    <row r="111" spans="1:32" x14ac:dyDescent="0.25">
      <c r="A111" s="59"/>
      <c r="B111" s="59"/>
      <c r="C111" s="59"/>
      <c r="D111" s="59"/>
      <c r="E111" s="59"/>
      <c r="F111" s="59"/>
      <c r="G111" s="59"/>
      <c r="H111" s="60"/>
      <c r="I111" s="59"/>
      <c r="J111" s="59"/>
      <c r="K111" s="60"/>
      <c r="L111" s="59"/>
      <c r="M111" s="59"/>
      <c r="N111" s="59"/>
      <c r="O111" s="59"/>
      <c r="P111" s="59"/>
      <c r="Q111" s="59"/>
      <c r="R111" s="59"/>
      <c r="S111" s="59"/>
      <c r="T111" s="59"/>
      <c r="U111" s="59"/>
      <c r="V111" s="59"/>
      <c r="W111" s="59"/>
      <c r="X111" s="59"/>
      <c r="Y111" s="59"/>
      <c r="Z111" s="59"/>
      <c r="AA111" s="59"/>
      <c r="AB111" s="59"/>
      <c r="AC111" s="59"/>
      <c r="AD111" s="59"/>
      <c r="AE111" s="59"/>
      <c r="AF111" s="59"/>
    </row>
    <row r="112" spans="1:32" x14ac:dyDescent="0.25">
      <c r="A112" s="59"/>
      <c r="B112" s="59"/>
      <c r="C112" s="59"/>
      <c r="D112" s="59"/>
      <c r="E112" s="59"/>
      <c r="F112" s="59"/>
      <c r="G112" s="59"/>
      <c r="H112" s="60"/>
      <c r="I112" s="59"/>
      <c r="J112" s="59"/>
      <c r="K112" s="60"/>
      <c r="L112" s="59"/>
      <c r="M112" s="59"/>
      <c r="N112" s="59"/>
      <c r="O112" s="59"/>
      <c r="P112" s="59"/>
      <c r="Q112" s="59"/>
      <c r="R112" s="59"/>
      <c r="S112" s="59"/>
      <c r="T112" s="59"/>
      <c r="U112" s="59"/>
      <c r="V112" s="59"/>
      <c r="W112" s="59"/>
      <c r="X112" s="59"/>
      <c r="Y112" s="59"/>
      <c r="Z112" s="59"/>
      <c r="AA112" s="59"/>
      <c r="AB112" s="59"/>
      <c r="AC112" s="59"/>
      <c r="AD112" s="59"/>
      <c r="AE112" s="59"/>
      <c r="AF112" s="59"/>
    </row>
    <row r="113" spans="1:32" x14ac:dyDescent="0.25">
      <c r="A113" s="59"/>
      <c r="B113" s="59"/>
      <c r="C113" s="59"/>
      <c r="D113" s="59"/>
      <c r="E113" s="59"/>
      <c r="F113" s="59"/>
      <c r="G113" s="59"/>
      <c r="H113" s="60"/>
      <c r="I113" s="59"/>
      <c r="J113" s="59"/>
      <c r="K113" s="60"/>
      <c r="L113" s="59"/>
      <c r="M113" s="59"/>
      <c r="N113" s="59"/>
      <c r="O113" s="59"/>
      <c r="P113" s="59"/>
      <c r="Q113" s="59"/>
      <c r="R113" s="59"/>
      <c r="S113" s="59"/>
      <c r="T113" s="59"/>
      <c r="U113" s="59"/>
      <c r="V113" s="59"/>
      <c r="W113" s="59"/>
      <c r="X113" s="59"/>
      <c r="Y113" s="59"/>
      <c r="Z113" s="59"/>
      <c r="AA113" s="59"/>
      <c r="AB113" s="59"/>
      <c r="AC113" s="59"/>
      <c r="AD113" s="59"/>
      <c r="AE113" s="59"/>
      <c r="AF113" s="59"/>
    </row>
    <row r="114" spans="1:32" x14ac:dyDescent="0.25">
      <c r="A114" s="59"/>
      <c r="B114" s="59"/>
      <c r="C114" s="59"/>
      <c r="D114" s="59"/>
      <c r="E114" s="59"/>
      <c r="F114" s="59"/>
      <c r="G114" s="59"/>
      <c r="H114" s="60"/>
      <c r="I114" s="59"/>
      <c r="J114" s="59"/>
      <c r="K114" s="60"/>
      <c r="L114" s="59"/>
      <c r="M114" s="59"/>
      <c r="N114" s="59"/>
      <c r="O114" s="59"/>
      <c r="P114" s="59"/>
      <c r="Q114" s="59"/>
      <c r="R114" s="59"/>
      <c r="S114" s="59"/>
      <c r="T114" s="59"/>
      <c r="U114" s="59"/>
      <c r="V114" s="59"/>
      <c r="W114" s="59"/>
      <c r="X114" s="59"/>
      <c r="Y114" s="59"/>
      <c r="Z114" s="59"/>
      <c r="AA114" s="59"/>
      <c r="AB114" s="59"/>
      <c r="AC114" s="59"/>
      <c r="AD114" s="59"/>
      <c r="AE114" s="59"/>
      <c r="AF114" s="59"/>
    </row>
    <row r="115" spans="1:32" x14ac:dyDescent="0.25">
      <c r="A115" s="59"/>
      <c r="B115" s="59"/>
      <c r="C115" s="59"/>
      <c r="D115" s="59"/>
      <c r="E115" s="59"/>
      <c r="F115" s="59"/>
      <c r="G115" s="59"/>
      <c r="H115" s="60"/>
      <c r="I115" s="59"/>
      <c r="J115" s="59"/>
      <c r="K115" s="60"/>
      <c r="L115" s="59"/>
      <c r="M115" s="59"/>
      <c r="N115" s="59"/>
      <c r="O115" s="59"/>
      <c r="P115" s="59"/>
      <c r="Q115" s="59"/>
      <c r="R115" s="59"/>
      <c r="S115" s="59"/>
      <c r="T115" s="59"/>
      <c r="U115" s="59"/>
      <c r="V115" s="59"/>
      <c r="W115" s="59"/>
      <c r="X115" s="59"/>
      <c r="Y115" s="59"/>
      <c r="Z115" s="59"/>
      <c r="AA115" s="59"/>
      <c r="AB115" s="59"/>
      <c r="AC115" s="59"/>
      <c r="AD115" s="59"/>
      <c r="AE115" s="59"/>
      <c r="AF115" s="59"/>
    </row>
    <row r="116" spans="1:32" x14ac:dyDescent="0.25">
      <c r="A116" s="59"/>
      <c r="B116" s="59"/>
      <c r="C116" s="59"/>
      <c r="D116" s="59"/>
      <c r="E116" s="59"/>
      <c r="F116" s="59"/>
      <c r="G116" s="59"/>
      <c r="H116" s="60"/>
      <c r="I116" s="59"/>
      <c r="J116" s="59"/>
      <c r="K116" s="60"/>
      <c r="L116" s="59"/>
      <c r="M116" s="59"/>
      <c r="N116" s="59"/>
      <c r="O116" s="59"/>
      <c r="P116" s="59"/>
      <c r="Q116" s="59"/>
      <c r="R116" s="59"/>
      <c r="S116" s="59"/>
      <c r="T116" s="59"/>
      <c r="U116" s="59"/>
      <c r="V116" s="59"/>
      <c r="W116" s="59"/>
      <c r="X116" s="59"/>
      <c r="Y116" s="59"/>
      <c r="Z116" s="59"/>
      <c r="AA116" s="59"/>
      <c r="AB116" s="59"/>
      <c r="AC116" s="59"/>
      <c r="AD116" s="59"/>
      <c r="AE116" s="59"/>
      <c r="AF116" s="59"/>
    </row>
    <row r="117" spans="1:32" x14ac:dyDescent="0.25">
      <c r="A117" s="59"/>
      <c r="B117" s="59"/>
      <c r="C117" s="59"/>
      <c r="D117" s="59"/>
      <c r="E117" s="59"/>
      <c r="F117" s="59"/>
      <c r="G117" s="59"/>
      <c r="H117" s="60"/>
      <c r="I117" s="59"/>
      <c r="J117" s="59"/>
      <c r="K117" s="60"/>
      <c r="L117" s="59"/>
      <c r="M117" s="59"/>
      <c r="N117" s="59"/>
      <c r="O117" s="59"/>
      <c r="P117" s="59"/>
      <c r="Q117" s="59"/>
      <c r="R117" s="59"/>
      <c r="S117" s="59"/>
      <c r="T117" s="59"/>
      <c r="U117" s="59"/>
      <c r="V117" s="59"/>
      <c r="W117" s="59"/>
      <c r="X117" s="59"/>
      <c r="Y117" s="59"/>
      <c r="Z117" s="59"/>
      <c r="AA117" s="59"/>
      <c r="AB117" s="59"/>
      <c r="AC117" s="59"/>
      <c r="AD117" s="59"/>
      <c r="AE117" s="59"/>
      <c r="AF117" s="59"/>
    </row>
    <row r="118" spans="1:32" x14ac:dyDescent="0.25">
      <c r="A118" s="59"/>
      <c r="B118" s="59"/>
      <c r="C118" s="59"/>
      <c r="D118" s="59"/>
      <c r="E118" s="59"/>
      <c r="F118" s="59"/>
      <c r="G118" s="59"/>
      <c r="H118" s="60"/>
      <c r="I118" s="59"/>
      <c r="J118" s="59"/>
      <c r="K118" s="60"/>
      <c r="L118" s="59"/>
      <c r="M118" s="59"/>
      <c r="N118" s="59"/>
      <c r="O118" s="59"/>
      <c r="P118" s="59"/>
      <c r="Q118" s="59"/>
      <c r="R118" s="59"/>
      <c r="S118" s="59"/>
      <c r="T118" s="59"/>
      <c r="U118" s="59"/>
      <c r="V118" s="59"/>
      <c r="W118" s="59"/>
      <c r="X118" s="59"/>
      <c r="Y118" s="59"/>
      <c r="Z118" s="59"/>
      <c r="AA118" s="59"/>
      <c r="AB118" s="59"/>
      <c r="AC118" s="59"/>
      <c r="AD118" s="59"/>
      <c r="AE118" s="59"/>
      <c r="AF118" s="59"/>
    </row>
    <row r="119" spans="1:32" x14ac:dyDescent="0.25">
      <c r="A119" s="59"/>
      <c r="B119" s="59"/>
      <c r="C119" s="59"/>
      <c r="D119" s="59"/>
      <c r="E119" s="59"/>
      <c r="F119" s="59"/>
      <c r="G119" s="59"/>
      <c r="H119" s="60"/>
      <c r="I119" s="59"/>
      <c r="J119" s="59"/>
      <c r="K119" s="60"/>
      <c r="L119" s="59"/>
      <c r="M119" s="59"/>
      <c r="N119" s="59"/>
      <c r="O119" s="59"/>
      <c r="P119" s="59"/>
      <c r="Q119" s="59"/>
      <c r="R119" s="59"/>
      <c r="S119" s="59"/>
      <c r="T119" s="59"/>
      <c r="U119" s="59"/>
      <c r="V119" s="59"/>
      <c r="W119" s="59"/>
      <c r="X119" s="59"/>
      <c r="Y119" s="59"/>
      <c r="Z119" s="59"/>
      <c r="AA119" s="59"/>
      <c r="AB119" s="59"/>
      <c r="AC119" s="59"/>
      <c r="AD119" s="59"/>
      <c r="AE119" s="59"/>
      <c r="AF119" s="59"/>
    </row>
    <row r="120" spans="1:32" x14ac:dyDescent="0.25">
      <c r="A120" s="59"/>
      <c r="B120" s="59"/>
      <c r="C120" s="59"/>
      <c r="D120" s="59"/>
      <c r="E120" s="59"/>
      <c r="F120" s="59"/>
      <c r="G120" s="59"/>
      <c r="H120" s="60"/>
      <c r="I120" s="59"/>
      <c r="J120" s="59"/>
      <c r="K120" s="60"/>
      <c r="L120" s="59"/>
      <c r="M120" s="59"/>
      <c r="N120" s="59"/>
      <c r="O120" s="59"/>
      <c r="P120" s="59"/>
      <c r="Q120" s="59"/>
      <c r="R120" s="59"/>
      <c r="S120" s="59"/>
      <c r="T120" s="59"/>
      <c r="U120" s="59"/>
      <c r="V120" s="59"/>
      <c r="W120" s="59"/>
      <c r="X120" s="59"/>
      <c r="Y120" s="59"/>
      <c r="Z120" s="59"/>
      <c r="AA120" s="59"/>
      <c r="AB120" s="59"/>
      <c r="AC120" s="59"/>
      <c r="AD120" s="59"/>
      <c r="AE120" s="59"/>
      <c r="AF120" s="59"/>
    </row>
    <row r="121" spans="1:32" x14ac:dyDescent="0.25">
      <c r="A121" s="59"/>
      <c r="B121" s="59"/>
      <c r="C121" s="59"/>
      <c r="D121" s="59"/>
      <c r="E121" s="59"/>
      <c r="F121" s="59"/>
      <c r="G121" s="59"/>
      <c r="H121" s="60"/>
      <c r="I121" s="59"/>
      <c r="J121" s="59"/>
      <c r="K121" s="60"/>
      <c r="L121" s="59"/>
      <c r="M121" s="59"/>
      <c r="N121" s="59"/>
      <c r="O121" s="59"/>
      <c r="P121" s="59"/>
      <c r="Q121" s="59"/>
      <c r="R121" s="59"/>
      <c r="S121" s="59"/>
      <c r="T121" s="59"/>
      <c r="U121" s="59"/>
      <c r="V121" s="59"/>
      <c r="W121" s="59"/>
      <c r="X121" s="59"/>
      <c r="Y121" s="59"/>
      <c r="Z121" s="59"/>
      <c r="AA121" s="59"/>
      <c r="AB121" s="59"/>
      <c r="AC121" s="59"/>
      <c r="AD121" s="59"/>
      <c r="AE121" s="59"/>
      <c r="AF121" s="59"/>
    </row>
    <row r="122" spans="1:32" x14ac:dyDescent="0.25">
      <c r="A122" s="59"/>
      <c r="B122" s="59"/>
      <c r="C122" s="59"/>
      <c r="D122" s="59"/>
      <c r="E122" s="59"/>
      <c r="F122" s="59"/>
      <c r="G122" s="59"/>
      <c r="H122" s="60"/>
      <c r="I122" s="59"/>
      <c r="J122" s="59"/>
      <c r="K122" s="60"/>
      <c r="L122" s="59"/>
      <c r="M122" s="59"/>
      <c r="N122" s="59"/>
      <c r="O122" s="59"/>
      <c r="P122" s="59"/>
      <c r="Q122" s="59"/>
      <c r="R122" s="59"/>
      <c r="S122" s="59"/>
      <c r="T122" s="59"/>
      <c r="U122" s="59"/>
      <c r="V122" s="59"/>
      <c r="W122" s="59"/>
      <c r="X122" s="59"/>
      <c r="Y122" s="59"/>
      <c r="Z122" s="59"/>
      <c r="AA122" s="59"/>
      <c r="AB122" s="59"/>
      <c r="AC122" s="59"/>
      <c r="AD122" s="59"/>
      <c r="AE122" s="59"/>
      <c r="AF122" s="59"/>
    </row>
    <row r="123" spans="1:32" x14ac:dyDescent="0.25">
      <c r="A123" s="59"/>
      <c r="B123" s="59"/>
      <c r="C123" s="59"/>
      <c r="D123" s="59"/>
      <c r="E123" s="59"/>
      <c r="F123" s="59"/>
      <c r="G123" s="59"/>
      <c r="H123" s="60"/>
      <c r="I123" s="59"/>
      <c r="J123" s="59"/>
      <c r="K123" s="60"/>
      <c r="L123" s="59"/>
      <c r="M123" s="59"/>
      <c r="N123" s="59"/>
      <c r="O123" s="59"/>
      <c r="P123" s="59"/>
      <c r="Q123" s="59"/>
      <c r="R123" s="59"/>
      <c r="S123" s="59"/>
      <c r="T123" s="59"/>
      <c r="U123" s="59"/>
      <c r="V123" s="59"/>
      <c r="W123" s="59"/>
      <c r="X123" s="59"/>
      <c r="Y123" s="59"/>
      <c r="Z123" s="59"/>
      <c r="AA123" s="59"/>
      <c r="AB123" s="59"/>
      <c r="AC123" s="59"/>
      <c r="AD123" s="59"/>
      <c r="AE123" s="59"/>
      <c r="AF123" s="59"/>
    </row>
    <row r="124" spans="1:32" x14ac:dyDescent="0.25">
      <c r="A124" s="59"/>
      <c r="B124" s="59"/>
      <c r="C124" s="59"/>
      <c r="D124" s="59"/>
      <c r="E124" s="59"/>
      <c r="F124" s="59"/>
      <c r="G124" s="59"/>
      <c r="H124" s="60"/>
      <c r="I124" s="59"/>
      <c r="J124" s="59"/>
      <c r="K124" s="60"/>
      <c r="L124" s="59"/>
      <c r="M124" s="59"/>
      <c r="N124" s="59"/>
      <c r="O124" s="59"/>
      <c r="P124" s="59"/>
      <c r="Q124" s="59"/>
      <c r="R124" s="59"/>
      <c r="S124" s="59"/>
      <c r="T124" s="59"/>
      <c r="U124" s="59"/>
      <c r="V124" s="59"/>
      <c r="W124" s="59"/>
      <c r="X124" s="59"/>
      <c r="Y124" s="59"/>
      <c r="Z124" s="59"/>
      <c r="AA124" s="59"/>
      <c r="AB124" s="59"/>
      <c r="AC124" s="59"/>
      <c r="AD124" s="59"/>
      <c r="AE124" s="59"/>
      <c r="AF124" s="59"/>
    </row>
    <row r="125" spans="1:32" x14ac:dyDescent="0.25">
      <c r="A125" s="59"/>
      <c r="B125" s="59"/>
      <c r="C125" s="59"/>
      <c r="D125" s="59"/>
      <c r="E125" s="59"/>
      <c r="F125" s="59"/>
      <c r="G125" s="59"/>
      <c r="H125" s="60"/>
      <c r="I125" s="59"/>
      <c r="J125" s="59"/>
      <c r="K125" s="60"/>
      <c r="L125" s="59"/>
      <c r="M125" s="59"/>
      <c r="N125" s="59"/>
      <c r="O125" s="59"/>
      <c r="P125" s="59"/>
      <c r="Q125" s="59"/>
      <c r="R125" s="59"/>
      <c r="S125" s="59"/>
      <c r="T125" s="59"/>
      <c r="U125" s="59"/>
      <c r="V125" s="59"/>
      <c r="W125" s="59"/>
      <c r="X125" s="59"/>
      <c r="Y125" s="59"/>
      <c r="Z125" s="59"/>
      <c r="AA125" s="59"/>
      <c r="AB125" s="59"/>
      <c r="AC125" s="59"/>
      <c r="AD125" s="59"/>
      <c r="AE125" s="59"/>
      <c r="AF125" s="59"/>
    </row>
    <row r="126" spans="1:32" x14ac:dyDescent="0.25">
      <c r="A126" s="59"/>
      <c r="B126" s="59"/>
      <c r="C126" s="59"/>
      <c r="D126" s="59"/>
      <c r="E126" s="59"/>
      <c r="F126" s="59"/>
      <c r="G126" s="59"/>
      <c r="H126" s="60"/>
      <c r="I126" s="59"/>
      <c r="J126" s="59"/>
      <c r="K126" s="60"/>
      <c r="L126" s="59"/>
      <c r="M126" s="59"/>
      <c r="N126" s="59"/>
      <c r="O126" s="59"/>
      <c r="P126" s="59"/>
      <c r="Q126" s="59"/>
      <c r="R126" s="59"/>
      <c r="S126" s="59"/>
      <c r="T126" s="59"/>
      <c r="U126" s="59"/>
      <c r="V126" s="59"/>
      <c r="W126" s="59"/>
      <c r="X126" s="59"/>
      <c r="Y126" s="59"/>
      <c r="Z126" s="59"/>
      <c r="AA126" s="59"/>
      <c r="AB126" s="59"/>
      <c r="AC126" s="59"/>
      <c r="AD126" s="59"/>
      <c r="AE126" s="59"/>
      <c r="AF126" s="59"/>
    </row>
    <row r="127" spans="1:32" x14ac:dyDescent="0.25">
      <c r="A127" s="59"/>
      <c r="B127" s="59"/>
      <c r="C127" s="59"/>
      <c r="D127" s="59"/>
      <c r="E127" s="59"/>
      <c r="F127" s="59"/>
      <c r="G127" s="59"/>
      <c r="H127" s="60"/>
      <c r="I127" s="59"/>
      <c r="J127" s="59"/>
      <c r="K127" s="60"/>
      <c r="L127" s="59"/>
      <c r="M127" s="59"/>
      <c r="N127" s="59"/>
      <c r="O127" s="59"/>
      <c r="P127" s="59"/>
      <c r="Q127" s="59"/>
      <c r="R127" s="59"/>
      <c r="S127" s="59"/>
      <c r="T127" s="59"/>
      <c r="U127" s="59"/>
      <c r="V127" s="59"/>
      <c r="W127" s="59"/>
      <c r="X127" s="59"/>
      <c r="Y127" s="59"/>
      <c r="Z127" s="59"/>
      <c r="AA127" s="59"/>
      <c r="AB127" s="59"/>
      <c r="AC127" s="59"/>
      <c r="AD127" s="59"/>
      <c r="AE127" s="59"/>
      <c r="AF127" s="59"/>
    </row>
    <row r="128" spans="1:32" x14ac:dyDescent="0.25">
      <c r="A128" s="59"/>
      <c r="B128" s="59"/>
      <c r="C128" s="59"/>
      <c r="D128" s="59"/>
      <c r="E128" s="59"/>
      <c r="F128" s="59"/>
      <c r="G128" s="59"/>
      <c r="H128" s="60"/>
      <c r="I128" s="59"/>
      <c r="J128" s="59"/>
      <c r="K128" s="60"/>
      <c r="L128" s="59"/>
      <c r="M128" s="59"/>
      <c r="N128" s="59"/>
      <c r="O128" s="59"/>
      <c r="P128" s="59"/>
      <c r="Q128" s="59"/>
      <c r="R128" s="59"/>
      <c r="S128" s="59"/>
      <c r="T128" s="59"/>
      <c r="U128" s="59"/>
      <c r="V128" s="59"/>
      <c r="W128" s="59"/>
      <c r="X128" s="59"/>
      <c r="Y128" s="59"/>
      <c r="Z128" s="59"/>
      <c r="AA128" s="59"/>
      <c r="AB128" s="59"/>
      <c r="AC128" s="59"/>
      <c r="AD128" s="59"/>
      <c r="AE128" s="59"/>
      <c r="AF128" s="59"/>
    </row>
    <row r="129" spans="1:32" x14ac:dyDescent="0.25">
      <c r="A129" s="59"/>
      <c r="B129" s="59"/>
      <c r="C129" s="59"/>
      <c r="D129" s="59"/>
      <c r="E129" s="59"/>
      <c r="F129" s="59"/>
      <c r="G129" s="59"/>
      <c r="H129" s="60"/>
      <c r="I129" s="59"/>
      <c r="J129" s="59"/>
      <c r="K129" s="60"/>
      <c r="L129" s="59"/>
      <c r="M129" s="59"/>
      <c r="N129" s="59"/>
      <c r="O129" s="59"/>
      <c r="P129" s="59"/>
      <c r="Q129" s="59"/>
      <c r="R129" s="59"/>
      <c r="S129" s="59"/>
      <c r="T129" s="59"/>
      <c r="U129" s="59"/>
      <c r="V129" s="59"/>
      <c r="W129" s="59"/>
      <c r="X129" s="59"/>
      <c r="Y129" s="59"/>
      <c r="Z129" s="59"/>
      <c r="AA129" s="59"/>
      <c r="AB129" s="59"/>
      <c r="AC129" s="59"/>
      <c r="AD129" s="59"/>
      <c r="AE129" s="59"/>
      <c r="AF129" s="59"/>
    </row>
    <row r="130" spans="1:32" x14ac:dyDescent="0.25">
      <c r="A130" s="59"/>
      <c r="B130" s="59"/>
      <c r="C130" s="59"/>
      <c r="D130" s="59"/>
      <c r="E130" s="59"/>
      <c r="F130" s="59"/>
      <c r="G130" s="59"/>
      <c r="H130" s="60"/>
      <c r="I130" s="59"/>
      <c r="J130" s="59"/>
      <c r="K130" s="60"/>
      <c r="L130" s="59"/>
      <c r="M130" s="59"/>
      <c r="N130" s="59"/>
      <c r="O130" s="59"/>
      <c r="P130" s="59"/>
      <c r="Q130" s="59"/>
      <c r="R130" s="59"/>
      <c r="S130" s="59"/>
      <c r="T130" s="59"/>
      <c r="U130" s="59"/>
      <c r="V130" s="59"/>
      <c r="W130" s="59"/>
      <c r="X130" s="59"/>
      <c r="Y130" s="59"/>
      <c r="Z130" s="59"/>
      <c r="AA130" s="59"/>
      <c r="AB130" s="59"/>
      <c r="AC130" s="59"/>
      <c r="AD130" s="59"/>
      <c r="AE130" s="59"/>
      <c r="AF130" s="59"/>
    </row>
    <row r="131" spans="1:32" x14ac:dyDescent="0.25">
      <c r="A131" s="59"/>
      <c r="B131" s="59"/>
      <c r="C131" s="59"/>
      <c r="D131" s="59"/>
      <c r="E131" s="59"/>
      <c r="F131" s="59"/>
      <c r="G131" s="59"/>
      <c r="H131" s="60"/>
      <c r="I131" s="59"/>
      <c r="J131" s="59"/>
      <c r="K131" s="60"/>
      <c r="L131" s="59"/>
      <c r="M131" s="59"/>
      <c r="N131" s="59"/>
      <c r="O131" s="59"/>
      <c r="P131" s="59"/>
      <c r="Q131" s="59"/>
      <c r="R131" s="59"/>
      <c r="S131" s="59"/>
      <c r="T131" s="59"/>
      <c r="U131" s="59"/>
      <c r="V131" s="59"/>
      <c r="W131" s="59"/>
      <c r="X131" s="59"/>
      <c r="Y131" s="59"/>
      <c r="Z131" s="59"/>
      <c r="AA131" s="59"/>
      <c r="AB131" s="59"/>
      <c r="AC131" s="59"/>
      <c r="AD131" s="59"/>
      <c r="AE131" s="59"/>
      <c r="AF131" s="59"/>
    </row>
    <row r="132" spans="1:32" x14ac:dyDescent="0.25">
      <c r="A132" s="59"/>
      <c r="B132" s="59"/>
      <c r="C132" s="59"/>
      <c r="D132" s="59"/>
      <c r="E132" s="59"/>
      <c r="F132" s="59"/>
      <c r="G132" s="59"/>
      <c r="H132" s="60"/>
      <c r="I132" s="59"/>
      <c r="J132" s="59"/>
      <c r="K132" s="60"/>
      <c r="L132" s="59"/>
      <c r="M132" s="59"/>
      <c r="N132" s="59"/>
      <c r="O132" s="59"/>
      <c r="P132" s="59"/>
      <c r="Q132" s="59"/>
      <c r="R132" s="59"/>
      <c r="S132" s="59"/>
      <c r="T132" s="59"/>
      <c r="U132" s="59"/>
      <c r="V132" s="59"/>
      <c r="W132" s="59"/>
      <c r="X132" s="59"/>
      <c r="Y132" s="59"/>
      <c r="Z132" s="59"/>
      <c r="AA132" s="59"/>
      <c r="AB132" s="59"/>
      <c r="AC132" s="59"/>
      <c r="AD132" s="59"/>
      <c r="AE132" s="59"/>
      <c r="AF132" s="59"/>
    </row>
    <row r="133" spans="1:32" x14ac:dyDescent="0.25">
      <c r="A133" s="59"/>
      <c r="B133" s="59"/>
      <c r="C133" s="59"/>
      <c r="D133" s="59"/>
      <c r="E133" s="59"/>
      <c r="F133" s="59"/>
      <c r="G133" s="59"/>
      <c r="H133" s="60"/>
      <c r="I133" s="59"/>
      <c r="J133" s="59"/>
      <c r="K133" s="60"/>
      <c r="L133" s="59"/>
      <c r="M133" s="59"/>
      <c r="N133" s="59"/>
      <c r="O133" s="59"/>
      <c r="P133" s="59"/>
      <c r="Q133" s="59"/>
      <c r="R133" s="59"/>
      <c r="S133" s="59"/>
      <c r="T133" s="59"/>
      <c r="U133" s="59"/>
      <c r="V133" s="59"/>
      <c r="W133" s="59"/>
      <c r="X133" s="59"/>
      <c r="Y133" s="59"/>
      <c r="Z133" s="59"/>
      <c r="AA133" s="59"/>
      <c r="AB133" s="59"/>
      <c r="AC133" s="59"/>
      <c r="AD133" s="59"/>
      <c r="AE133" s="59"/>
      <c r="AF133" s="59"/>
    </row>
    <row r="134" spans="1:32" x14ac:dyDescent="0.25">
      <c r="A134" s="59"/>
      <c r="B134" s="59"/>
      <c r="C134" s="59"/>
      <c r="D134" s="59"/>
      <c r="E134" s="59"/>
      <c r="F134" s="59"/>
      <c r="G134" s="59"/>
      <c r="H134" s="60"/>
      <c r="I134" s="59"/>
      <c r="J134" s="59"/>
      <c r="K134" s="60"/>
      <c r="L134" s="59"/>
      <c r="M134" s="59"/>
      <c r="N134" s="59"/>
      <c r="O134" s="59"/>
      <c r="P134" s="59"/>
      <c r="Q134" s="59"/>
      <c r="R134" s="59"/>
      <c r="S134" s="59"/>
      <c r="T134" s="59"/>
      <c r="U134" s="59"/>
      <c r="V134" s="59"/>
      <c r="W134" s="59"/>
      <c r="X134" s="59"/>
      <c r="Y134" s="59"/>
      <c r="Z134" s="59"/>
      <c r="AA134" s="59"/>
      <c r="AB134" s="59"/>
      <c r="AC134" s="59"/>
      <c r="AD134" s="59"/>
      <c r="AE134" s="59"/>
      <c r="AF134" s="59"/>
    </row>
    <row r="135" spans="1:32" x14ac:dyDescent="0.25">
      <c r="A135" s="59"/>
      <c r="B135" s="59"/>
      <c r="C135" s="59"/>
      <c r="D135" s="59"/>
      <c r="E135" s="59"/>
      <c r="F135" s="59"/>
      <c r="G135" s="59"/>
      <c r="H135" s="60"/>
      <c r="I135" s="59"/>
      <c r="J135" s="59"/>
      <c r="K135" s="60"/>
      <c r="L135" s="59"/>
      <c r="M135" s="59"/>
      <c r="N135" s="59"/>
      <c r="O135" s="59"/>
      <c r="P135" s="59"/>
      <c r="Q135" s="59"/>
      <c r="R135" s="59"/>
      <c r="S135" s="59"/>
      <c r="T135" s="59"/>
      <c r="U135" s="59"/>
      <c r="V135" s="59"/>
      <c r="W135" s="59"/>
      <c r="X135" s="59"/>
      <c r="Y135" s="59"/>
      <c r="Z135" s="59"/>
      <c r="AA135" s="59"/>
      <c r="AB135" s="59"/>
      <c r="AC135" s="59"/>
      <c r="AD135" s="59"/>
      <c r="AE135" s="59"/>
      <c r="AF135" s="59"/>
    </row>
    <row r="136" spans="1:32" x14ac:dyDescent="0.25">
      <c r="A136" s="59"/>
      <c r="B136" s="59"/>
      <c r="C136" s="59"/>
      <c r="D136" s="59"/>
      <c r="E136" s="59"/>
      <c r="F136" s="59"/>
      <c r="G136" s="59"/>
      <c r="H136" s="60"/>
      <c r="I136" s="59"/>
      <c r="J136" s="59"/>
      <c r="K136" s="60"/>
      <c r="L136" s="59"/>
      <c r="M136" s="59"/>
      <c r="N136" s="59"/>
      <c r="O136" s="59"/>
      <c r="P136" s="59"/>
      <c r="Q136" s="59"/>
      <c r="R136" s="59"/>
      <c r="S136" s="59"/>
      <c r="T136" s="59"/>
      <c r="U136" s="59"/>
      <c r="V136" s="59"/>
      <c r="W136" s="59"/>
      <c r="X136" s="59"/>
      <c r="Y136" s="59"/>
      <c r="Z136" s="59"/>
      <c r="AA136" s="59"/>
      <c r="AB136" s="59"/>
      <c r="AC136" s="59"/>
      <c r="AD136" s="59"/>
      <c r="AE136" s="59"/>
      <c r="AF136" s="59"/>
    </row>
    <row r="137" spans="1:32" x14ac:dyDescent="0.25">
      <c r="A137" s="59"/>
      <c r="B137" s="59"/>
      <c r="C137" s="59"/>
      <c r="D137" s="59"/>
      <c r="E137" s="59"/>
      <c r="F137" s="59"/>
      <c r="G137" s="59"/>
      <c r="H137" s="60"/>
      <c r="I137" s="59"/>
      <c r="J137" s="59"/>
      <c r="K137" s="60"/>
      <c r="L137" s="59"/>
      <c r="M137" s="59"/>
      <c r="N137" s="59"/>
      <c r="O137" s="59"/>
      <c r="P137" s="59"/>
      <c r="Q137" s="59"/>
      <c r="R137" s="59"/>
      <c r="S137" s="59"/>
      <c r="T137" s="59"/>
      <c r="U137" s="59"/>
      <c r="V137" s="59"/>
      <c r="W137" s="59"/>
      <c r="X137" s="59"/>
      <c r="Y137" s="59"/>
      <c r="Z137" s="59"/>
      <c r="AA137" s="59"/>
      <c r="AB137" s="59"/>
      <c r="AC137" s="59"/>
      <c r="AD137" s="59"/>
      <c r="AE137" s="59"/>
      <c r="AF137" s="59"/>
    </row>
    <row r="138" spans="1:32" x14ac:dyDescent="0.25">
      <c r="A138" s="59"/>
      <c r="B138" s="59"/>
      <c r="C138" s="59"/>
      <c r="D138" s="59"/>
      <c r="E138" s="59"/>
      <c r="F138" s="59"/>
      <c r="G138" s="59"/>
      <c r="H138" s="60"/>
      <c r="I138" s="59"/>
      <c r="J138" s="59"/>
      <c r="K138" s="60"/>
      <c r="L138" s="59"/>
      <c r="M138" s="59"/>
      <c r="N138" s="59"/>
      <c r="O138" s="59"/>
      <c r="P138" s="59"/>
      <c r="Q138" s="59"/>
      <c r="R138" s="59"/>
      <c r="S138" s="59"/>
      <c r="T138" s="59"/>
      <c r="U138" s="59"/>
      <c r="V138" s="59"/>
      <c r="W138" s="59"/>
      <c r="X138" s="59"/>
      <c r="Y138" s="59"/>
      <c r="Z138" s="59"/>
      <c r="AA138" s="59"/>
      <c r="AB138" s="59"/>
      <c r="AC138" s="59"/>
      <c r="AD138" s="59"/>
      <c r="AE138" s="59"/>
      <c r="AF138" s="59"/>
    </row>
    <row r="139" spans="1:32" x14ac:dyDescent="0.25">
      <c r="A139" s="59"/>
      <c r="B139" s="59"/>
      <c r="C139" s="59"/>
      <c r="D139" s="59"/>
      <c r="E139" s="59"/>
      <c r="F139" s="59"/>
      <c r="G139" s="59"/>
      <c r="H139" s="60"/>
      <c r="I139" s="59"/>
      <c r="J139" s="59"/>
      <c r="K139" s="60"/>
      <c r="L139" s="59"/>
      <c r="M139" s="59"/>
      <c r="N139" s="59"/>
      <c r="O139" s="59"/>
      <c r="P139" s="59"/>
      <c r="Q139" s="59"/>
      <c r="R139" s="59"/>
      <c r="S139" s="59"/>
      <c r="T139" s="59"/>
      <c r="U139" s="59"/>
      <c r="V139" s="59"/>
      <c r="W139" s="59"/>
      <c r="X139" s="59"/>
      <c r="Y139" s="59"/>
      <c r="Z139" s="59"/>
      <c r="AA139" s="59"/>
      <c r="AB139" s="59"/>
      <c r="AC139" s="59"/>
      <c r="AD139" s="59"/>
      <c r="AE139" s="59"/>
      <c r="AF139" s="59"/>
    </row>
    <row r="140" spans="1:32" x14ac:dyDescent="0.25">
      <c r="A140" s="59"/>
      <c r="B140" s="59"/>
      <c r="C140" s="59"/>
      <c r="D140" s="59"/>
      <c r="E140" s="59"/>
      <c r="F140" s="59"/>
      <c r="G140" s="59"/>
      <c r="H140" s="60"/>
      <c r="I140" s="59"/>
      <c r="J140" s="59"/>
      <c r="K140" s="60"/>
      <c r="L140" s="59"/>
      <c r="M140" s="59"/>
      <c r="N140" s="59"/>
      <c r="O140" s="59"/>
      <c r="P140" s="59"/>
      <c r="Q140" s="59"/>
      <c r="R140" s="59"/>
      <c r="S140" s="59"/>
      <c r="T140" s="59"/>
      <c r="U140" s="59"/>
      <c r="V140" s="59"/>
      <c r="W140" s="59"/>
      <c r="X140" s="59"/>
      <c r="Y140" s="59"/>
      <c r="Z140" s="59"/>
      <c r="AA140" s="59"/>
      <c r="AB140" s="59"/>
      <c r="AC140" s="59"/>
      <c r="AD140" s="59"/>
      <c r="AE140" s="59"/>
      <c r="AF140" s="59"/>
    </row>
    <row r="141" spans="1:32" x14ac:dyDescent="0.25">
      <c r="A141" s="59"/>
      <c r="B141" s="59"/>
      <c r="C141" s="59"/>
      <c r="D141" s="59"/>
      <c r="E141" s="59"/>
      <c r="F141" s="59"/>
      <c r="G141" s="59"/>
      <c r="H141" s="60"/>
      <c r="I141" s="59"/>
      <c r="J141" s="59"/>
      <c r="K141" s="60"/>
      <c r="L141" s="59"/>
      <c r="M141" s="59"/>
      <c r="N141" s="59"/>
      <c r="O141" s="59"/>
      <c r="P141" s="59"/>
      <c r="Q141" s="59"/>
      <c r="R141" s="59"/>
      <c r="S141" s="59"/>
      <c r="T141" s="59"/>
      <c r="U141" s="59"/>
      <c r="V141" s="59"/>
      <c r="W141" s="59"/>
      <c r="X141" s="59"/>
      <c r="Y141" s="59"/>
      <c r="Z141" s="59"/>
      <c r="AA141" s="59"/>
      <c r="AB141" s="59"/>
      <c r="AC141" s="59"/>
      <c r="AD141" s="59"/>
      <c r="AE141" s="59"/>
      <c r="AF141" s="59"/>
    </row>
    <row r="142" spans="1:32" x14ac:dyDescent="0.25">
      <c r="A142" s="59"/>
      <c r="B142" s="59"/>
      <c r="C142" s="59"/>
      <c r="D142" s="59"/>
      <c r="E142" s="59"/>
      <c r="F142" s="59"/>
      <c r="G142" s="59"/>
      <c r="H142" s="60"/>
      <c r="I142" s="59"/>
      <c r="J142" s="59"/>
      <c r="K142" s="60"/>
      <c r="L142" s="59"/>
      <c r="M142" s="59"/>
      <c r="N142" s="59"/>
      <c r="O142" s="59"/>
      <c r="P142" s="59"/>
      <c r="Q142" s="59"/>
      <c r="R142" s="59"/>
      <c r="S142" s="59"/>
      <c r="T142" s="59"/>
      <c r="U142" s="59"/>
      <c r="V142" s="59"/>
      <c r="W142" s="59"/>
      <c r="X142" s="59"/>
      <c r="Y142" s="59"/>
      <c r="Z142" s="59"/>
      <c r="AA142" s="59"/>
      <c r="AB142" s="59"/>
      <c r="AC142" s="59"/>
      <c r="AD142" s="59"/>
      <c r="AE142" s="59"/>
      <c r="AF142" s="59"/>
    </row>
    <row r="143" spans="1:32" x14ac:dyDescent="0.25">
      <c r="A143" s="59"/>
      <c r="B143" s="59"/>
      <c r="C143" s="59"/>
      <c r="D143" s="59"/>
      <c r="E143" s="59"/>
      <c r="F143" s="59"/>
      <c r="G143" s="59"/>
      <c r="H143" s="60"/>
      <c r="I143" s="59"/>
      <c r="J143" s="59"/>
      <c r="K143" s="60"/>
      <c r="L143" s="59"/>
      <c r="M143" s="59"/>
      <c r="N143" s="59"/>
      <c r="O143" s="59"/>
      <c r="P143" s="59"/>
      <c r="Q143" s="59"/>
      <c r="R143" s="59"/>
      <c r="S143" s="59"/>
      <c r="T143" s="59"/>
      <c r="U143" s="59"/>
      <c r="V143" s="59"/>
      <c r="W143" s="59"/>
      <c r="X143" s="59"/>
      <c r="Y143" s="59"/>
      <c r="Z143" s="59"/>
      <c r="AA143" s="59"/>
      <c r="AB143" s="59"/>
      <c r="AC143" s="59"/>
      <c r="AD143" s="59"/>
      <c r="AE143" s="59"/>
      <c r="AF143" s="59"/>
    </row>
    <row r="144" spans="1:32" x14ac:dyDescent="0.25">
      <c r="A144" s="59"/>
      <c r="B144" s="59"/>
      <c r="C144" s="59"/>
      <c r="D144" s="59"/>
      <c r="E144" s="59"/>
      <c r="F144" s="59"/>
      <c r="G144" s="59"/>
      <c r="H144" s="60"/>
      <c r="I144" s="59"/>
      <c r="J144" s="59"/>
      <c r="K144" s="60"/>
      <c r="L144" s="59"/>
      <c r="M144" s="59"/>
      <c r="N144" s="59"/>
      <c r="O144" s="59"/>
      <c r="P144" s="59"/>
      <c r="Q144" s="59"/>
      <c r="R144" s="59"/>
      <c r="S144" s="59"/>
      <c r="T144" s="59"/>
      <c r="U144" s="59"/>
      <c r="V144" s="59"/>
      <c r="W144" s="59"/>
      <c r="X144" s="59"/>
      <c r="Y144" s="59"/>
      <c r="Z144" s="59"/>
      <c r="AA144" s="59"/>
      <c r="AB144" s="59"/>
      <c r="AC144" s="59"/>
      <c r="AD144" s="59"/>
      <c r="AE144" s="59"/>
      <c r="AF144" s="59"/>
    </row>
    <row r="145" spans="1:32" x14ac:dyDescent="0.25">
      <c r="A145" s="59"/>
      <c r="B145" s="59"/>
      <c r="C145" s="59"/>
      <c r="D145" s="59"/>
      <c r="E145" s="59"/>
      <c r="F145" s="59"/>
      <c r="G145" s="59"/>
      <c r="H145" s="60"/>
      <c r="I145" s="59"/>
      <c r="J145" s="59"/>
      <c r="K145" s="60"/>
      <c r="L145" s="59"/>
      <c r="M145" s="59"/>
      <c r="N145" s="59"/>
      <c r="O145" s="59"/>
      <c r="P145" s="59"/>
      <c r="Q145" s="59"/>
      <c r="R145" s="59"/>
      <c r="S145" s="59"/>
      <c r="T145" s="59"/>
      <c r="U145" s="59"/>
      <c r="V145" s="59"/>
      <c r="W145" s="59"/>
      <c r="X145" s="59"/>
      <c r="Y145" s="59"/>
      <c r="Z145" s="59"/>
      <c r="AA145" s="59"/>
      <c r="AB145" s="59"/>
      <c r="AC145" s="59"/>
      <c r="AD145" s="59"/>
      <c r="AE145" s="59"/>
      <c r="AF145" s="59"/>
    </row>
    <row r="146" spans="1:32" x14ac:dyDescent="0.25">
      <c r="A146" s="59"/>
      <c r="B146" s="59"/>
      <c r="C146" s="59"/>
      <c r="D146" s="59"/>
      <c r="E146" s="59"/>
      <c r="F146" s="59"/>
      <c r="G146" s="59"/>
      <c r="H146" s="60"/>
      <c r="I146" s="59"/>
      <c r="J146" s="59"/>
      <c r="K146" s="60"/>
      <c r="L146" s="59"/>
      <c r="M146" s="59"/>
      <c r="N146" s="59"/>
      <c r="O146" s="59"/>
      <c r="P146" s="59"/>
      <c r="Q146" s="59"/>
      <c r="R146" s="59"/>
      <c r="S146" s="59"/>
      <c r="T146" s="59"/>
      <c r="U146" s="59"/>
      <c r="V146" s="59"/>
      <c r="W146" s="59"/>
      <c r="X146" s="59"/>
      <c r="Y146" s="59"/>
      <c r="Z146" s="59"/>
      <c r="AA146" s="59"/>
      <c r="AB146" s="59"/>
      <c r="AC146" s="59"/>
      <c r="AD146" s="59"/>
      <c r="AE146" s="59"/>
      <c r="AF146" s="59"/>
    </row>
    <row r="147" spans="1:32" x14ac:dyDescent="0.25">
      <c r="A147" s="57"/>
      <c r="B147" s="57"/>
      <c r="C147" s="57"/>
      <c r="D147" s="57"/>
      <c r="E147" s="57"/>
      <c r="F147" s="57"/>
      <c r="G147" s="57"/>
      <c r="H147" s="58"/>
      <c r="I147" s="57"/>
      <c r="J147" s="57"/>
      <c r="K147" s="58"/>
      <c r="L147" s="57"/>
      <c r="M147" s="57"/>
      <c r="N147" s="57"/>
      <c r="O147" s="57"/>
      <c r="P147" s="57"/>
      <c r="Q147" s="57"/>
      <c r="R147" s="57"/>
      <c r="S147" s="57"/>
      <c r="T147" s="57"/>
      <c r="U147" s="57"/>
      <c r="V147" s="57"/>
      <c r="W147" s="57"/>
      <c r="X147" s="57"/>
      <c r="Y147" s="57"/>
      <c r="Z147" s="57"/>
      <c r="AA147" s="57"/>
      <c r="AB147" s="57"/>
      <c r="AC147" s="57"/>
      <c r="AD147" s="57"/>
      <c r="AE147" s="57"/>
      <c r="AF147" s="38"/>
    </row>
    <row r="148" spans="1:32" x14ac:dyDescent="0.25">
      <c r="A148" s="57"/>
      <c r="B148" s="57"/>
      <c r="C148" s="57"/>
      <c r="D148" s="57"/>
      <c r="E148" s="57"/>
      <c r="F148" s="57"/>
      <c r="G148" s="57"/>
      <c r="H148" s="58"/>
      <c r="I148" s="57"/>
      <c r="J148" s="57"/>
      <c r="K148" s="58"/>
      <c r="L148" s="57"/>
      <c r="M148" s="57"/>
      <c r="N148" s="57"/>
      <c r="O148" s="57"/>
      <c r="P148" s="57"/>
      <c r="Q148" s="57"/>
      <c r="R148" s="57"/>
      <c r="S148" s="57"/>
      <c r="T148" s="57"/>
      <c r="U148" s="57"/>
      <c r="V148" s="57"/>
      <c r="W148" s="57"/>
      <c r="X148" s="57"/>
      <c r="Y148" s="57"/>
      <c r="Z148" s="57"/>
      <c r="AA148" s="57"/>
      <c r="AB148" s="57"/>
      <c r="AC148" s="57"/>
      <c r="AD148" s="57"/>
      <c r="AE148" s="57"/>
      <c r="AF148" s="38"/>
    </row>
    <row r="149" spans="1:32" x14ac:dyDescent="0.25">
      <c r="A149" s="57"/>
      <c r="B149" s="57"/>
      <c r="C149" s="57"/>
      <c r="D149" s="57"/>
      <c r="E149" s="57"/>
      <c r="F149" s="57"/>
      <c r="G149" s="57"/>
      <c r="H149" s="58"/>
      <c r="I149" s="57"/>
      <c r="J149" s="57"/>
      <c r="K149" s="58"/>
      <c r="L149" s="57"/>
      <c r="M149" s="57"/>
      <c r="N149" s="57"/>
      <c r="O149" s="57"/>
      <c r="P149" s="57"/>
      <c r="Q149" s="57"/>
      <c r="R149" s="57"/>
      <c r="S149" s="57"/>
      <c r="T149" s="57"/>
      <c r="U149" s="57"/>
      <c r="V149" s="57"/>
      <c r="W149" s="57"/>
      <c r="X149" s="57"/>
      <c r="Y149" s="57"/>
      <c r="Z149" s="57"/>
      <c r="AA149" s="57"/>
      <c r="AB149" s="57"/>
      <c r="AC149" s="57"/>
      <c r="AD149" s="57"/>
      <c r="AE149" s="57"/>
      <c r="AF149" s="38"/>
    </row>
    <row r="150" spans="1:32" x14ac:dyDescent="0.25">
      <c r="A150" s="57"/>
      <c r="B150" s="57"/>
      <c r="C150" s="57"/>
      <c r="D150" s="57"/>
      <c r="E150" s="57"/>
      <c r="F150" s="57"/>
      <c r="G150" s="57"/>
      <c r="H150" s="58"/>
      <c r="I150" s="57"/>
      <c r="J150" s="57"/>
      <c r="K150" s="58"/>
      <c r="L150" s="57"/>
      <c r="M150" s="57"/>
      <c r="N150" s="57"/>
      <c r="O150" s="57"/>
      <c r="P150" s="57"/>
      <c r="Q150" s="57"/>
      <c r="R150" s="57"/>
      <c r="S150" s="57"/>
      <c r="T150" s="57"/>
      <c r="U150" s="57"/>
      <c r="V150" s="57"/>
      <c r="W150" s="57"/>
      <c r="X150" s="57"/>
      <c r="Y150" s="57"/>
      <c r="Z150" s="57"/>
      <c r="AA150" s="57"/>
      <c r="AB150" s="57"/>
      <c r="AC150" s="57"/>
      <c r="AD150" s="57"/>
      <c r="AE150" s="57"/>
      <c r="AF150" s="38"/>
    </row>
    <row r="151" spans="1:32" x14ac:dyDescent="0.25">
      <c r="A151" s="57"/>
      <c r="B151" s="57"/>
      <c r="C151" s="57"/>
      <c r="D151" s="57"/>
      <c r="E151" s="57"/>
      <c r="F151" s="57"/>
      <c r="G151" s="57"/>
      <c r="H151" s="58"/>
      <c r="I151" s="57"/>
      <c r="J151" s="57"/>
      <c r="K151" s="58"/>
      <c r="L151" s="57"/>
      <c r="M151" s="57"/>
      <c r="N151" s="57"/>
      <c r="O151" s="57"/>
      <c r="P151" s="57"/>
      <c r="Q151" s="57"/>
      <c r="R151" s="57"/>
      <c r="S151" s="57"/>
      <c r="T151" s="57"/>
      <c r="U151" s="57"/>
      <c r="V151" s="57"/>
      <c r="W151" s="57"/>
      <c r="X151" s="57"/>
      <c r="Y151" s="57"/>
      <c r="Z151" s="57"/>
      <c r="AA151" s="57"/>
      <c r="AB151" s="57"/>
      <c r="AC151" s="57"/>
      <c r="AD151" s="57"/>
      <c r="AE151" s="57"/>
      <c r="AF151" s="38"/>
    </row>
    <row r="152" spans="1:32" x14ac:dyDescent="0.25">
      <c r="A152" s="57"/>
      <c r="B152" s="57"/>
      <c r="C152" s="57"/>
      <c r="D152" s="57"/>
      <c r="E152" s="57"/>
      <c r="F152" s="57"/>
      <c r="G152" s="57"/>
      <c r="H152" s="58"/>
      <c r="I152" s="57"/>
      <c r="J152" s="57"/>
      <c r="K152" s="58"/>
      <c r="L152" s="57"/>
      <c r="M152" s="57"/>
      <c r="N152" s="57"/>
      <c r="O152" s="57"/>
      <c r="P152" s="57"/>
      <c r="Q152" s="57"/>
      <c r="R152" s="57"/>
      <c r="S152" s="57"/>
      <c r="T152" s="57"/>
      <c r="U152" s="57"/>
      <c r="V152" s="57"/>
      <c r="W152" s="57"/>
      <c r="X152" s="57"/>
      <c r="Y152" s="57"/>
      <c r="Z152" s="57"/>
      <c r="AA152" s="57"/>
      <c r="AB152" s="57"/>
      <c r="AC152" s="57"/>
      <c r="AD152" s="57"/>
      <c r="AE152" s="57"/>
      <c r="AF152" s="38"/>
    </row>
    <row r="153" spans="1:32" x14ac:dyDescent="0.25">
      <c r="A153" s="57"/>
      <c r="B153" s="57"/>
      <c r="C153" s="57"/>
      <c r="D153" s="57"/>
      <c r="E153" s="57"/>
      <c r="F153" s="57"/>
      <c r="G153" s="57"/>
      <c r="H153" s="58"/>
      <c r="I153" s="57"/>
      <c r="J153" s="57"/>
      <c r="K153" s="58"/>
      <c r="L153" s="57"/>
      <c r="M153" s="57"/>
      <c r="N153" s="57"/>
      <c r="O153" s="57"/>
      <c r="P153" s="57"/>
      <c r="Q153" s="57"/>
      <c r="R153" s="57"/>
      <c r="S153" s="57"/>
      <c r="T153" s="57"/>
      <c r="U153" s="57"/>
      <c r="V153" s="57"/>
      <c r="W153" s="57"/>
      <c r="X153" s="57"/>
      <c r="Y153" s="57"/>
      <c r="Z153" s="57"/>
      <c r="AA153" s="57"/>
      <c r="AB153" s="57"/>
      <c r="AC153" s="57"/>
      <c r="AD153" s="57"/>
      <c r="AE153" s="57"/>
      <c r="AF153" s="38"/>
    </row>
    <row r="154" spans="1:32" x14ac:dyDescent="0.25">
      <c r="A154" s="57"/>
      <c r="B154" s="57"/>
      <c r="C154" s="57"/>
      <c r="D154" s="57"/>
      <c r="E154" s="57"/>
      <c r="F154" s="57"/>
      <c r="G154" s="57"/>
      <c r="H154" s="58"/>
      <c r="I154" s="57"/>
      <c r="J154" s="57"/>
      <c r="K154" s="58"/>
      <c r="L154" s="57"/>
      <c r="M154" s="57"/>
      <c r="N154" s="57"/>
      <c r="O154" s="57"/>
      <c r="P154" s="57"/>
      <c r="Q154" s="57"/>
      <c r="R154" s="57"/>
      <c r="S154" s="57"/>
      <c r="T154" s="57"/>
      <c r="U154" s="57"/>
      <c r="V154" s="57"/>
      <c r="W154" s="57"/>
      <c r="X154" s="57"/>
      <c r="Y154" s="57"/>
      <c r="Z154" s="57"/>
      <c r="AA154" s="57"/>
      <c r="AB154" s="57"/>
      <c r="AC154" s="57"/>
      <c r="AD154" s="57"/>
      <c r="AE154" s="57"/>
      <c r="AF154" s="38"/>
    </row>
    <row r="155" spans="1:32" x14ac:dyDescent="0.25">
      <c r="A155" s="57"/>
      <c r="B155" s="57"/>
      <c r="C155" s="57"/>
      <c r="D155" s="57"/>
      <c r="E155" s="57"/>
      <c r="F155" s="57"/>
      <c r="G155" s="57"/>
      <c r="H155" s="58"/>
      <c r="I155" s="57"/>
      <c r="J155" s="57"/>
      <c r="K155" s="58"/>
      <c r="L155" s="57"/>
      <c r="M155" s="57"/>
      <c r="N155" s="57"/>
      <c r="O155" s="57"/>
      <c r="P155" s="57"/>
      <c r="Q155" s="57"/>
      <c r="R155" s="57"/>
      <c r="S155" s="57"/>
      <c r="T155" s="57"/>
      <c r="U155" s="57"/>
      <c r="V155" s="57"/>
      <c r="W155" s="57"/>
      <c r="X155" s="57"/>
      <c r="Y155" s="57"/>
      <c r="Z155" s="57"/>
      <c r="AA155" s="57"/>
      <c r="AB155" s="57"/>
      <c r="AC155" s="57"/>
      <c r="AD155" s="57"/>
      <c r="AE155" s="57"/>
      <c r="AF155" s="38"/>
    </row>
    <row r="156" spans="1:32" x14ac:dyDescent="0.25">
      <c r="A156" s="57"/>
      <c r="B156" s="57"/>
      <c r="C156" s="57"/>
      <c r="D156" s="57"/>
      <c r="E156" s="57"/>
      <c r="F156" s="57"/>
      <c r="G156" s="57"/>
      <c r="H156" s="58"/>
      <c r="I156" s="57"/>
      <c r="J156" s="57"/>
      <c r="K156" s="58"/>
      <c r="L156" s="57"/>
      <c r="M156" s="57"/>
      <c r="N156" s="57"/>
      <c r="O156" s="57"/>
      <c r="P156" s="57"/>
      <c r="Q156" s="57"/>
      <c r="R156" s="57"/>
      <c r="S156" s="57"/>
      <c r="T156" s="57"/>
      <c r="U156" s="57"/>
      <c r="V156" s="57"/>
      <c r="W156" s="57"/>
      <c r="X156" s="57"/>
      <c r="Y156" s="57"/>
      <c r="Z156" s="57"/>
      <c r="AA156" s="57"/>
      <c r="AB156" s="57"/>
      <c r="AC156" s="57"/>
      <c r="AD156" s="57"/>
      <c r="AE156" s="57"/>
      <c r="AF156" s="38"/>
    </row>
    <row r="157" spans="1:32" x14ac:dyDescent="0.25">
      <c r="A157" s="57"/>
      <c r="B157" s="57"/>
      <c r="C157" s="57"/>
      <c r="D157" s="57"/>
      <c r="E157" s="57"/>
      <c r="F157" s="57"/>
      <c r="G157" s="57"/>
      <c r="H157" s="58"/>
      <c r="I157" s="57"/>
      <c r="J157" s="57"/>
      <c r="K157" s="58"/>
      <c r="L157" s="57"/>
      <c r="M157" s="57"/>
      <c r="N157" s="57"/>
      <c r="O157" s="57"/>
      <c r="P157" s="57"/>
      <c r="Q157" s="57"/>
      <c r="R157" s="57"/>
      <c r="S157" s="57"/>
      <c r="T157" s="57"/>
      <c r="U157" s="57"/>
      <c r="V157" s="57"/>
      <c r="W157" s="57"/>
      <c r="X157" s="57"/>
      <c r="Y157" s="57"/>
      <c r="Z157" s="57"/>
      <c r="AA157" s="57"/>
      <c r="AB157" s="57"/>
      <c r="AC157" s="57"/>
      <c r="AD157" s="57"/>
      <c r="AE157" s="57"/>
      <c r="AF157" s="38"/>
    </row>
    <row r="158" spans="1:32" x14ac:dyDescent="0.25">
      <c r="A158" s="57"/>
      <c r="B158" s="57"/>
      <c r="C158" s="57"/>
      <c r="D158" s="57"/>
      <c r="E158" s="57"/>
      <c r="F158" s="57"/>
      <c r="G158" s="57"/>
      <c r="H158" s="58"/>
      <c r="I158" s="57"/>
      <c r="J158" s="57"/>
      <c r="K158" s="58"/>
      <c r="L158" s="57"/>
      <c r="M158" s="57"/>
      <c r="N158" s="57"/>
      <c r="O158" s="57"/>
      <c r="P158" s="57"/>
      <c r="Q158" s="57"/>
      <c r="R158" s="57"/>
      <c r="S158" s="57"/>
      <c r="T158" s="57"/>
      <c r="U158" s="57"/>
      <c r="V158" s="57"/>
      <c r="W158" s="57"/>
      <c r="X158" s="57"/>
      <c r="Y158" s="57"/>
      <c r="Z158" s="57"/>
      <c r="AA158" s="57"/>
      <c r="AB158" s="57"/>
      <c r="AC158" s="57"/>
      <c r="AD158" s="57"/>
      <c r="AE158" s="57"/>
      <c r="AF158" s="38"/>
    </row>
    <row r="159" spans="1:32" x14ac:dyDescent="0.25">
      <c r="A159" s="57"/>
      <c r="B159" s="57"/>
      <c r="C159" s="57"/>
      <c r="D159" s="57"/>
      <c r="E159" s="57"/>
      <c r="F159" s="57"/>
      <c r="G159" s="57"/>
      <c r="H159" s="58"/>
      <c r="I159" s="57"/>
      <c r="J159" s="57"/>
      <c r="K159" s="58"/>
      <c r="L159" s="57"/>
      <c r="M159" s="57"/>
      <c r="N159" s="57"/>
      <c r="O159" s="57"/>
      <c r="P159" s="57"/>
      <c r="Q159" s="57"/>
      <c r="R159" s="57"/>
      <c r="S159" s="57"/>
      <c r="T159" s="57"/>
      <c r="U159" s="57"/>
      <c r="V159" s="57"/>
      <c r="W159" s="57"/>
      <c r="X159" s="57"/>
      <c r="Y159" s="57"/>
      <c r="Z159" s="57"/>
      <c r="AA159" s="57"/>
      <c r="AB159" s="57"/>
      <c r="AC159" s="57"/>
      <c r="AD159" s="57"/>
      <c r="AE159" s="57"/>
      <c r="AF159" s="38"/>
    </row>
    <row r="160" spans="1:32" x14ac:dyDescent="0.25">
      <c r="A160" s="57"/>
      <c r="B160" s="57"/>
      <c r="C160" s="57"/>
      <c r="D160" s="57"/>
      <c r="E160" s="57"/>
      <c r="F160" s="57"/>
      <c r="G160" s="57"/>
      <c r="H160" s="58"/>
      <c r="I160" s="57"/>
      <c r="J160" s="57"/>
      <c r="K160" s="58"/>
      <c r="L160" s="57"/>
      <c r="M160" s="57"/>
      <c r="N160" s="57"/>
      <c r="O160" s="57"/>
      <c r="P160" s="57"/>
      <c r="Q160" s="57"/>
      <c r="R160" s="57"/>
      <c r="S160" s="57"/>
      <c r="T160" s="57"/>
      <c r="U160" s="57"/>
      <c r="V160" s="57"/>
      <c r="W160" s="57"/>
      <c r="X160" s="57"/>
      <c r="Y160" s="57"/>
      <c r="Z160" s="57"/>
      <c r="AA160" s="57"/>
      <c r="AB160" s="57"/>
      <c r="AC160" s="57"/>
      <c r="AD160" s="57"/>
      <c r="AE160" s="57"/>
      <c r="AF160" s="38"/>
    </row>
    <row r="161" spans="1:32" x14ac:dyDescent="0.25">
      <c r="A161" s="57"/>
      <c r="B161" s="57"/>
      <c r="C161" s="57"/>
      <c r="D161" s="57"/>
      <c r="E161" s="57"/>
      <c r="F161" s="57"/>
      <c r="G161" s="57"/>
      <c r="H161" s="58"/>
      <c r="I161" s="57"/>
      <c r="J161" s="57"/>
      <c r="K161" s="58"/>
      <c r="L161" s="57"/>
      <c r="M161" s="57"/>
      <c r="N161" s="57"/>
      <c r="O161" s="57"/>
      <c r="P161" s="57"/>
      <c r="Q161" s="57"/>
      <c r="R161" s="57"/>
      <c r="S161" s="57"/>
      <c r="T161" s="57"/>
      <c r="U161" s="57"/>
      <c r="V161" s="57"/>
      <c r="W161" s="57"/>
      <c r="X161" s="57"/>
      <c r="Y161" s="57"/>
      <c r="Z161" s="57"/>
      <c r="AA161" s="57"/>
      <c r="AB161" s="57"/>
      <c r="AC161" s="57"/>
      <c r="AD161" s="57"/>
      <c r="AE161" s="57"/>
      <c r="AF161" s="57"/>
    </row>
    <row r="162" spans="1:32" x14ac:dyDescent="0.25">
      <c r="A162" s="57"/>
      <c r="B162" s="57"/>
      <c r="C162" s="57"/>
      <c r="D162" s="57"/>
      <c r="E162" s="57"/>
      <c r="F162" s="57"/>
      <c r="G162" s="57"/>
      <c r="H162" s="58"/>
      <c r="I162" s="57"/>
      <c r="J162" s="57"/>
      <c r="K162" s="58"/>
      <c r="L162" s="57"/>
      <c r="M162" s="57"/>
      <c r="N162" s="57"/>
      <c r="O162" s="57"/>
      <c r="P162" s="57"/>
      <c r="Q162" s="57"/>
      <c r="R162" s="57"/>
      <c r="S162" s="57"/>
      <c r="T162" s="57"/>
      <c r="U162" s="57"/>
      <c r="V162" s="57"/>
      <c r="W162" s="57"/>
      <c r="X162" s="57"/>
      <c r="Y162" s="57"/>
      <c r="Z162" s="57"/>
      <c r="AA162" s="57"/>
      <c r="AB162" s="57"/>
      <c r="AC162" s="57"/>
      <c r="AD162" s="57"/>
      <c r="AE162" s="57"/>
      <c r="AF162" s="57"/>
    </row>
    <row r="163" spans="1:32" x14ac:dyDescent="0.25">
      <c r="A163" s="57"/>
      <c r="B163" s="57"/>
      <c r="C163" s="57"/>
      <c r="D163" s="57"/>
      <c r="E163" s="57"/>
      <c r="F163" s="57"/>
      <c r="G163" s="57"/>
      <c r="H163" s="58"/>
      <c r="I163" s="57"/>
      <c r="J163" s="57"/>
      <c r="K163" s="58"/>
      <c r="L163" s="57"/>
      <c r="M163" s="57"/>
      <c r="N163" s="57"/>
      <c r="O163" s="57"/>
      <c r="P163" s="57"/>
      <c r="Q163" s="57"/>
      <c r="R163" s="57"/>
      <c r="S163" s="57"/>
      <c r="T163" s="57"/>
      <c r="U163" s="57"/>
      <c r="V163" s="57"/>
      <c r="W163" s="57"/>
      <c r="X163" s="57"/>
      <c r="Y163" s="57"/>
      <c r="Z163" s="57"/>
      <c r="AA163" s="57"/>
      <c r="AB163" s="57"/>
      <c r="AC163" s="57"/>
      <c r="AD163" s="57"/>
      <c r="AE163" s="57"/>
      <c r="AF163" s="57"/>
    </row>
    <row r="164" spans="1:32" x14ac:dyDescent="0.25">
      <c r="A164" s="57"/>
      <c r="B164" s="57"/>
      <c r="C164" s="57"/>
      <c r="D164" s="57"/>
      <c r="E164" s="57"/>
      <c r="F164" s="57"/>
      <c r="G164" s="57"/>
      <c r="H164" s="58"/>
      <c r="I164" s="57"/>
      <c r="J164" s="57"/>
      <c r="K164" s="58"/>
      <c r="L164" s="57"/>
      <c r="M164" s="57"/>
      <c r="N164" s="57"/>
      <c r="O164" s="57"/>
      <c r="P164" s="57"/>
      <c r="Q164" s="57"/>
      <c r="R164" s="57"/>
      <c r="S164" s="57"/>
      <c r="T164" s="57"/>
      <c r="U164" s="57"/>
      <c r="V164" s="57"/>
      <c r="W164" s="57"/>
      <c r="X164" s="57"/>
      <c r="Y164" s="57"/>
      <c r="Z164" s="57"/>
      <c r="AA164" s="57"/>
      <c r="AB164" s="57"/>
      <c r="AC164" s="57"/>
      <c r="AD164" s="57"/>
      <c r="AE164" s="57"/>
      <c r="AF164" s="57"/>
    </row>
    <row r="165" spans="1:32" x14ac:dyDescent="0.25">
      <c r="A165" s="57"/>
      <c r="B165" s="57"/>
      <c r="C165" s="57"/>
      <c r="D165" s="57"/>
      <c r="E165" s="57"/>
      <c r="F165" s="57"/>
      <c r="G165" s="57"/>
      <c r="H165" s="58"/>
      <c r="I165" s="57"/>
      <c r="J165" s="57"/>
      <c r="K165" s="58"/>
      <c r="L165" s="57"/>
      <c r="M165" s="57"/>
      <c r="N165" s="57"/>
      <c r="O165" s="57"/>
      <c r="P165" s="57"/>
      <c r="Q165" s="57"/>
      <c r="R165" s="57"/>
      <c r="S165" s="57"/>
      <c r="T165" s="57"/>
      <c r="U165" s="57"/>
      <c r="V165" s="57"/>
      <c r="W165" s="57"/>
      <c r="X165" s="57"/>
      <c r="Y165" s="57"/>
      <c r="Z165" s="57"/>
      <c r="AA165" s="57"/>
      <c r="AB165" s="57"/>
      <c r="AC165" s="57"/>
      <c r="AD165" s="57"/>
      <c r="AE165" s="57"/>
      <c r="AF165" s="57"/>
    </row>
    <row r="166" spans="1:32" x14ac:dyDescent="0.25">
      <c r="A166" s="57"/>
      <c r="B166" s="57"/>
      <c r="C166" s="57"/>
      <c r="D166" s="57"/>
      <c r="E166" s="57"/>
      <c r="F166" s="57"/>
      <c r="G166" s="57"/>
      <c r="H166" s="58"/>
      <c r="I166" s="57"/>
      <c r="J166" s="57"/>
      <c r="K166" s="58"/>
      <c r="L166" s="57"/>
      <c r="M166" s="57"/>
      <c r="N166" s="57"/>
      <c r="O166" s="57"/>
      <c r="P166" s="57"/>
      <c r="Q166" s="57"/>
      <c r="R166" s="57"/>
      <c r="S166" s="57"/>
      <c r="T166" s="57"/>
      <c r="U166" s="57"/>
      <c r="V166" s="57"/>
      <c r="W166" s="57"/>
      <c r="X166" s="57"/>
      <c r="Y166" s="57"/>
      <c r="Z166" s="57"/>
      <c r="AA166" s="57"/>
      <c r="AB166" s="57"/>
      <c r="AC166" s="57"/>
      <c r="AD166" s="57"/>
      <c r="AE166" s="57"/>
      <c r="AF166" s="57"/>
    </row>
    <row r="167" spans="1:32" x14ac:dyDescent="0.25">
      <c r="A167" s="57"/>
      <c r="B167" s="57"/>
      <c r="C167" s="57"/>
      <c r="D167" s="57"/>
      <c r="E167" s="57"/>
      <c r="F167" s="57"/>
      <c r="G167" s="57"/>
      <c r="H167" s="58"/>
      <c r="I167" s="57"/>
      <c r="J167" s="57"/>
      <c r="K167" s="58"/>
      <c r="L167" s="57"/>
      <c r="M167" s="57"/>
      <c r="N167" s="57"/>
      <c r="O167" s="57"/>
      <c r="P167" s="57"/>
      <c r="Q167" s="57"/>
      <c r="R167" s="57"/>
      <c r="S167" s="57"/>
      <c r="T167" s="57"/>
      <c r="U167" s="57"/>
      <c r="V167" s="57"/>
      <c r="W167" s="57"/>
      <c r="X167" s="57"/>
      <c r="Y167" s="57"/>
      <c r="Z167" s="57"/>
      <c r="AA167" s="57"/>
      <c r="AB167" s="57"/>
      <c r="AC167" s="57"/>
      <c r="AD167" s="57"/>
      <c r="AE167" s="57"/>
      <c r="AF167" s="57"/>
    </row>
    <row r="168" spans="1:32" x14ac:dyDescent="0.25">
      <c r="A168" s="57"/>
      <c r="B168" s="57"/>
      <c r="C168" s="57"/>
      <c r="D168" s="57"/>
      <c r="E168" s="57"/>
      <c r="F168" s="57"/>
      <c r="G168" s="57"/>
      <c r="H168" s="58"/>
      <c r="I168" s="57"/>
      <c r="J168" s="57"/>
      <c r="K168" s="58"/>
      <c r="L168" s="57"/>
      <c r="M168" s="57"/>
      <c r="N168" s="57"/>
      <c r="O168" s="57"/>
      <c r="P168" s="57"/>
      <c r="Q168" s="57"/>
      <c r="R168" s="57"/>
      <c r="S168" s="57"/>
      <c r="T168" s="57"/>
      <c r="U168" s="57"/>
      <c r="V168" s="57"/>
      <c r="W168" s="57"/>
      <c r="X168" s="57"/>
      <c r="Y168" s="57"/>
      <c r="Z168" s="57"/>
      <c r="AA168" s="57"/>
      <c r="AB168" s="57"/>
      <c r="AC168" s="57"/>
      <c r="AD168" s="57"/>
      <c r="AE168" s="57"/>
      <c r="AF168" s="57"/>
    </row>
    <row r="169" spans="1:32" x14ac:dyDescent="0.25">
      <c r="A169" s="57"/>
      <c r="B169" s="57"/>
      <c r="C169" s="57"/>
      <c r="D169" s="57"/>
      <c r="E169" s="57"/>
      <c r="F169" s="57"/>
      <c r="G169" s="57"/>
      <c r="H169" s="58"/>
      <c r="I169" s="57"/>
      <c r="J169" s="57"/>
      <c r="K169" s="58"/>
      <c r="L169" s="57"/>
      <c r="M169" s="57"/>
      <c r="N169" s="57"/>
      <c r="O169" s="57"/>
      <c r="P169" s="57"/>
      <c r="Q169" s="57"/>
      <c r="R169" s="57"/>
      <c r="S169" s="57"/>
      <c r="T169" s="57"/>
      <c r="U169" s="57"/>
      <c r="V169" s="57"/>
      <c r="W169" s="57"/>
      <c r="X169" s="57"/>
      <c r="Y169" s="57"/>
      <c r="Z169" s="57"/>
      <c r="AA169" s="57"/>
      <c r="AB169" s="57"/>
      <c r="AC169" s="57"/>
      <c r="AD169" s="57"/>
      <c r="AE169" s="57"/>
      <c r="AF169" s="57"/>
    </row>
    <row r="170" spans="1:32" x14ac:dyDescent="0.25">
      <c r="A170" s="57"/>
      <c r="B170" s="57"/>
      <c r="C170" s="57"/>
      <c r="D170" s="57"/>
      <c r="E170" s="57"/>
      <c r="F170" s="57"/>
      <c r="G170" s="57"/>
      <c r="H170" s="58"/>
      <c r="I170" s="57"/>
      <c r="J170" s="57"/>
      <c r="K170" s="58"/>
      <c r="L170" s="57"/>
      <c r="M170" s="57"/>
      <c r="N170" s="57"/>
      <c r="O170" s="57"/>
      <c r="P170" s="57"/>
      <c r="Q170" s="57"/>
      <c r="R170" s="57"/>
      <c r="S170" s="57"/>
      <c r="T170" s="57"/>
      <c r="U170" s="57"/>
      <c r="V170" s="57"/>
      <c r="W170" s="57"/>
      <c r="X170" s="57"/>
      <c r="Y170" s="57"/>
      <c r="Z170" s="57"/>
      <c r="AA170" s="57"/>
      <c r="AB170" s="57"/>
      <c r="AC170" s="57"/>
      <c r="AD170" s="57"/>
      <c r="AE170" s="57"/>
      <c r="AF170" s="57"/>
    </row>
    <row r="171" spans="1:32" x14ac:dyDescent="0.25">
      <c r="A171" s="38"/>
      <c r="B171" s="38"/>
      <c r="C171" s="38"/>
      <c r="D171" s="38"/>
      <c r="E171" s="38"/>
      <c r="F171" s="38"/>
      <c r="G171" s="38"/>
      <c r="H171" s="39"/>
      <c r="I171" s="38"/>
      <c r="J171" s="38"/>
      <c r="K171" s="39"/>
      <c r="L171" s="38"/>
      <c r="M171" s="38"/>
      <c r="N171" s="38"/>
      <c r="O171" s="38"/>
      <c r="P171" s="38"/>
      <c r="Q171" s="38"/>
      <c r="R171" s="38"/>
      <c r="S171" s="38"/>
      <c r="T171" s="38"/>
      <c r="U171" s="38"/>
      <c r="V171" s="38"/>
      <c r="W171" s="38"/>
      <c r="X171" s="38"/>
      <c r="Y171" s="38"/>
      <c r="Z171" s="38"/>
      <c r="AA171" s="38"/>
      <c r="AB171" s="38"/>
      <c r="AC171" s="38"/>
      <c r="AD171" s="38"/>
      <c r="AE171" s="38"/>
      <c r="AF171" s="38"/>
    </row>
    <row r="172" spans="1:32" x14ac:dyDescent="0.25">
      <c r="A172" s="38"/>
      <c r="B172" s="38"/>
      <c r="C172" s="38"/>
      <c r="D172" s="38"/>
      <c r="E172" s="38"/>
      <c r="F172" s="38"/>
      <c r="G172" s="38"/>
      <c r="H172" s="39"/>
      <c r="I172" s="38"/>
      <c r="J172" s="38"/>
      <c r="K172" s="39"/>
      <c r="L172" s="38"/>
      <c r="M172" s="38"/>
      <c r="N172" s="38"/>
      <c r="O172" s="38"/>
      <c r="P172" s="38"/>
      <c r="Q172" s="38"/>
      <c r="R172" s="38"/>
      <c r="S172" s="38"/>
      <c r="T172" s="38"/>
      <c r="U172" s="38"/>
      <c r="V172" s="38"/>
      <c r="W172" s="38"/>
      <c r="X172" s="38"/>
      <c r="Y172" s="38"/>
      <c r="Z172" s="38"/>
      <c r="AA172" s="38"/>
      <c r="AB172" s="38"/>
      <c r="AC172" s="38"/>
      <c r="AD172" s="38"/>
      <c r="AE172" s="38"/>
      <c r="AF172" s="38"/>
    </row>
    <row r="173" spans="1:32" x14ac:dyDescent="0.25">
      <c r="A173" s="38"/>
      <c r="B173" s="38"/>
      <c r="C173" s="38"/>
      <c r="D173" s="38"/>
      <c r="E173" s="38"/>
      <c r="F173" s="38"/>
      <c r="G173" s="38"/>
      <c r="H173" s="39"/>
      <c r="I173" s="38"/>
      <c r="J173" s="38"/>
      <c r="K173" s="39"/>
      <c r="L173" s="38"/>
      <c r="M173" s="38"/>
      <c r="N173" s="38"/>
      <c r="O173" s="38"/>
      <c r="P173" s="38"/>
      <c r="Q173" s="38"/>
      <c r="R173" s="38"/>
      <c r="S173" s="38"/>
      <c r="T173" s="38"/>
      <c r="U173" s="38"/>
      <c r="V173" s="38"/>
      <c r="W173" s="38"/>
      <c r="X173" s="38"/>
      <c r="Y173" s="38"/>
      <c r="Z173" s="38"/>
      <c r="AA173" s="38"/>
      <c r="AB173" s="38"/>
      <c r="AC173" s="38"/>
      <c r="AD173" s="38"/>
      <c r="AE173" s="38"/>
      <c r="AF173" s="38"/>
    </row>
    <row r="174" spans="1:32" x14ac:dyDescent="0.25">
      <c r="A174" s="38"/>
      <c r="B174" s="38"/>
      <c r="C174" s="38"/>
      <c r="D174" s="38"/>
      <c r="E174" s="38"/>
      <c r="F174" s="38"/>
      <c r="G174" s="38"/>
      <c r="H174" s="39"/>
      <c r="I174" s="38"/>
      <c r="J174" s="38"/>
      <c r="K174" s="39"/>
      <c r="L174" s="38"/>
      <c r="M174" s="38"/>
      <c r="N174" s="38"/>
      <c r="O174" s="38"/>
      <c r="P174" s="38"/>
      <c r="Q174" s="38"/>
      <c r="R174" s="38"/>
      <c r="S174" s="38"/>
      <c r="T174" s="38"/>
      <c r="U174" s="38"/>
      <c r="V174" s="38"/>
      <c r="W174" s="38"/>
      <c r="X174" s="38"/>
      <c r="Y174" s="38"/>
      <c r="Z174" s="38"/>
      <c r="AA174" s="38"/>
      <c r="AB174" s="38"/>
      <c r="AC174" s="38"/>
      <c r="AD174" s="38"/>
      <c r="AE174" s="38"/>
      <c r="AF174" s="38"/>
    </row>
    <row r="175" spans="1:32" x14ac:dyDescent="0.25">
      <c r="A175" s="38"/>
      <c r="B175" s="38"/>
      <c r="C175" s="38"/>
      <c r="D175" s="38"/>
      <c r="E175" s="38"/>
      <c r="F175" s="38"/>
      <c r="G175" s="38"/>
      <c r="H175" s="39"/>
      <c r="I175" s="38"/>
      <c r="J175" s="38"/>
      <c r="K175" s="39"/>
      <c r="L175" s="38"/>
      <c r="M175" s="38"/>
      <c r="N175" s="38"/>
      <c r="O175" s="38"/>
      <c r="P175" s="38"/>
      <c r="Q175" s="38"/>
      <c r="R175" s="38"/>
      <c r="S175" s="38"/>
      <c r="T175" s="38"/>
      <c r="U175" s="38"/>
      <c r="V175" s="38"/>
      <c r="W175" s="38"/>
      <c r="X175" s="38"/>
      <c r="Y175" s="38"/>
      <c r="Z175" s="38"/>
      <c r="AA175" s="38"/>
      <c r="AB175" s="38"/>
      <c r="AC175" s="38"/>
      <c r="AD175" s="38"/>
      <c r="AE175" s="38"/>
      <c r="AF175" s="38"/>
    </row>
    <row r="176" spans="1:32" x14ac:dyDescent="0.25">
      <c r="A176" s="38"/>
      <c r="B176" s="38"/>
      <c r="C176" s="38"/>
      <c r="D176" s="38"/>
      <c r="E176" s="38"/>
      <c r="F176" s="38"/>
      <c r="G176" s="38"/>
      <c r="H176" s="39"/>
      <c r="I176" s="38"/>
      <c r="J176" s="38"/>
      <c r="K176" s="39"/>
      <c r="L176" s="38"/>
      <c r="M176" s="38"/>
      <c r="N176" s="38"/>
      <c r="O176" s="38"/>
      <c r="P176" s="38"/>
      <c r="Q176" s="38"/>
      <c r="R176" s="38"/>
      <c r="S176" s="38"/>
      <c r="T176" s="38"/>
      <c r="U176" s="38"/>
      <c r="V176" s="38"/>
      <c r="W176" s="38"/>
      <c r="X176" s="38"/>
      <c r="Y176" s="38"/>
      <c r="Z176" s="38"/>
      <c r="AA176" s="38"/>
      <c r="AB176" s="38"/>
      <c r="AC176" s="38"/>
      <c r="AD176" s="38"/>
      <c r="AE176" s="38"/>
      <c r="AF176" s="38"/>
    </row>
    <row r="177" spans="1:32" x14ac:dyDescent="0.25">
      <c r="A177" s="38"/>
      <c r="B177" s="38"/>
      <c r="C177" s="38"/>
      <c r="D177" s="38"/>
      <c r="E177" s="38"/>
      <c r="F177" s="38"/>
      <c r="G177" s="38"/>
      <c r="H177" s="39"/>
      <c r="I177" s="38"/>
      <c r="J177" s="38"/>
      <c r="K177" s="39"/>
      <c r="L177" s="38"/>
      <c r="M177" s="38"/>
      <c r="N177" s="38"/>
      <c r="O177" s="38"/>
      <c r="P177" s="38"/>
      <c r="Q177" s="38"/>
      <c r="R177" s="38"/>
      <c r="S177" s="38"/>
      <c r="T177" s="38"/>
      <c r="U177" s="38"/>
      <c r="V177" s="38"/>
      <c r="W177" s="38"/>
      <c r="X177" s="38"/>
      <c r="Y177" s="38"/>
      <c r="Z177" s="38"/>
      <c r="AA177" s="38"/>
      <c r="AB177" s="38"/>
      <c r="AC177" s="38"/>
      <c r="AD177" s="38"/>
      <c r="AE177" s="38"/>
      <c r="AF177" s="38"/>
    </row>
    <row r="178" spans="1:32" x14ac:dyDescent="0.25">
      <c r="A178" s="38"/>
      <c r="B178" s="38"/>
      <c r="C178" s="38"/>
      <c r="D178" s="38"/>
      <c r="E178" s="38"/>
      <c r="F178" s="38"/>
      <c r="G178" s="38"/>
      <c r="H178" s="39"/>
      <c r="I178" s="38"/>
      <c r="J178" s="38"/>
      <c r="K178" s="39"/>
      <c r="L178" s="38"/>
      <c r="M178" s="38"/>
      <c r="N178" s="38"/>
      <c r="O178" s="38"/>
      <c r="P178" s="38"/>
      <c r="Q178" s="38"/>
      <c r="R178" s="38"/>
      <c r="S178" s="38"/>
      <c r="T178" s="38"/>
      <c r="U178" s="38"/>
      <c r="V178" s="38"/>
      <c r="W178" s="38"/>
      <c r="X178" s="38"/>
      <c r="Y178" s="38"/>
      <c r="Z178" s="38"/>
      <c r="AA178" s="38"/>
      <c r="AB178" s="38"/>
      <c r="AC178" s="38"/>
      <c r="AD178" s="38"/>
      <c r="AE178" s="38"/>
      <c r="AF178" s="38"/>
    </row>
    <row r="179" spans="1:32" x14ac:dyDescent="0.25">
      <c r="A179" s="38"/>
      <c r="B179" s="38"/>
      <c r="C179" s="38"/>
      <c r="D179" s="38"/>
      <c r="E179" s="38"/>
      <c r="F179" s="38"/>
      <c r="G179" s="38"/>
      <c r="H179" s="39"/>
      <c r="I179" s="38"/>
      <c r="J179" s="38"/>
      <c r="K179" s="39"/>
      <c r="L179" s="38"/>
      <c r="M179" s="38"/>
      <c r="N179" s="38"/>
      <c r="O179" s="38"/>
      <c r="P179" s="38"/>
      <c r="Q179" s="38"/>
      <c r="R179" s="38"/>
      <c r="S179" s="38"/>
      <c r="T179" s="38"/>
      <c r="U179" s="38"/>
      <c r="V179" s="38"/>
      <c r="W179" s="38"/>
      <c r="X179" s="38"/>
      <c r="Y179" s="38"/>
      <c r="Z179" s="38"/>
      <c r="AA179" s="38"/>
      <c r="AB179" s="38"/>
      <c r="AC179" s="38"/>
      <c r="AD179" s="38"/>
      <c r="AE179" s="38"/>
      <c r="AF179" s="38"/>
    </row>
    <row r="180" spans="1:32" x14ac:dyDescent="0.25">
      <c r="A180" s="38"/>
      <c r="B180" s="38"/>
      <c r="C180" s="38"/>
      <c r="D180" s="38"/>
      <c r="E180" s="38"/>
      <c r="F180" s="38"/>
      <c r="G180" s="38"/>
      <c r="H180" s="39"/>
      <c r="I180" s="38"/>
      <c r="J180" s="38"/>
      <c r="K180" s="39"/>
      <c r="L180" s="38"/>
      <c r="M180" s="38"/>
      <c r="N180" s="38"/>
      <c r="O180" s="38"/>
      <c r="P180" s="38"/>
      <c r="Q180" s="38"/>
      <c r="R180" s="38"/>
      <c r="S180" s="38"/>
      <c r="T180" s="38"/>
      <c r="U180" s="38"/>
      <c r="V180" s="38"/>
      <c r="W180" s="38"/>
      <c r="X180" s="38"/>
      <c r="Y180" s="38"/>
      <c r="Z180" s="38"/>
      <c r="AA180" s="38"/>
      <c r="AB180" s="38"/>
      <c r="AC180" s="38"/>
      <c r="AD180" s="38"/>
      <c r="AE180" s="38"/>
      <c r="AF180" s="38"/>
    </row>
    <row r="181" spans="1:32" x14ac:dyDescent="0.25">
      <c r="A181" s="38"/>
      <c r="B181" s="38"/>
      <c r="C181" s="38"/>
      <c r="D181" s="38"/>
      <c r="E181" s="38"/>
      <c r="F181" s="38"/>
      <c r="G181" s="38"/>
      <c r="H181" s="39"/>
      <c r="I181" s="38"/>
      <c r="J181" s="38"/>
      <c r="K181" s="39"/>
      <c r="L181" s="38"/>
      <c r="M181" s="38"/>
      <c r="N181" s="38"/>
      <c r="O181" s="38"/>
      <c r="P181" s="38"/>
      <c r="Q181" s="38"/>
      <c r="R181" s="38"/>
      <c r="S181" s="38"/>
      <c r="T181" s="38"/>
      <c r="U181" s="38"/>
      <c r="V181" s="38"/>
      <c r="W181" s="38"/>
      <c r="X181" s="38"/>
      <c r="Y181" s="38"/>
      <c r="Z181" s="38"/>
      <c r="AA181" s="38"/>
      <c r="AB181" s="38"/>
      <c r="AC181" s="38"/>
      <c r="AD181" s="38"/>
      <c r="AE181" s="38"/>
      <c r="AF181" s="38"/>
    </row>
    <row r="182" spans="1:32" x14ac:dyDescent="0.25">
      <c r="A182" s="38"/>
      <c r="B182" s="38"/>
      <c r="C182" s="38"/>
      <c r="D182" s="38"/>
      <c r="E182" s="38"/>
      <c r="F182" s="38"/>
      <c r="G182" s="38"/>
      <c r="H182" s="39"/>
      <c r="I182" s="38"/>
      <c r="J182" s="38"/>
      <c r="K182" s="39"/>
      <c r="L182" s="38"/>
      <c r="M182" s="38"/>
      <c r="N182" s="38"/>
      <c r="O182" s="38"/>
      <c r="P182" s="38"/>
      <c r="Q182" s="38"/>
      <c r="R182" s="38"/>
      <c r="S182" s="38"/>
      <c r="T182" s="38"/>
      <c r="U182" s="38"/>
      <c r="V182" s="38"/>
      <c r="W182" s="38"/>
      <c r="X182" s="38"/>
      <c r="Y182" s="38"/>
      <c r="Z182" s="38"/>
      <c r="AA182" s="38"/>
      <c r="AB182" s="38"/>
      <c r="AC182" s="38"/>
      <c r="AD182" s="38"/>
      <c r="AE182" s="38"/>
      <c r="AF182" s="38"/>
    </row>
    <row r="183" spans="1:32" x14ac:dyDescent="0.25">
      <c r="A183" s="38"/>
      <c r="B183" s="38"/>
      <c r="C183" s="38"/>
      <c r="D183" s="38"/>
      <c r="E183" s="38"/>
      <c r="F183" s="38"/>
      <c r="G183" s="38"/>
      <c r="H183" s="39"/>
      <c r="I183" s="38"/>
      <c r="J183" s="38"/>
      <c r="K183" s="39"/>
      <c r="L183" s="38"/>
      <c r="M183" s="38"/>
      <c r="N183" s="38"/>
      <c r="O183" s="38"/>
      <c r="P183" s="38"/>
      <c r="Q183" s="38"/>
      <c r="R183" s="38"/>
      <c r="S183" s="38"/>
      <c r="T183" s="38"/>
      <c r="U183" s="38"/>
      <c r="V183" s="38"/>
      <c r="W183" s="38"/>
      <c r="X183" s="38"/>
      <c r="Y183" s="38"/>
      <c r="Z183" s="38"/>
      <c r="AA183" s="38"/>
      <c r="AB183" s="38"/>
      <c r="AC183" s="38"/>
      <c r="AD183" s="38"/>
      <c r="AE183" s="38"/>
      <c r="AF183" s="38"/>
    </row>
    <row r="184" spans="1:32" x14ac:dyDescent="0.25">
      <c r="A184" s="38"/>
      <c r="B184" s="38"/>
      <c r="C184" s="38"/>
      <c r="D184" s="38"/>
      <c r="E184" s="38"/>
      <c r="F184" s="38"/>
      <c r="G184" s="38"/>
      <c r="H184" s="39"/>
      <c r="I184" s="38"/>
      <c r="J184" s="38"/>
      <c r="K184" s="39"/>
      <c r="L184" s="38"/>
      <c r="M184" s="38"/>
      <c r="N184" s="38"/>
      <c r="O184" s="38"/>
      <c r="P184" s="38"/>
      <c r="Q184" s="38"/>
      <c r="R184" s="38"/>
      <c r="S184" s="38"/>
      <c r="T184" s="38"/>
      <c r="U184" s="38"/>
      <c r="V184" s="38"/>
      <c r="W184" s="38"/>
      <c r="X184" s="38"/>
      <c r="Y184" s="38"/>
      <c r="Z184" s="38"/>
      <c r="AA184" s="38"/>
      <c r="AB184" s="38"/>
      <c r="AC184" s="38"/>
      <c r="AD184" s="38"/>
      <c r="AE184" s="38"/>
      <c r="AF184" s="38"/>
    </row>
    <row r="185" spans="1:32" x14ac:dyDescent="0.25">
      <c r="A185" s="38"/>
      <c r="B185" s="38"/>
      <c r="C185" s="38"/>
      <c r="D185" s="38"/>
      <c r="E185" s="38"/>
      <c r="F185" s="38"/>
      <c r="G185" s="38"/>
      <c r="H185" s="39"/>
      <c r="I185" s="38"/>
      <c r="J185" s="38"/>
      <c r="K185" s="39"/>
      <c r="L185" s="38"/>
      <c r="M185" s="38"/>
      <c r="N185" s="38"/>
      <c r="O185" s="38"/>
      <c r="P185" s="38"/>
      <c r="Q185" s="38"/>
      <c r="R185" s="38"/>
      <c r="S185" s="38"/>
      <c r="T185" s="38"/>
      <c r="U185" s="38"/>
      <c r="V185" s="38"/>
      <c r="W185" s="38"/>
      <c r="X185" s="38"/>
      <c r="Y185" s="38"/>
      <c r="Z185" s="38"/>
      <c r="AA185" s="38"/>
      <c r="AB185" s="38"/>
      <c r="AC185" s="38"/>
      <c r="AD185" s="38"/>
      <c r="AE185" s="38"/>
      <c r="AF185" s="38"/>
    </row>
    <row r="186" spans="1:32" x14ac:dyDescent="0.25">
      <c r="A186" s="38"/>
      <c r="B186" s="38"/>
      <c r="C186" s="38"/>
      <c r="D186" s="38"/>
      <c r="E186" s="38"/>
      <c r="F186" s="38"/>
      <c r="G186" s="38"/>
      <c r="H186" s="39"/>
      <c r="I186" s="38"/>
      <c r="J186" s="38"/>
      <c r="K186" s="39"/>
      <c r="L186" s="38"/>
      <c r="M186" s="38"/>
      <c r="N186" s="38"/>
      <c r="O186" s="38"/>
      <c r="P186" s="38"/>
      <c r="Q186" s="38"/>
      <c r="R186" s="38"/>
      <c r="S186" s="38"/>
      <c r="T186" s="38"/>
      <c r="U186" s="38"/>
      <c r="V186" s="38"/>
      <c r="W186" s="38"/>
      <c r="X186" s="38"/>
      <c r="Y186" s="38"/>
      <c r="Z186" s="38"/>
      <c r="AA186" s="38"/>
      <c r="AB186" s="38"/>
      <c r="AC186" s="38"/>
      <c r="AD186" s="38"/>
      <c r="AE186" s="38"/>
      <c r="AF186" s="38"/>
    </row>
    <row r="187" spans="1:32" x14ac:dyDescent="0.25">
      <c r="A187" s="38"/>
      <c r="B187" s="38"/>
      <c r="C187" s="38"/>
      <c r="D187" s="38"/>
      <c r="E187" s="38"/>
      <c r="F187" s="38"/>
      <c r="G187" s="38"/>
      <c r="H187" s="39"/>
      <c r="I187" s="38"/>
      <c r="J187" s="38"/>
      <c r="K187" s="39"/>
      <c r="L187" s="38"/>
      <c r="M187" s="38"/>
      <c r="N187" s="38"/>
      <c r="O187" s="38"/>
      <c r="P187" s="38"/>
      <c r="Q187" s="38"/>
      <c r="R187" s="38"/>
      <c r="S187" s="38"/>
      <c r="T187" s="38"/>
      <c r="U187" s="38"/>
      <c r="V187" s="38"/>
      <c r="W187" s="38"/>
      <c r="X187" s="38"/>
      <c r="Y187" s="38"/>
      <c r="Z187" s="38"/>
      <c r="AA187" s="38"/>
      <c r="AB187" s="38"/>
      <c r="AC187" s="38"/>
      <c r="AD187" s="38"/>
      <c r="AE187" s="38"/>
      <c r="AF187" s="38"/>
    </row>
    <row r="188" spans="1:32" x14ac:dyDescent="0.25">
      <c r="A188" s="38"/>
      <c r="B188" s="38"/>
      <c r="C188" s="38"/>
      <c r="D188" s="38"/>
      <c r="E188" s="38"/>
      <c r="F188" s="38"/>
      <c r="G188" s="38"/>
      <c r="H188" s="39"/>
      <c r="I188" s="38"/>
      <c r="J188" s="38"/>
      <c r="K188" s="39"/>
      <c r="L188" s="38"/>
      <c r="M188" s="38"/>
      <c r="N188" s="38"/>
      <c r="O188" s="38"/>
      <c r="P188" s="38"/>
      <c r="Q188" s="38"/>
      <c r="R188" s="38"/>
      <c r="S188" s="38"/>
      <c r="T188" s="38"/>
      <c r="U188" s="38"/>
      <c r="V188" s="38"/>
      <c r="W188" s="38"/>
      <c r="X188" s="38"/>
      <c r="Y188" s="38"/>
      <c r="Z188" s="38"/>
      <c r="AA188" s="38"/>
      <c r="AB188" s="38"/>
      <c r="AC188" s="38"/>
      <c r="AD188" s="38"/>
      <c r="AE188" s="38"/>
      <c r="AF188" s="38"/>
    </row>
    <row r="189" spans="1:32" x14ac:dyDescent="0.25">
      <c r="A189" s="38"/>
      <c r="B189" s="38"/>
      <c r="C189" s="38"/>
      <c r="D189" s="38"/>
      <c r="E189" s="38"/>
      <c r="F189" s="38"/>
      <c r="G189" s="38"/>
      <c r="H189" s="39"/>
      <c r="I189" s="38"/>
      <c r="J189" s="38"/>
      <c r="K189" s="39"/>
      <c r="L189" s="38"/>
      <c r="M189" s="38"/>
      <c r="N189" s="38"/>
      <c r="O189" s="38"/>
      <c r="P189" s="38"/>
      <c r="Q189" s="38"/>
      <c r="R189" s="38"/>
      <c r="S189" s="38"/>
      <c r="T189" s="38"/>
      <c r="U189" s="38"/>
      <c r="V189" s="38"/>
      <c r="W189" s="38"/>
      <c r="X189" s="38"/>
      <c r="Y189" s="38"/>
      <c r="Z189" s="38"/>
      <c r="AA189" s="38"/>
      <c r="AB189" s="38"/>
      <c r="AC189" s="38"/>
      <c r="AD189" s="38"/>
      <c r="AE189" s="38"/>
      <c r="AF189" s="38"/>
    </row>
    <row r="190" spans="1:32" x14ac:dyDescent="0.25">
      <c r="A190" s="38"/>
      <c r="B190" s="38"/>
      <c r="C190" s="38"/>
      <c r="D190" s="38"/>
      <c r="E190" s="38"/>
      <c r="F190" s="38"/>
      <c r="G190" s="38"/>
      <c r="H190" s="39"/>
      <c r="I190" s="38"/>
      <c r="J190" s="38"/>
      <c r="K190" s="39"/>
      <c r="L190" s="38"/>
      <c r="M190" s="38"/>
      <c r="N190" s="38"/>
      <c r="O190" s="38"/>
      <c r="P190" s="38"/>
      <c r="Q190" s="38"/>
      <c r="R190" s="38"/>
      <c r="S190" s="38"/>
      <c r="T190" s="38"/>
      <c r="U190" s="38"/>
      <c r="V190" s="38"/>
      <c r="W190" s="38"/>
      <c r="X190" s="38"/>
      <c r="Y190" s="38"/>
      <c r="Z190" s="38"/>
      <c r="AA190" s="38"/>
      <c r="AB190" s="38"/>
      <c r="AC190" s="38"/>
      <c r="AD190" s="38"/>
      <c r="AE190" s="38"/>
      <c r="AF190" s="38"/>
    </row>
    <row r="191" spans="1:32" x14ac:dyDescent="0.25">
      <c r="A191" s="38"/>
      <c r="B191" s="38"/>
      <c r="C191" s="38"/>
      <c r="D191" s="38"/>
      <c r="E191" s="38"/>
      <c r="F191" s="38"/>
      <c r="G191" s="38"/>
      <c r="H191" s="39"/>
      <c r="I191" s="38"/>
      <c r="J191" s="38"/>
      <c r="K191" s="39"/>
      <c r="L191" s="38"/>
      <c r="M191" s="38"/>
      <c r="N191" s="38"/>
      <c r="O191" s="38"/>
      <c r="P191" s="38"/>
      <c r="Q191" s="38"/>
      <c r="R191" s="38"/>
      <c r="S191" s="38"/>
      <c r="T191" s="38"/>
      <c r="U191" s="38"/>
      <c r="V191" s="38"/>
      <c r="W191" s="38"/>
      <c r="X191" s="38"/>
      <c r="Y191" s="38"/>
      <c r="Z191" s="38"/>
      <c r="AA191" s="38"/>
      <c r="AB191" s="38"/>
      <c r="AC191" s="38"/>
      <c r="AD191" s="38"/>
      <c r="AE191" s="38"/>
      <c r="AF191" s="38"/>
    </row>
    <row r="192" spans="1:32" x14ac:dyDescent="0.25">
      <c r="A192" s="38"/>
      <c r="B192" s="38"/>
      <c r="C192" s="38"/>
      <c r="D192" s="38"/>
      <c r="E192" s="38"/>
      <c r="F192" s="38"/>
      <c r="G192" s="38"/>
      <c r="H192" s="39"/>
      <c r="I192" s="38"/>
      <c r="J192" s="38"/>
      <c r="K192" s="39"/>
      <c r="L192" s="38"/>
      <c r="M192" s="38"/>
      <c r="N192" s="38"/>
      <c r="O192" s="38"/>
      <c r="P192" s="38"/>
      <c r="Q192" s="38"/>
      <c r="R192" s="38"/>
      <c r="S192" s="38"/>
      <c r="T192" s="38"/>
      <c r="U192" s="38"/>
      <c r="V192" s="38"/>
      <c r="W192" s="38"/>
      <c r="X192" s="38"/>
      <c r="Y192" s="38"/>
      <c r="Z192" s="38"/>
      <c r="AA192" s="38"/>
      <c r="AB192" s="38"/>
      <c r="AC192" s="38"/>
      <c r="AD192" s="38"/>
      <c r="AE192" s="38"/>
      <c r="AF192" s="38"/>
    </row>
    <row r="193" spans="1:32" x14ac:dyDescent="0.25">
      <c r="A193" s="38"/>
      <c r="B193" s="38"/>
      <c r="C193" s="38"/>
      <c r="D193" s="38"/>
      <c r="E193" s="38"/>
      <c r="F193" s="38"/>
      <c r="G193" s="38"/>
      <c r="H193" s="39"/>
      <c r="I193" s="38"/>
      <c r="J193" s="38"/>
      <c r="K193" s="39"/>
      <c r="L193" s="38"/>
      <c r="M193" s="38"/>
      <c r="N193" s="38"/>
      <c r="O193" s="38"/>
      <c r="P193" s="38"/>
      <c r="Q193" s="38"/>
      <c r="R193" s="38"/>
      <c r="S193" s="38"/>
      <c r="T193" s="38"/>
      <c r="U193" s="38"/>
      <c r="V193" s="38"/>
      <c r="W193" s="38"/>
      <c r="X193" s="38"/>
      <c r="Y193" s="38"/>
      <c r="Z193" s="38"/>
      <c r="AA193" s="38"/>
      <c r="AB193" s="38"/>
      <c r="AC193" s="38"/>
      <c r="AD193" s="38"/>
      <c r="AE193" s="38"/>
      <c r="AF193" s="38"/>
    </row>
    <row r="194" spans="1:32" x14ac:dyDescent="0.25">
      <c r="A194" s="38"/>
      <c r="B194" s="38"/>
      <c r="C194" s="38"/>
      <c r="D194" s="38"/>
      <c r="E194" s="38"/>
      <c r="F194" s="38"/>
      <c r="G194" s="38"/>
      <c r="H194" s="39"/>
      <c r="I194" s="38"/>
      <c r="J194" s="38"/>
      <c r="K194" s="39"/>
      <c r="L194" s="38"/>
      <c r="M194" s="38"/>
      <c r="N194" s="38"/>
      <c r="O194" s="38"/>
      <c r="P194" s="38"/>
      <c r="Q194" s="38"/>
      <c r="R194" s="38"/>
      <c r="S194" s="38"/>
      <c r="T194" s="38"/>
      <c r="U194" s="38"/>
      <c r="V194" s="38"/>
      <c r="W194" s="38"/>
      <c r="X194" s="38"/>
      <c r="Y194" s="38"/>
      <c r="Z194" s="38"/>
      <c r="AA194" s="38"/>
      <c r="AB194" s="38"/>
      <c r="AC194" s="38"/>
      <c r="AD194" s="38"/>
      <c r="AE194" s="38"/>
      <c r="AF194" s="38"/>
    </row>
    <row r="195" spans="1:32" x14ac:dyDescent="0.25">
      <c r="A195" s="38"/>
      <c r="B195" s="38"/>
      <c r="C195" s="38"/>
      <c r="D195" s="38"/>
      <c r="E195" s="38"/>
      <c r="F195" s="38"/>
      <c r="G195" s="38"/>
      <c r="H195" s="39"/>
      <c r="I195" s="38"/>
      <c r="J195" s="38"/>
      <c r="K195" s="39"/>
      <c r="L195" s="38"/>
      <c r="M195" s="38"/>
      <c r="N195" s="38"/>
      <c r="O195" s="38"/>
      <c r="P195" s="38"/>
      <c r="Q195" s="38"/>
      <c r="R195" s="38"/>
      <c r="S195" s="38"/>
      <c r="T195" s="38"/>
      <c r="U195" s="38"/>
      <c r="V195" s="38"/>
      <c r="W195" s="38"/>
      <c r="X195" s="38"/>
      <c r="Y195" s="38"/>
      <c r="Z195" s="38"/>
      <c r="AA195" s="38"/>
      <c r="AB195" s="38"/>
      <c r="AC195" s="38"/>
      <c r="AD195" s="38"/>
      <c r="AE195" s="38"/>
      <c r="AF195" s="38"/>
    </row>
    <row r="196" spans="1:32" x14ac:dyDescent="0.25">
      <c r="A196" s="38"/>
      <c r="B196" s="38"/>
      <c r="C196" s="38"/>
      <c r="D196" s="38"/>
      <c r="E196" s="38"/>
      <c r="F196" s="38"/>
      <c r="G196" s="38"/>
      <c r="H196" s="39"/>
      <c r="I196" s="38"/>
      <c r="J196" s="38"/>
      <c r="K196" s="39"/>
      <c r="L196" s="38"/>
      <c r="M196" s="38"/>
      <c r="N196" s="38"/>
      <c r="O196" s="38"/>
      <c r="P196" s="38"/>
      <c r="Q196" s="38"/>
      <c r="R196" s="38"/>
      <c r="S196" s="38"/>
      <c r="T196" s="38"/>
      <c r="U196" s="38"/>
      <c r="V196" s="38"/>
      <c r="W196" s="38"/>
      <c r="X196" s="38"/>
      <c r="Y196" s="38"/>
      <c r="Z196" s="38"/>
      <c r="AA196" s="38"/>
      <c r="AB196" s="38"/>
      <c r="AC196" s="38"/>
      <c r="AD196" s="38"/>
      <c r="AE196" s="38"/>
      <c r="AF196" s="38"/>
    </row>
    <row r="197" spans="1:32" x14ac:dyDescent="0.25">
      <c r="A197" s="38"/>
      <c r="B197" s="38"/>
      <c r="C197" s="38"/>
      <c r="D197" s="38"/>
      <c r="E197" s="38"/>
      <c r="F197" s="38"/>
      <c r="G197" s="38"/>
      <c r="H197" s="39"/>
      <c r="I197" s="38"/>
      <c r="J197" s="38"/>
      <c r="K197" s="39"/>
      <c r="L197" s="38"/>
      <c r="M197" s="38"/>
      <c r="N197" s="38"/>
      <c r="O197" s="38"/>
      <c r="P197" s="38"/>
      <c r="Q197" s="38"/>
      <c r="R197" s="38"/>
      <c r="S197" s="38"/>
      <c r="T197" s="38"/>
      <c r="U197" s="38"/>
      <c r="V197" s="38"/>
      <c r="W197" s="38"/>
      <c r="X197" s="38"/>
      <c r="Y197" s="38"/>
      <c r="Z197" s="38"/>
      <c r="AA197" s="38"/>
      <c r="AB197" s="38"/>
      <c r="AC197" s="38"/>
      <c r="AD197" s="38"/>
      <c r="AE197" s="38"/>
      <c r="AF197" s="38"/>
    </row>
    <row r="198" spans="1:32" x14ac:dyDescent="0.25">
      <c r="A198" s="38"/>
      <c r="B198" s="38"/>
      <c r="C198" s="38"/>
      <c r="D198" s="38"/>
      <c r="E198" s="38"/>
      <c r="F198" s="38"/>
      <c r="G198" s="38"/>
      <c r="H198" s="39"/>
      <c r="I198" s="38"/>
      <c r="J198" s="38"/>
      <c r="K198" s="39"/>
      <c r="L198" s="38"/>
      <c r="M198" s="38"/>
      <c r="N198" s="38"/>
      <c r="O198" s="38"/>
      <c r="P198" s="38"/>
      <c r="Q198" s="38"/>
      <c r="R198" s="38"/>
      <c r="S198" s="38"/>
      <c r="T198" s="38"/>
      <c r="U198" s="38"/>
      <c r="V198" s="38"/>
      <c r="W198" s="38"/>
      <c r="X198" s="38"/>
      <c r="Y198" s="38"/>
      <c r="Z198" s="38"/>
      <c r="AA198" s="38"/>
      <c r="AB198" s="38"/>
      <c r="AC198" s="38"/>
      <c r="AD198" s="38"/>
      <c r="AE198" s="38"/>
      <c r="AF198" s="38"/>
    </row>
    <row r="199" spans="1:32" x14ac:dyDescent="0.25">
      <c r="A199" s="38"/>
      <c r="B199" s="38"/>
      <c r="C199" s="38"/>
      <c r="D199" s="38"/>
      <c r="E199" s="38"/>
      <c r="F199" s="38"/>
      <c r="G199" s="38"/>
      <c r="H199" s="39"/>
      <c r="I199" s="38"/>
      <c r="J199" s="38"/>
      <c r="K199" s="39"/>
      <c r="L199" s="38"/>
      <c r="M199" s="38"/>
      <c r="N199" s="38"/>
      <c r="O199" s="38"/>
      <c r="P199" s="38"/>
      <c r="Q199" s="38"/>
      <c r="R199" s="38"/>
      <c r="S199" s="38"/>
      <c r="T199" s="38"/>
      <c r="U199" s="38"/>
      <c r="V199" s="38"/>
      <c r="W199" s="38"/>
      <c r="X199" s="38"/>
      <c r="Y199" s="38"/>
      <c r="Z199" s="38"/>
      <c r="AA199" s="38"/>
      <c r="AB199" s="38"/>
      <c r="AC199" s="38"/>
      <c r="AD199" s="38"/>
      <c r="AE199" s="38"/>
      <c r="AF199" s="38"/>
    </row>
    <row r="200" spans="1:32" x14ac:dyDescent="0.25">
      <c r="A200" s="38"/>
      <c r="B200" s="38"/>
      <c r="C200" s="38"/>
      <c r="D200" s="38"/>
      <c r="E200" s="38"/>
      <c r="F200" s="38"/>
      <c r="G200" s="38"/>
      <c r="H200" s="39"/>
      <c r="I200" s="38"/>
      <c r="J200" s="38"/>
      <c r="K200" s="39"/>
      <c r="L200" s="38"/>
      <c r="M200" s="38"/>
      <c r="N200" s="38"/>
      <c r="O200" s="38"/>
      <c r="P200" s="38"/>
      <c r="Q200" s="38"/>
      <c r="R200" s="38"/>
      <c r="S200" s="38"/>
      <c r="T200" s="38"/>
      <c r="U200" s="38"/>
      <c r="V200" s="38"/>
      <c r="W200" s="38"/>
      <c r="X200" s="38"/>
      <c r="Y200" s="38"/>
      <c r="Z200" s="38"/>
      <c r="AA200" s="38"/>
      <c r="AB200" s="38"/>
      <c r="AC200" s="38"/>
      <c r="AD200" s="38"/>
      <c r="AE200" s="38"/>
      <c r="AF200" s="38"/>
    </row>
    <row r="201" spans="1:32" x14ac:dyDescent="0.25">
      <c r="A201" s="38"/>
      <c r="B201" s="38"/>
      <c r="C201" s="38"/>
      <c r="D201" s="38"/>
      <c r="E201" s="38"/>
      <c r="F201" s="38"/>
      <c r="G201" s="38"/>
      <c r="H201" s="39"/>
      <c r="I201" s="38"/>
      <c r="J201" s="38"/>
      <c r="K201" s="39"/>
      <c r="L201" s="38"/>
      <c r="M201" s="38"/>
      <c r="N201" s="38"/>
      <c r="O201" s="38"/>
      <c r="P201" s="38"/>
      <c r="Q201" s="38"/>
      <c r="R201" s="38"/>
      <c r="S201" s="38"/>
      <c r="T201" s="38"/>
      <c r="U201" s="38"/>
      <c r="V201" s="38"/>
      <c r="W201" s="38"/>
      <c r="X201" s="38"/>
      <c r="Y201" s="38"/>
      <c r="Z201" s="38"/>
      <c r="AA201" s="38"/>
      <c r="AB201" s="38"/>
      <c r="AC201" s="38"/>
      <c r="AD201" s="38"/>
      <c r="AE201" s="38"/>
      <c r="AF201" s="38"/>
    </row>
    <row r="202" spans="1:32" x14ac:dyDescent="0.25">
      <c r="A202" s="38"/>
      <c r="B202" s="38"/>
      <c r="C202" s="38"/>
      <c r="D202" s="38"/>
      <c r="E202" s="38"/>
      <c r="F202" s="38"/>
      <c r="G202" s="38"/>
      <c r="H202" s="39"/>
      <c r="I202" s="38"/>
      <c r="J202" s="38"/>
      <c r="K202" s="39"/>
      <c r="L202" s="38"/>
      <c r="M202" s="38"/>
      <c r="N202" s="38"/>
      <c r="O202" s="38"/>
      <c r="P202" s="38"/>
      <c r="Q202" s="38"/>
      <c r="R202" s="38"/>
      <c r="S202" s="38"/>
      <c r="T202" s="38"/>
      <c r="U202" s="38"/>
      <c r="V202" s="38"/>
      <c r="W202" s="38"/>
      <c r="X202" s="38"/>
      <c r="Y202" s="38"/>
      <c r="Z202" s="38"/>
      <c r="AA202" s="38"/>
      <c r="AB202" s="38"/>
      <c r="AC202" s="38"/>
      <c r="AD202" s="38"/>
      <c r="AE202" s="38"/>
      <c r="AF202" s="38"/>
    </row>
    <row r="203" spans="1:32" x14ac:dyDescent="0.25">
      <c r="A203" s="38"/>
      <c r="B203" s="38"/>
      <c r="C203" s="38"/>
      <c r="D203" s="38"/>
      <c r="E203" s="38"/>
      <c r="F203" s="38"/>
      <c r="G203" s="38"/>
      <c r="H203" s="39"/>
      <c r="I203" s="38"/>
      <c r="J203" s="38"/>
      <c r="K203" s="39"/>
      <c r="L203" s="38"/>
      <c r="M203" s="38"/>
      <c r="N203" s="38"/>
      <c r="O203" s="38"/>
      <c r="P203" s="38"/>
      <c r="Q203" s="38"/>
      <c r="R203" s="38"/>
      <c r="S203" s="38"/>
      <c r="T203" s="38"/>
      <c r="U203" s="38"/>
      <c r="V203" s="38"/>
      <c r="W203" s="38"/>
      <c r="X203" s="38"/>
      <c r="Y203" s="38"/>
      <c r="Z203" s="38"/>
      <c r="AA203" s="38"/>
      <c r="AB203" s="38"/>
      <c r="AC203" s="38"/>
      <c r="AD203" s="38"/>
      <c r="AE203" s="38"/>
      <c r="AF203" s="38"/>
    </row>
    <row r="204" spans="1:32" x14ac:dyDescent="0.25">
      <c r="A204" s="38"/>
      <c r="B204" s="38"/>
      <c r="C204" s="38"/>
      <c r="D204" s="38"/>
      <c r="E204" s="38"/>
      <c r="F204" s="38"/>
      <c r="G204" s="38"/>
      <c r="H204" s="39"/>
      <c r="I204" s="38"/>
      <c r="J204" s="38"/>
      <c r="K204" s="39"/>
      <c r="L204" s="38"/>
      <c r="M204" s="38"/>
      <c r="N204" s="38"/>
      <c r="O204" s="38"/>
      <c r="P204" s="38"/>
      <c r="Q204" s="38"/>
      <c r="R204" s="38"/>
      <c r="S204" s="38"/>
      <c r="T204" s="38"/>
      <c r="U204" s="38"/>
      <c r="V204" s="38"/>
      <c r="W204" s="38"/>
      <c r="X204" s="38"/>
      <c r="Y204" s="38"/>
      <c r="Z204" s="38"/>
      <c r="AA204" s="38"/>
      <c r="AB204" s="38"/>
      <c r="AC204" s="38"/>
      <c r="AD204" s="38"/>
      <c r="AE204" s="38"/>
      <c r="AF204" s="38"/>
    </row>
    <row r="205" spans="1:32" x14ac:dyDescent="0.25">
      <c r="A205" s="38"/>
      <c r="B205" s="38"/>
      <c r="C205" s="38"/>
      <c r="D205" s="38"/>
      <c r="E205" s="38"/>
      <c r="F205" s="38"/>
      <c r="G205" s="38"/>
      <c r="H205" s="39"/>
      <c r="I205" s="38"/>
      <c r="J205" s="38"/>
      <c r="K205" s="39"/>
      <c r="L205" s="38"/>
      <c r="M205" s="38"/>
      <c r="N205" s="38"/>
      <c r="O205" s="38"/>
      <c r="P205" s="38"/>
      <c r="Q205" s="38"/>
      <c r="R205" s="38"/>
      <c r="S205" s="38"/>
      <c r="T205" s="38"/>
      <c r="U205" s="38"/>
      <c r="V205" s="38"/>
      <c r="W205" s="38"/>
      <c r="X205" s="38"/>
      <c r="Y205" s="38"/>
      <c r="Z205" s="38"/>
      <c r="AA205" s="38"/>
      <c r="AB205" s="38"/>
      <c r="AC205" s="38"/>
      <c r="AD205" s="38"/>
      <c r="AE205" s="38"/>
      <c r="AF205" s="38"/>
    </row>
    <row r="206" spans="1:32" x14ac:dyDescent="0.25">
      <c r="A206" s="38"/>
      <c r="B206" s="38"/>
      <c r="C206" s="38"/>
      <c r="D206" s="38"/>
      <c r="E206" s="38"/>
      <c r="F206" s="38"/>
      <c r="G206" s="38"/>
      <c r="H206" s="39"/>
      <c r="I206" s="38"/>
      <c r="J206" s="38"/>
      <c r="K206" s="39"/>
      <c r="L206" s="38"/>
      <c r="M206" s="38"/>
      <c r="N206" s="38"/>
      <c r="O206" s="38"/>
      <c r="P206" s="38"/>
      <c r="Q206" s="38"/>
      <c r="R206" s="38"/>
      <c r="S206" s="38"/>
      <c r="T206" s="38"/>
      <c r="U206" s="38"/>
      <c r="V206" s="38"/>
      <c r="W206" s="38"/>
      <c r="X206" s="38"/>
      <c r="Y206" s="38"/>
      <c r="Z206" s="38"/>
      <c r="AA206" s="38"/>
      <c r="AB206" s="38"/>
      <c r="AC206" s="38"/>
      <c r="AD206" s="38"/>
      <c r="AE206" s="38"/>
      <c r="AF206" s="38"/>
    </row>
    <row r="207" spans="1:32" x14ac:dyDescent="0.25">
      <c r="A207" s="38"/>
      <c r="B207" s="38"/>
      <c r="C207" s="38"/>
      <c r="D207" s="38"/>
      <c r="E207" s="38"/>
      <c r="F207" s="38"/>
      <c r="G207" s="38"/>
      <c r="H207" s="39"/>
      <c r="I207" s="38"/>
      <c r="J207" s="38"/>
      <c r="K207" s="39"/>
      <c r="L207" s="38"/>
      <c r="M207" s="38"/>
      <c r="N207" s="38"/>
      <c r="O207" s="38"/>
      <c r="P207" s="38"/>
      <c r="Q207" s="38"/>
      <c r="R207" s="38"/>
      <c r="S207" s="38"/>
      <c r="T207" s="38"/>
      <c r="U207" s="38"/>
      <c r="V207" s="38"/>
      <c r="W207" s="38"/>
      <c r="X207" s="38"/>
      <c r="Y207" s="38"/>
      <c r="Z207" s="38"/>
      <c r="AA207" s="38"/>
      <c r="AB207" s="38"/>
      <c r="AC207" s="38"/>
      <c r="AD207" s="38"/>
      <c r="AE207" s="38"/>
      <c r="AF207" s="38"/>
    </row>
    <row r="208" spans="1:32" x14ac:dyDescent="0.25">
      <c r="A208" s="38"/>
      <c r="B208" s="38"/>
      <c r="C208" s="38"/>
      <c r="D208" s="38"/>
      <c r="E208" s="38"/>
      <c r="F208" s="38"/>
      <c r="G208" s="38"/>
      <c r="H208" s="39"/>
      <c r="I208" s="38"/>
      <c r="J208" s="38"/>
      <c r="K208" s="39"/>
      <c r="L208" s="38"/>
      <c r="M208" s="38"/>
      <c r="N208" s="38"/>
      <c r="O208" s="38"/>
      <c r="P208" s="38"/>
      <c r="Q208" s="38"/>
      <c r="R208" s="38"/>
      <c r="S208" s="38"/>
      <c r="T208" s="38"/>
      <c r="U208" s="38"/>
      <c r="V208" s="38"/>
      <c r="W208" s="38"/>
      <c r="X208" s="38"/>
      <c r="Y208" s="38"/>
      <c r="Z208" s="38"/>
      <c r="AA208" s="38"/>
      <c r="AB208" s="38"/>
      <c r="AC208" s="38"/>
      <c r="AD208" s="38"/>
      <c r="AE208" s="38"/>
      <c r="AF208" s="38"/>
    </row>
    <row r="209" spans="1:32" x14ac:dyDescent="0.25">
      <c r="A209" s="38"/>
      <c r="B209" s="38"/>
      <c r="C209" s="38"/>
      <c r="D209" s="38"/>
      <c r="E209" s="38"/>
      <c r="F209" s="38"/>
      <c r="G209" s="38"/>
      <c r="H209" s="39"/>
      <c r="I209" s="38"/>
      <c r="J209" s="38"/>
      <c r="K209" s="39"/>
      <c r="L209" s="38"/>
      <c r="M209" s="38"/>
      <c r="N209" s="38"/>
      <c r="O209" s="38"/>
      <c r="P209" s="38"/>
      <c r="Q209" s="38"/>
      <c r="R209" s="38"/>
      <c r="S209" s="38"/>
      <c r="T209" s="38"/>
      <c r="U209" s="38"/>
      <c r="V209" s="38"/>
      <c r="W209" s="38"/>
      <c r="X209" s="38"/>
      <c r="Y209" s="38"/>
      <c r="Z209" s="38"/>
      <c r="AA209" s="38"/>
      <c r="AB209" s="38"/>
      <c r="AC209" s="38"/>
      <c r="AD209" s="38"/>
      <c r="AE209" s="38"/>
      <c r="AF209" s="38"/>
    </row>
    <row r="210" spans="1:32" x14ac:dyDescent="0.25">
      <c r="A210" s="38"/>
      <c r="B210" s="38"/>
      <c r="C210" s="38"/>
      <c r="D210" s="38"/>
      <c r="E210" s="38"/>
      <c r="F210" s="38"/>
      <c r="G210" s="38"/>
      <c r="H210" s="39"/>
      <c r="I210" s="38"/>
      <c r="J210" s="38"/>
      <c r="K210" s="39"/>
      <c r="L210" s="38"/>
      <c r="M210" s="38"/>
      <c r="N210" s="38"/>
      <c r="O210" s="38"/>
      <c r="P210" s="38"/>
      <c r="Q210" s="38"/>
      <c r="R210" s="38"/>
      <c r="S210" s="38"/>
      <c r="T210" s="38"/>
      <c r="U210" s="38"/>
      <c r="V210" s="38"/>
      <c r="W210" s="38"/>
      <c r="X210" s="38"/>
      <c r="Y210" s="38"/>
      <c r="Z210" s="38"/>
      <c r="AA210" s="38"/>
      <c r="AB210" s="38"/>
      <c r="AC210" s="38"/>
      <c r="AD210" s="38"/>
      <c r="AE210" s="38"/>
      <c r="AF210" s="38"/>
    </row>
    <row r="211" spans="1:32" x14ac:dyDescent="0.25">
      <c r="A211" s="38"/>
      <c r="B211" s="38"/>
      <c r="C211" s="38"/>
      <c r="D211" s="38"/>
      <c r="E211" s="38"/>
      <c r="F211" s="38"/>
      <c r="G211" s="38"/>
      <c r="H211" s="39"/>
      <c r="I211" s="38"/>
      <c r="J211" s="38"/>
      <c r="K211" s="39"/>
      <c r="L211" s="38"/>
      <c r="M211" s="38"/>
      <c r="N211" s="38"/>
      <c r="O211" s="38"/>
      <c r="P211" s="38"/>
      <c r="Q211" s="38"/>
      <c r="R211" s="38"/>
      <c r="S211" s="38"/>
      <c r="T211" s="38"/>
      <c r="U211" s="38"/>
      <c r="V211" s="38"/>
      <c r="W211" s="38"/>
      <c r="X211" s="38"/>
      <c r="Y211" s="38"/>
      <c r="Z211" s="38"/>
      <c r="AA211" s="38"/>
      <c r="AB211" s="38"/>
      <c r="AC211" s="38"/>
      <c r="AD211" s="38"/>
      <c r="AE211" s="38"/>
      <c r="AF211" s="38"/>
    </row>
    <row r="212" spans="1:32" x14ac:dyDescent="0.25">
      <c r="A212" s="38"/>
      <c r="B212" s="38"/>
      <c r="C212" s="38"/>
      <c r="D212" s="38"/>
      <c r="E212" s="38"/>
      <c r="F212" s="38"/>
      <c r="G212" s="38"/>
      <c r="H212" s="39"/>
      <c r="I212" s="38"/>
      <c r="J212" s="38"/>
      <c r="K212" s="39"/>
      <c r="L212" s="38"/>
      <c r="M212" s="38"/>
      <c r="N212" s="38"/>
      <c r="O212" s="38"/>
      <c r="P212" s="38"/>
      <c r="Q212" s="38"/>
      <c r="R212" s="38"/>
      <c r="S212" s="38"/>
      <c r="T212" s="38"/>
      <c r="U212" s="38"/>
      <c r="V212" s="38"/>
      <c r="W212" s="38"/>
      <c r="X212" s="38"/>
      <c r="Y212" s="38"/>
      <c r="Z212" s="38"/>
      <c r="AA212" s="38"/>
      <c r="AB212" s="38"/>
      <c r="AC212" s="38"/>
      <c r="AD212" s="38"/>
      <c r="AE212" s="38"/>
      <c r="AF212" s="38"/>
    </row>
    <row r="213" spans="1:32" x14ac:dyDescent="0.25">
      <c r="A213" s="38"/>
      <c r="B213" s="38"/>
      <c r="C213" s="38"/>
      <c r="D213" s="38"/>
      <c r="E213" s="38"/>
      <c r="F213" s="38"/>
      <c r="G213" s="38"/>
      <c r="H213" s="39"/>
      <c r="I213" s="38"/>
      <c r="J213" s="38"/>
      <c r="K213" s="39"/>
      <c r="L213" s="38"/>
      <c r="M213" s="38"/>
      <c r="N213" s="38"/>
      <c r="O213" s="38"/>
      <c r="P213" s="38"/>
      <c r="Q213" s="38"/>
      <c r="R213" s="38"/>
      <c r="S213" s="38"/>
      <c r="T213" s="38"/>
      <c r="U213" s="38"/>
      <c r="V213" s="38"/>
      <c r="W213" s="38"/>
      <c r="X213" s="38"/>
      <c r="Y213" s="38"/>
      <c r="Z213" s="38"/>
      <c r="AA213" s="38"/>
      <c r="AB213" s="38"/>
      <c r="AC213" s="38"/>
      <c r="AD213" s="38"/>
      <c r="AE213" s="38"/>
      <c r="AF213" s="38"/>
    </row>
    <row r="214" spans="1:32" x14ac:dyDescent="0.25">
      <c r="A214" s="38"/>
      <c r="B214" s="38"/>
      <c r="C214" s="38"/>
      <c r="D214" s="38"/>
      <c r="E214" s="38"/>
      <c r="F214" s="38"/>
      <c r="G214" s="38"/>
      <c r="H214" s="39"/>
      <c r="I214" s="38"/>
      <c r="J214" s="38"/>
      <c r="K214" s="39"/>
      <c r="L214" s="38"/>
      <c r="M214" s="38"/>
      <c r="N214" s="38"/>
      <c r="O214" s="38"/>
      <c r="P214" s="38"/>
      <c r="Q214" s="38"/>
      <c r="R214" s="38"/>
      <c r="S214" s="38"/>
      <c r="T214" s="38"/>
      <c r="U214" s="38"/>
      <c r="V214" s="38"/>
      <c r="W214" s="38"/>
      <c r="X214" s="38"/>
      <c r="Y214" s="38"/>
      <c r="Z214" s="38"/>
      <c r="AA214" s="38"/>
      <c r="AB214" s="38"/>
      <c r="AC214" s="38"/>
      <c r="AD214" s="38"/>
      <c r="AE214" s="38"/>
      <c r="AF214" s="38"/>
    </row>
    <row r="215" spans="1:32" x14ac:dyDescent="0.25">
      <c r="A215" s="38"/>
      <c r="B215" s="38"/>
      <c r="C215" s="38"/>
      <c r="D215" s="38"/>
      <c r="E215" s="38"/>
      <c r="F215" s="38"/>
      <c r="G215" s="38"/>
      <c r="H215" s="39"/>
      <c r="I215" s="38"/>
      <c r="J215" s="38"/>
      <c r="K215" s="39"/>
      <c r="L215" s="38"/>
      <c r="M215" s="38"/>
      <c r="N215" s="38"/>
      <c r="O215" s="38"/>
      <c r="P215" s="38"/>
      <c r="Q215" s="38"/>
      <c r="R215" s="38"/>
      <c r="S215" s="38"/>
      <c r="T215" s="38"/>
      <c r="U215" s="38"/>
      <c r="V215" s="38"/>
      <c r="W215" s="38"/>
      <c r="X215" s="38"/>
      <c r="Y215" s="38"/>
      <c r="Z215" s="38"/>
      <c r="AA215" s="38"/>
      <c r="AB215" s="38"/>
      <c r="AC215" s="38"/>
      <c r="AD215" s="38"/>
      <c r="AE215" s="38"/>
      <c r="AF215" s="38"/>
    </row>
    <row r="216" spans="1:32" x14ac:dyDescent="0.25">
      <c r="A216" s="38"/>
      <c r="B216" s="38"/>
      <c r="C216" s="38"/>
      <c r="D216" s="38"/>
      <c r="E216" s="38"/>
      <c r="F216" s="38"/>
      <c r="G216" s="38"/>
      <c r="H216" s="39"/>
      <c r="I216" s="38"/>
      <c r="J216" s="38"/>
      <c r="K216" s="39"/>
      <c r="L216" s="38"/>
      <c r="M216" s="38"/>
      <c r="N216" s="38"/>
      <c r="O216" s="38"/>
      <c r="P216" s="38"/>
      <c r="Q216" s="38"/>
      <c r="R216" s="38"/>
      <c r="S216" s="38"/>
      <c r="T216" s="38"/>
      <c r="U216" s="38"/>
      <c r="V216" s="38"/>
      <c r="W216" s="38"/>
      <c r="X216" s="38"/>
      <c r="Y216" s="38"/>
      <c r="Z216" s="38"/>
      <c r="AA216" s="38"/>
      <c r="AB216" s="38"/>
      <c r="AC216" s="38"/>
      <c r="AD216" s="38"/>
      <c r="AE216" s="38"/>
      <c r="AF216" s="38"/>
    </row>
    <row r="217" spans="1:32" x14ac:dyDescent="0.25">
      <c r="A217" s="38"/>
      <c r="B217" s="38"/>
      <c r="C217" s="38"/>
      <c r="D217" s="38"/>
      <c r="E217" s="38"/>
      <c r="F217" s="38"/>
      <c r="G217" s="38"/>
      <c r="H217" s="39"/>
      <c r="I217" s="38"/>
      <c r="J217" s="38"/>
      <c r="K217" s="39"/>
      <c r="L217" s="38"/>
      <c r="M217" s="38"/>
      <c r="N217" s="38"/>
      <c r="O217" s="38"/>
      <c r="P217" s="38"/>
      <c r="Q217" s="38"/>
      <c r="R217" s="38"/>
      <c r="S217" s="38"/>
      <c r="T217" s="38"/>
      <c r="U217" s="38"/>
      <c r="V217" s="38"/>
      <c r="W217" s="38"/>
      <c r="X217" s="38"/>
      <c r="Y217" s="38"/>
      <c r="Z217" s="38"/>
      <c r="AA217" s="38"/>
      <c r="AB217" s="38"/>
      <c r="AC217" s="38"/>
      <c r="AD217" s="38"/>
      <c r="AE217" s="38"/>
      <c r="AF217" s="38"/>
    </row>
    <row r="218" spans="1:32" x14ac:dyDescent="0.25">
      <c r="A218" s="38"/>
      <c r="B218" s="38"/>
      <c r="C218" s="38"/>
      <c r="D218" s="38"/>
      <c r="E218" s="38"/>
      <c r="F218" s="38"/>
      <c r="G218" s="38"/>
      <c r="H218" s="39"/>
      <c r="I218" s="38"/>
      <c r="J218" s="38"/>
      <c r="K218" s="39"/>
      <c r="L218" s="38"/>
      <c r="M218" s="38"/>
      <c r="N218" s="38"/>
      <c r="O218" s="38"/>
      <c r="P218" s="38"/>
      <c r="Q218" s="38"/>
      <c r="R218" s="38"/>
      <c r="S218" s="38"/>
      <c r="T218" s="38"/>
      <c r="U218" s="38"/>
      <c r="V218" s="38"/>
      <c r="W218" s="38"/>
      <c r="X218" s="38"/>
      <c r="Y218" s="38"/>
      <c r="Z218" s="38"/>
      <c r="AA218" s="38"/>
      <c r="AB218" s="38"/>
      <c r="AC218" s="38"/>
      <c r="AD218" s="38"/>
      <c r="AE218" s="38"/>
      <c r="AF218" s="38"/>
    </row>
    <row r="230" spans="3:3" x14ac:dyDescent="0.25">
      <c r="C230" s="51"/>
    </row>
    <row r="231" spans="3:3" x14ac:dyDescent="0.25">
      <c r="C231" s="52"/>
    </row>
    <row r="232" spans="3:3" x14ac:dyDescent="0.25">
      <c r="C232" s="52"/>
    </row>
    <row r="233" spans="3:3" x14ac:dyDescent="0.25">
      <c r="C233" s="51"/>
    </row>
    <row r="234" spans="3:3" x14ac:dyDescent="0.25">
      <c r="C234" s="51"/>
    </row>
    <row r="235" spans="3:3" x14ac:dyDescent="0.25">
      <c r="C235" s="52"/>
    </row>
    <row r="236" spans="3:3" x14ac:dyDescent="0.25">
      <c r="C236" s="52"/>
    </row>
    <row r="237" spans="3:3" x14ac:dyDescent="0.25">
      <c r="C237" s="51"/>
    </row>
    <row r="238" spans="3:3" x14ac:dyDescent="0.25">
      <c r="C238" s="51"/>
    </row>
    <row r="239" spans="3:3" x14ac:dyDescent="0.25">
      <c r="C239" s="52"/>
    </row>
    <row r="240" spans="3:3" x14ac:dyDescent="0.25">
      <c r="C240" s="52"/>
    </row>
    <row r="247" spans="1:3" x14ac:dyDescent="0.25">
      <c r="C247" s="64"/>
    </row>
    <row r="248" spans="1:3" x14ac:dyDescent="0.25">
      <c r="C248" s="63">
        <v>11</v>
      </c>
    </row>
    <row r="250" spans="1:3" x14ac:dyDescent="0.25">
      <c r="A250">
        <f ca="1">SUBTOTAL(3,A2:INDIRECT("a"&amp;A264))</f>
        <v>69</v>
      </c>
    </row>
    <row r="251" spans="1:3" ht="18.75" x14ac:dyDescent="0.3">
      <c r="B251" s="40" t="s">
        <v>604</v>
      </c>
      <c r="C251" s="61" t="s">
        <v>592</v>
      </c>
    </row>
    <row r="252" spans="1:3" ht="18.75" x14ac:dyDescent="0.3">
      <c r="A252" s="6">
        <f ca="1">COUNTA(A2:INDIRECT("a"&amp;A264))</f>
        <v>69</v>
      </c>
      <c r="B252" s="40" t="s">
        <v>583</v>
      </c>
      <c r="C252" s="10" t="s">
        <v>601</v>
      </c>
    </row>
    <row r="253" spans="1:3" x14ac:dyDescent="0.25">
      <c r="A253" s="53" t="s">
        <v>156</v>
      </c>
      <c r="B253" s="50" t="s">
        <v>584</v>
      </c>
      <c r="C253" s="49" t="str">
        <f ca="1">CONCATENATE(TEXT(COUNTIFS(F2:INDIRECT("f"&amp;A264),INDIRECT("A"&amp;ROW()),V2:INDIRECT("v"&amp;A264),B288),"??????0"),"|",TEXT(COUNTIFS(F2:INDIRECT("f"&amp;A264),INDIRECT("A"&amp;ROW()),V2:INDIRECT("v"&amp;A264),B288,K2:INDIRECT("k"&amp;A264),B275),"?????????0"),"|",TEXT(COUNTIFS(F2:INDIRECT("f"&amp;A264),INDIRECT("A"&amp;ROW()),V2:INDIRECT("v"&amp;A264),B288,K2:INDIRECT("k"&amp;A264),B279),"??????0"),"|",TEXT(COUNTIFS(F2:INDIRECT("f"&amp;A264),INDIRECT("A"&amp;ROW()),V2:INDIRECT("v"&amp;A264),B288,K2:INDIRECT("k"&amp;A264),B276),"???????????0"),"|",TEXT(COUNTIFS(F2:INDIRECT("f"&amp;A264),INDIRECT("A"&amp;ROW()),V2:INDIRECT("v"&amp;A264),B288,K2:INDIRECT("k"&amp;A264),B277),"??????????0"),"|",TEXT(COUNTIFS(F2:INDIRECT("f"&amp;A264),INDIRECT("A"&amp;ROW()),V2:INDIRECT("v"&amp;A264),B288,K2:INDIRECT("k"&amp;A264),B278),"?????????0"),"|",TEXT(COUNTIFS(F2:INDIRECT("f"&amp;A264),INDIRECT("A"&amp;ROW()),V2:INDIRECT("v"&amp;A264),B288,K2:INDIRECT("k"&amp;A264),B280&amp;"*"),"???0"))</f>
        <v xml:space="preserve">     13|        10|      0|           3|          0|         0|   0</v>
      </c>
    </row>
    <row r="254" spans="1:3" x14ac:dyDescent="0.25">
      <c r="A254" s="41"/>
      <c r="B254" s="41" t="s">
        <v>580</v>
      </c>
      <c r="C254" s="49"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0|         0|      0|           0|          0|         0|   0</v>
      </c>
    </row>
    <row r="255" spans="1:3" x14ac:dyDescent="0.25">
      <c r="A255" s="6" t="s">
        <v>47</v>
      </c>
      <c r="B255" s="6" t="s">
        <v>602</v>
      </c>
      <c r="C255" s="10"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0|         0|      0|           0|          0|         0|   0</v>
      </c>
    </row>
    <row r="256" spans="1:3" x14ac:dyDescent="0.25">
      <c r="A256" s="6"/>
      <c r="B256" s="16" t="s">
        <v>603</v>
      </c>
      <c r="C256" s="10"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0|         0|      0|           0|          0|         0|   0</v>
      </c>
    </row>
    <row r="257" spans="1:3" x14ac:dyDescent="0.25">
      <c r="A257" s="41" t="s">
        <v>299</v>
      </c>
      <c r="B257" s="41" t="s">
        <v>602</v>
      </c>
      <c r="C257" s="49"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0|         0|      0|           0|          0|         0|   0</v>
      </c>
    </row>
    <row r="258" spans="1:3" x14ac:dyDescent="0.25">
      <c r="A258" s="41"/>
      <c r="B258" s="41" t="s">
        <v>603</v>
      </c>
      <c r="C258" s="49"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0|         0|      0|           0|          0|         0|   0</v>
      </c>
    </row>
    <row r="259" spans="1:3" x14ac:dyDescent="0.25">
      <c r="A259" s="6" t="s">
        <v>509</v>
      </c>
      <c r="B259" s="6" t="s">
        <v>602</v>
      </c>
      <c r="C259" s="10"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0|         0|      0|           0|          0|         0|   0</v>
      </c>
    </row>
    <row r="260" spans="1:3" x14ac:dyDescent="0.25">
      <c r="A260" s="6"/>
      <c r="B260" s="16" t="s">
        <v>603</v>
      </c>
      <c r="C260" s="10"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0|         0|      0|           0|          0|         0|   0</v>
      </c>
    </row>
    <row r="261" spans="1:3" x14ac:dyDescent="0.25">
      <c r="A261" s="41" t="s">
        <v>111</v>
      </c>
      <c r="B261" s="41" t="s">
        <v>602</v>
      </c>
      <c r="C261" s="49">
        <f ca="1">COUNTIFS(E2:INDIRECT("e"&amp;A264),B286,W2:INDIRECT("W"&amp;A264),B288,W2:INDIRECT("W"&amp;A264),"&lt;&gt;")+COUNTIFS(E2:INDIRECT("e"&amp;A264),B285,W2:INDIRECT("W"&amp;A264),B288,W2:INDIRECT("W"&amp;A264),"&lt;&gt;")+COUNTIFS(E2:INDIRECT("e"&amp;A264),B283,W2:INDIRECT("W"&amp;A264),B288,W2:INDIRECT("W"&amp;A264),"&lt;&gt;")+COUNTIFS(E2:INDIRECT("e"&amp;A264),B284,W2:INDIRECT("W"&amp;A264),B288,W2:INDIRECT("W"&amp;A264),"&lt;&gt;")</f>
        <v>0</v>
      </c>
    </row>
    <row r="262" spans="1:3" x14ac:dyDescent="0.25">
      <c r="A262" s="41"/>
      <c r="B262" s="41" t="s">
        <v>603</v>
      </c>
      <c r="C262" s="49">
        <f ca="1">COUNTIFS(E2:INDIRECT("e"&amp;A264),B286,W2:INDIRECT("W"&amp;A264),"&lt;&gt;"&amp;B288,W2:INDIRECT("W"&amp;A264),"&lt;&gt;")+COUNTIFS(E2:INDIRECT("e"&amp;A264),B285,W2:INDIRECT("W"&amp;A264),"&lt;&gt;"&amp;B288,W2:INDIRECT("W"&amp;A264),"&lt;&gt;")+COUNTIFS(E2:INDIRECT("e"&amp;A264),B283,W2:INDIRECT("W"&amp;A264),"&lt;&gt;"&amp;B288,W2:INDIRECT("W"&amp;A264),"&lt;&gt;")+COUNTIFS(E2:INDIRECT("e"&amp;A264),B284,W2:INDIRECT("W"&amp;A264),"&lt;&gt;"&amp;B288,W2:INDIRECT("W"&amp;A264),"&lt;&gt;")</f>
        <v>0</v>
      </c>
    </row>
    <row r="264" spans="1:3" x14ac:dyDescent="0.25">
      <c r="A264">
        <f>COUNTA(A1:A240)</f>
        <v>70</v>
      </c>
      <c r="B264" t="s">
        <v>616</v>
      </c>
      <c r="C264" s="2">
        <f ca="1">COUNTIFS(E2:INDIRECT("e"&amp;A264),A253,W2:INDIRECT("w"&amp;A264),B288)+COUNTIFS(E2:INDIRECT("e"&amp;A264),A253,W2:INDIRECT("W"&amp;A264),"&lt;&gt;"&amp;B288)+COUNTIFS(E2:INDIRECT("e"&amp;A264),A255&amp;"*",W2:INDIRECT("w"&amp;A264),B288)+COUNTIFS(E2:INDIRECT("e"&amp;A264),A255&amp;"*",W2:INDIRECT("W"&amp;A264),"&lt;&gt;"&amp;B288)+COUNTIFS(E2:INDIRECT("e"&amp;A264),A257&amp;"*",W2:INDIRECT("w"&amp;A264),B288)+COUNTIFS(E2:INDIRECT("e"&amp;A264),A257&amp;"*",W2:INDIRECT("W"&amp;A264),"&lt;&gt;"&amp;B288)+COUNTIFS(E2:INDIRECT("e"&amp;A264),A259&amp;"*",W2:INDIRECT("w"&amp;A264),B288)+COUNTIFS(E2:INDIRECT("e"&amp;A264),A259&amp;"*",W2:INDIRECT("W"&amp;A264),"&lt;&gt;"&amp;B288)+C261+C262</f>
        <v>0</v>
      </c>
    </row>
    <row r="266" spans="1:3" x14ac:dyDescent="0.25">
      <c r="A266" s="15" t="s">
        <v>605</v>
      </c>
    </row>
    <row r="267" spans="1:3" x14ac:dyDescent="0.25">
      <c r="B267" s="15" t="s">
        <v>597</v>
      </c>
    </row>
    <row r="268" spans="1:3" x14ac:dyDescent="0.25">
      <c r="A268" t="s">
        <v>119</v>
      </c>
      <c r="B268" t="s">
        <v>594</v>
      </c>
    </row>
    <row r="269" spans="1:3" x14ac:dyDescent="0.25">
      <c r="A269" t="s">
        <v>122</v>
      </c>
      <c r="B269" t="s">
        <v>595</v>
      </c>
    </row>
    <row r="270" spans="1:3" x14ac:dyDescent="0.25">
      <c r="A270" t="s">
        <v>697</v>
      </c>
      <c r="B270" t="s">
        <v>596</v>
      </c>
    </row>
    <row r="274" spans="2:3" x14ac:dyDescent="0.25">
      <c r="B274" s="54" t="s">
        <v>607</v>
      </c>
    </row>
    <row r="275" spans="2:3" x14ac:dyDescent="0.25">
      <c r="B275" s="38" t="s">
        <v>573</v>
      </c>
    </row>
    <row r="276" spans="2:3" x14ac:dyDescent="0.25">
      <c r="B276" s="38" t="s">
        <v>575</v>
      </c>
    </row>
    <row r="277" spans="2:3" x14ac:dyDescent="0.25">
      <c r="B277" s="38" t="s">
        <v>577</v>
      </c>
    </row>
    <row r="278" spans="2:3" x14ac:dyDescent="0.25">
      <c r="B278" s="38" t="s">
        <v>593</v>
      </c>
    </row>
    <row r="279" spans="2:3" x14ac:dyDescent="0.25">
      <c r="B279" s="38" t="s">
        <v>576</v>
      </c>
    </row>
    <row r="280" spans="2:3" x14ac:dyDescent="0.25">
      <c r="B280" s="38" t="s">
        <v>613</v>
      </c>
      <c r="C280" t="s">
        <v>614</v>
      </c>
    </row>
    <row r="282" spans="2:3" x14ac:dyDescent="0.25">
      <c r="B282" s="54" t="s">
        <v>608</v>
      </c>
    </row>
    <row r="283" spans="2:3" x14ac:dyDescent="0.25">
      <c r="B283" t="s">
        <v>609</v>
      </c>
    </row>
    <row r="284" spans="2:3" x14ac:dyDescent="0.25">
      <c r="B284" t="s">
        <v>610</v>
      </c>
    </row>
    <row r="285" spans="2:3" x14ac:dyDescent="0.25">
      <c r="B285" t="s">
        <v>611</v>
      </c>
    </row>
    <row r="286" spans="2:3" x14ac:dyDescent="0.25">
      <c r="B286" t="s">
        <v>612</v>
      </c>
    </row>
    <row r="288" spans="2:3" x14ac:dyDescent="0.25">
      <c r="B288" s="54" t="s">
        <v>81</v>
      </c>
      <c r="C288" t="s">
        <v>615</v>
      </c>
    </row>
  </sheetData>
  <autoFilter ref="A1:AF214"/>
  <hyperlinks>
    <hyperlink ref="B267" location="'2weekResolved'!A2" display="top"/>
    <hyperlink ref="A266" r:id="rId1"/>
    <hyperlink ref="C251" location="'2weekResolved'!A2" display="Top"/>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F172"/>
  <sheetViews>
    <sheetView zoomScale="80" zoomScaleNormal="80" workbookViewId="0">
      <pane ySplit="1" topLeftCell="A2" activePane="bottomLeft" state="frozen"/>
      <selection activeCell="C13" sqref="C13"/>
      <selection pane="bottomLeft" activeCell="C13" sqref="C13"/>
    </sheetView>
  </sheetViews>
  <sheetFormatPr defaultColWidth="8.85546875" defaultRowHeight="15" x14ac:dyDescent="0.25"/>
  <cols>
    <col min="1" max="1" width="9" style="38" bestFit="1" customWidth="1"/>
    <col min="2" max="2" width="33.85546875" style="38" bestFit="1" customWidth="1"/>
    <col min="3" max="3" width="147.5703125" style="38" bestFit="1" customWidth="1"/>
    <col min="4" max="4" width="10.42578125" style="38" bestFit="1" customWidth="1"/>
    <col min="5" max="5" width="18.28515625" style="38" bestFit="1" customWidth="1"/>
    <col min="6" max="6" width="33.28515625" style="38" bestFit="1" customWidth="1"/>
    <col min="7" max="7" width="13.7109375" style="38" bestFit="1" customWidth="1"/>
    <col min="8" max="8" width="16.28515625" style="38" bestFit="1" customWidth="1"/>
    <col min="9" max="9" width="9.85546875" style="38" bestFit="1" customWidth="1"/>
    <col min="10" max="10" width="11.7109375" style="38" bestFit="1" customWidth="1"/>
    <col min="11" max="11" width="16.28515625" style="38" bestFit="1" customWidth="1"/>
    <col min="12" max="12" width="31.28515625" style="38" bestFit="1" customWidth="1"/>
    <col min="13" max="13" width="14.28515625" style="38" bestFit="1" customWidth="1"/>
    <col min="14" max="14" width="12.42578125" style="38" bestFit="1" customWidth="1"/>
    <col min="15" max="15" width="20.42578125" style="38" bestFit="1" customWidth="1"/>
    <col min="16" max="16" width="13.7109375" style="38" bestFit="1" customWidth="1"/>
    <col min="17" max="17" width="15.7109375" style="38" bestFit="1" customWidth="1"/>
    <col min="18" max="18" width="23.85546875" style="38" bestFit="1" customWidth="1"/>
    <col min="19" max="19" width="11" style="38" bestFit="1" customWidth="1"/>
    <col min="20" max="20" width="21.7109375" style="38" bestFit="1" customWidth="1"/>
    <col min="21" max="21" width="10" style="38" bestFit="1" customWidth="1"/>
    <col min="22" max="22" width="24.7109375" style="38" bestFit="1" customWidth="1"/>
    <col min="23" max="23" width="15.7109375" style="38" bestFit="1" customWidth="1"/>
    <col min="24" max="24" width="12.7109375" style="38" bestFit="1" customWidth="1"/>
    <col min="25" max="26" width="14.28515625" style="38" bestFit="1" customWidth="1"/>
    <col min="27" max="27" width="34.5703125" style="38" bestFit="1" customWidth="1"/>
    <col min="28" max="28" width="24.85546875" style="38" bestFit="1" customWidth="1"/>
    <col min="29" max="29" width="9.42578125" style="38" bestFit="1" customWidth="1"/>
    <col min="30" max="30" width="10.42578125" style="38" bestFit="1" customWidth="1"/>
    <col min="31" max="31" width="15.7109375" style="38" bestFit="1" customWidth="1"/>
    <col min="32" max="32" width="6.7109375" style="38" bestFit="1" customWidth="1"/>
    <col min="33" max="16384" width="8.85546875" style="38"/>
  </cols>
  <sheetData>
    <row r="1" spans="1:32" x14ac:dyDescent="0.25">
      <c r="A1" s="72" t="s">
        <v>137</v>
      </c>
      <c r="B1" s="72"/>
      <c r="C1" s="72" t="s">
        <v>56</v>
      </c>
      <c r="D1" s="72" t="s">
        <v>57</v>
      </c>
      <c r="E1" s="72" t="s">
        <v>58</v>
      </c>
      <c r="F1" s="72" t="s">
        <v>59</v>
      </c>
      <c r="G1" s="72" t="s">
        <v>60</v>
      </c>
      <c r="H1" s="72" t="s">
        <v>61</v>
      </c>
      <c r="I1" s="72" t="s">
        <v>62</v>
      </c>
      <c r="J1" s="72" t="s">
        <v>63</v>
      </c>
      <c r="K1" s="72" t="s">
        <v>142</v>
      </c>
      <c r="L1" s="72" t="s">
        <v>64</v>
      </c>
      <c r="M1" s="72" t="s">
        <v>65</v>
      </c>
      <c r="N1" s="72" t="s">
        <v>66</v>
      </c>
      <c r="O1" s="72" t="s">
        <v>68</v>
      </c>
      <c r="P1" s="72" t="s">
        <v>69</v>
      </c>
      <c r="Q1" s="72" t="s">
        <v>71</v>
      </c>
      <c r="R1" s="72" t="s">
        <v>72</v>
      </c>
      <c r="S1" s="72" t="s">
        <v>74</v>
      </c>
      <c r="T1" s="72" t="s">
        <v>75</v>
      </c>
      <c r="U1" s="72" t="s">
        <v>669</v>
      </c>
      <c r="V1" s="72" t="s">
        <v>77</v>
      </c>
      <c r="W1" s="72" t="s">
        <v>78</v>
      </c>
      <c r="X1" s="72" t="s">
        <v>309</v>
      </c>
      <c r="Y1" s="72" t="s">
        <v>310</v>
      </c>
      <c r="Z1" s="72" t="s">
        <v>543</v>
      </c>
      <c r="AA1" s="72" t="s">
        <v>300</v>
      </c>
      <c r="AB1" s="72" t="s">
        <v>620</v>
      </c>
      <c r="AC1" s="72" t="s">
        <v>698</v>
      </c>
      <c r="AD1" s="72" t="s">
        <v>73</v>
      </c>
      <c r="AE1" s="70" t="s">
        <v>543</v>
      </c>
      <c r="AF1" s="70" t="s">
        <v>300</v>
      </c>
    </row>
    <row r="2" spans="1:32" x14ac:dyDescent="0.25">
      <c r="A2" s="72">
        <v>104631</v>
      </c>
      <c r="B2" s="72" t="s">
        <v>277</v>
      </c>
      <c r="C2" s="72" t="s">
        <v>673</v>
      </c>
      <c r="D2" s="72" t="s">
        <v>693</v>
      </c>
      <c r="E2" s="72" t="s">
        <v>11</v>
      </c>
      <c r="F2" s="72" t="s">
        <v>690</v>
      </c>
      <c r="G2" s="72" t="s">
        <v>628</v>
      </c>
      <c r="H2" s="72" t="s">
        <v>694</v>
      </c>
      <c r="I2" s="73">
        <v>43003.917638888888</v>
      </c>
      <c r="J2" s="72" t="s">
        <v>20</v>
      </c>
      <c r="K2" s="72" t="s">
        <v>638</v>
      </c>
      <c r="L2" s="72" t="s">
        <v>641</v>
      </c>
      <c r="M2" s="73">
        <v>42991.247303240743</v>
      </c>
      <c r="N2" s="72" t="s">
        <v>312</v>
      </c>
      <c r="O2" s="72" t="s">
        <v>308</v>
      </c>
      <c r="P2" s="72" t="s">
        <v>12</v>
      </c>
      <c r="Q2" s="72" t="s">
        <v>13</v>
      </c>
      <c r="R2" s="72" t="s">
        <v>35</v>
      </c>
      <c r="S2" s="72" t="s">
        <v>638</v>
      </c>
      <c r="T2" s="72" t="s">
        <v>516</v>
      </c>
      <c r="U2" s="72"/>
      <c r="V2" s="72" t="s">
        <v>81</v>
      </c>
      <c r="W2" s="72" t="s">
        <v>638</v>
      </c>
      <c r="X2" s="72" t="s">
        <v>638</v>
      </c>
      <c r="Y2" s="72" t="s">
        <v>638</v>
      </c>
      <c r="Z2" s="72" t="s">
        <v>638</v>
      </c>
      <c r="AA2" s="72"/>
      <c r="AB2" s="72"/>
      <c r="AC2" s="72"/>
      <c r="AD2" s="72"/>
      <c r="AE2" s="70" t="s">
        <v>7</v>
      </c>
      <c r="AF2" s="70"/>
    </row>
    <row r="3" spans="1:32" x14ac:dyDescent="0.25">
      <c r="A3" s="72">
        <v>104647</v>
      </c>
      <c r="B3" s="72" t="s">
        <v>277</v>
      </c>
      <c r="C3" s="72" t="s">
        <v>673</v>
      </c>
      <c r="D3" s="72" t="s">
        <v>799</v>
      </c>
      <c r="E3" s="72" t="s">
        <v>11</v>
      </c>
      <c r="F3" s="72" t="s">
        <v>751</v>
      </c>
      <c r="G3" s="72" t="s">
        <v>513</v>
      </c>
      <c r="H3" s="72" t="s">
        <v>800</v>
      </c>
      <c r="I3" s="73">
        <v>42997.599872685183</v>
      </c>
      <c r="J3" s="72" t="s">
        <v>20</v>
      </c>
      <c r="K3" s="72" t="s">
        <v>638</v>
      </c>
      <c r="L3" s="72" t="s">
        <v>509</v>
      </c>
      <c r="M3" s="73">
        <v>42991.54824074074</v>
      </c>
      <c r="N3" s="72" t="s">
        <v>306</v>
      </c>
      <c r="O3" s="72"/>
      <c r="P3" s="72" t="s">
        <v>6</v>
      </c>
      <c r="Q3" s="72" t="s">
        <v>13</v>
      </c>
      <c r="R3" s="72" t="s">
        <v>239</v>
      </c>
      <c r="S3" s="72" t="s">
        <v>638</v>
      </c>
      <c r="T3" s="72" t="s">
        <v>26</v>
      </c>
      <c r="U3" s="72"/>
      <c r="V3" s="72" t="s">
        <v>112</v>
      </c>
      <c r="W3" s="72" t="s">
        <v>638</v>
      </c>
      <c r="X3" s="72" t="s">
        <v>638</v>
      </c>
      <c r="Y3" s="72" t="s">
        <v>638</v>
      </c>
      <c r="Z3" s="72" t="s">
        <v>638</v>
      </c>
      <c r="AA3" s="72"/>
      <c r="AB3" s="72"/>
      <c r="AC3" s="72"/>
      <c r="AD3" s="72"/>
      <c r="AE3" s="70" t="s">
        <v>7</v>
      </c>
      <c r="AF3" s="70">
        <v>87060</v>
      </c>
    </row>
    <row r="4" spans="1:32" x14ac:dyDescent="0.25">
      <c r="A4" s="72">
        <v>104722</v>
      </c>
      <c r="B4" s="72" t="s">
        <v>277</v>
      </c>
      <c r="C4" s="72" t="s">
        <v>277</v>
      </c>
      <c r="D4" s="72" t="s">
        <v>801</v>
      </c>
      <c r="E4" s="72" t="s">
        <v>11</v>
      </c>
      <c r="F4" s="72" t="s">
        <v>623</v>
      </c>
      <c r="G4" s="72" t="s">
        <v>287</v>
      </c>
      <c r="H4" s="72"/>
      <c r="I4" s="73">
        <v>43004.641782407409</v>
      </c>
      <c r="J4" s="72" t="s">
        <v>20</v>
      </c>
      <c r="K4" s="72" t="s">
        <v>638</v>
      </c>
      <c r="L4" s="72" t="s">
        <v>509</v>
      </c>
      <c r="M4" s="73">
        <v>42992.651365740741</v>
      </c>
      <c r="N4" s="72" t="s">
        <v>629</v>
      </c>
      <c r="O4" s="72"/>
      <c r="P4" s="72" t="s">
        <v>12</v>
      </c>
      <c r="Q4" s="72" t="s">
        <v>13</v>
      </c>
      <c r="R4" s="72" t="s">
        <v>745</v>
      </c>
      <c r="S4" s="72" t="s">
        <v>638</v>
      </c>
      <c r="T4" s="72" t="s">
        <v>26</v>
      </c>
      <c r="U4" s="72"/>
      <c r="V4" s="72" t="s">
        <v>81</v>
      </c>
      <c r="W4" s="72" t="s">
        <v>638</v>
      </c>
      <c r="X4" s="72" t="s">
        <v>638</v>
      </c>
      <c r="Y4" s="72" t="s">
        <v>638</v>
      </c>
      <c r="Z4" s="72" t="s">
        <v>638</v>
      </c>
      <c r="AA4" s="72"/>
      <c r="AB4" s="72"/>
      <c r="AC4" s="72"/>
      <c r="AD4" s="72"/>
      <c r="AE4" s="70" t="s">
        <v>7</v>
      </c>
      <c r="AF4" s="70"/>
    </row>
    <row r="5" spans="1:32" x14ac:dyDescent="0.25">
      <c r="A5" s="72">
        <v>104803</v>
      </c>
      <c r="B5" s="72" t="s">
        <v>277</v>
      </c>
      <c r="C5" s="72" t="s">
        <v>661</v>
      </c>
      <c r="D5" s="72" t="s">
        <v>802</v>
      </c>
      <c r="E5" s="72" t="s">
        <v>11</v>
      </c>
      <c r="F5" s="72" t="s">
        <v>156</v>
      </c>
      <c r="G5" s="72" t="s">
        <v>365</v>
      </c>
      <c r="H5" s="72"/>
      <c r="I5" s="73">
        <v>43000.356724537036</v>
      </c>
      <c r="J5" s="72" t="s">
        <v>4</v>
      </c>
      <c r="K5" s="72" t="s">
        <v>638</v>
      </c>
      <c r="L5" s="72" t="s">
        <v>635</v>
      </c>
      <c r="M5" s="73">
        <v>42993.544328703705</v>
      </c>
      <c r="N5" s="72" t="s">
        <v>16</v>
      </c>
      <c r="O5" s="72" t="s">
        <v>496</v>
      </c>
      <c r="P5" s="72" t="s">
        <v>12</v>
      </c>
      <c r="Q5" s="72" t="s">
        <v>13</v>
      </c>
      <c r="R5" s="72" t="s">
        <v>19</v>
      </c>
      <c r="S5" s="72" t="s">
        <v>638</v>
      </c>
      <c r="T5" s="72" t="s">
        <v>88</v>
      </c>
      <c r="U5" s="72"/>
      <c r="V5" s="72" t="s">
        <v>81</v>
      </c>
      <c r="W5" s="72" t="s">
        <v>638</v>
      </c>
      <c r="X5" s="72" t="s">
        <v>638</v>
      </c>
      <c r="Y5" s="72" t="s">
        <v>638</v>
      </c>
      <c r="Z5" s="72" t="s">
        <v>638</v>
      </c>
      <c r="AA5" s="72">
        <v>18636</v>
      </c>
      <c r="AB5" s="72"/>
      <c r="AC5" s="72"/>
      <c r="AD5" s="72"/>
      <c r="AE5" s="70" t="s">
        <v>7</v>
      </c>
      <c r="AF5" s="70"/>
    </row>
    <row r="6" spans="1:32" x14ac:dyDescent="0.25">
      <c r="A6" s="72">
        <v>104806</v>
      </c>
      <c r="B6" s="72" t="s">
        <v>277</v>
      </c>
      <c r="C6" s="72" t="s">
        <v>803</v>
      </c>
      <c r="D6" s="72" t="s">
        <v>804</v>
      </c>
      <c r="E6" s="72" t="s">
        <v>11</v>
      </c>
      <c r="F6" s="72" t="s">
        <v>623</v>
      </c>
      <c r="G6" s="72" t="s">
        <v>541</v>
      </c>
      <c r="H6" s="72" t="s">
        <v>805</v>
      </c>
      <c r="I6" s="73">
        <v>43004.617488425924</v>
      </c>
      <c r="J6" s="72" t="s">
        <v>20</v>
      </c>
      <c r="K6" s="72" t="s">
        <v>638</v>
      </c>
      <c r="L6" s="72" t="s">
        <v>641</v>
      </c>
      <c r="M6" s="73">
        <v>42993.597581018519</v>
      </c>
      <c r="N6" s="72" t="s">
        <v>83</v>
      </c>
      <c r="O6" s="72"/>
      <c r="P6" s="72" t="s">
        <v>522</v>
      </c>
      <c r="Q6" s="72" t="s">
        <v>13</v>
      </c>
      <c r="R6" s="72" t="s">
        <v>745</v>
      </c>
      <c r="S6" s="72" t="s">
        <v>638</v>
      </c>
      <c r="T6" s="72" t="s">
        <v>26</v>
      </c>
      <c r="U6" s="72"/>
      <c r="V6" s="72" t="s">
        <v>81</v>
      </c>
      <c r="W6" s="72" t="s">
        <v>638</v>
      </c>
      <c r="X6" s="72" t="s">
        <v>638</v>
      </c>
      <c r="Y6" s="72" t="s">
        <v>638</v>
      </c>
      <c r="Z6" s="72" t="s">
        <v>638</v>
      </c>
      <c r="AA6" s="72"/>
      <c r="AB6" s="72"/>
      <c r="AC6" s="72"/>
      <c r="AD6" s="72"/>
      <c r="AE6" s="70" t="s">
        <v>7</v>
      </c>
      <c r="AF6" s="70"/>
    </row>
    <row r="7" spans="1:32" x14ac:dyDescent="0.25">
      <c r="A7" s="72">
        <v>104811</v>
      </c>
      <c r="B7" s="72" t="s">
        <v>277</v>
      </c>
      <c r="C7" s="72" t="s">
        <v>515</v>
      </c>
      <c r="D7" s="72" t="s">
        <v>806</v>
      </c>
      <c r="E7" s="72" t="s">
        <v>2</v>
      </c>
      <c r="F7" s="72" t="s">
        <v>807</v>
      </c>
      <c r="G7" s="72" t="s">
        <v>515</v>
      </c>
      <c r="H7" s="72"/>
      <c r="I7" s="73">
        <v>42994.260046296295</v>
      </c>
      <c r="J7" s="72" t="s">
        <v>20</v>
      </c>
      <c r="K7" s="72" t="s">
        <v>638</v>
      </c>
      <c r="L7" s="72" t="s">
        <v>672</v>
      </c>
      <c r="M7" s="73">
        <v>42994.260046296295</v>
      </c>
      <c r="N7" s="72" t="s">
        <v>16</v>
      </c>
      <c r="O7" s="72" t="s">
        <v>282</v>
      </c>
      <c r="P7" s="72" t="s">
        <v>17</v>
      </c>
      <c r="Q7" s="72" t="s">
        <v>13</v>
      </c>
      <c r="R7" s="72" t="s">
        <v>19</v>
      </c>
      <c r="S7" s="72" t="s">
        <v>638</v>
      </c>
      <c r="T7" s="72" t="s">
        <v>516</v>
      </c>
      <c r="U7" s="72"/>
      <c r="V7" s="72" t="s">
        <v>81</v>
      </c>
      <c r="W7" s="72" t="s">
        <v>638</v>
      </c>
      <c r="X7" s="72" t="s">
        <v>638</v>
      </c>
      <c r="Y7" s="72" t="s">
        <v>638</v>
      </c>
      <c r="Z7" s="72" t="s">
        <v>544</v>
      </c>
      <c r="AA7" s="72"/>
      <c r="AB7" s="72"/>
      <c r="AC7" s="72"/>
      <c r="AD7" s="72"/>
      <c r="AE7" s="70" t="s">
        <v>7</v>
      </c>
      <c r="AF7" s="70"/>
    </row>
    <row r="8" spans="1:32" x14ac:dyDescent="0.25">
      <c r="A8" s="72">
        <v>104831</v>
      </c>
      <c r="B8" s="72" t="s">
        <v>277</v>
      </c>
      <c r="C8" s="72" t="s">
        <v>285</v>
      </c>
      <c r="D8" s="72" t="s">
        <v>808</v>
      </c>
      <c r="E8" s="72" t="s">
        <v>2</v>
      </c>
      <c r="F8" s="72" t="s">
        <v>762</v>
      </c>
      <c r="G8" s="72" t="s">
        <v>809</v>
      </c>
      <c r="H8" s="72"/>
      <c r="I8" s="73">
        <v>42996.173043981478</v>
      </c>
      <c r="J8" s="72" t="s">
        <v>20</v>
      </c>
      <c r="K8" s="72" t="s">
        <v>638</v>
      </c>
      <c r="L8" s="72" t="s">
        <v>810</v>
      </c>
      <c r="M8" s="73">
        <v>42996.170381944445</v>
      </c>
      <c r="N8" s="72" t="s">
        <v>16</v>
      </c>
      <c r="O8" s="72"/>
      <c r="P8" s="72" t="s">
        <v>12</v>
      </c>
      <c r="Q8" s="72" t="s">
        <v>13</v>
      </c>
      <c r="R8" s="72" t="s">
        <v>19</v>
      </c>
      <c r="S8" s="72" t="s">
        <v>638</v>
      </c>
      <c r="T8" s="72" t="s">
        <v>516</v>
      </c>
      <c r="U8" s="72"/>
      <c r="V8" s="72" t="s">
        <v>81</v>
      </c>
      <c r="W8" s="72" t="s">
        <v>638</v>
      </c>
      <c r="X8" s="72" t="s">
        <v>638</v>
      </c>
      <c r="Y8" s="72" t="s">
        <v>638</v>
      </c>
      <c r="Z8" s="72" t="s">
        <v>638</v>
      </c>
      <c r="AA8" s="72"/>
      <c r="AB8" s="72"/>
      <c r="AC8" s="72"/>
      <c r="AD8" s="72"/>
      <c r="AE8" s="70" t="s">
        <v>7</v>
      </c>
      <c r="AF8" s="70"/>
    </row>
    <row r="9" spans="1:32" x14ac:dyDescent="0.25">
      <c r="A9" s="72">
        <v>104896</v>
      </c>
      <c r="B9" s="72" t="s">
        <v>277</v>
      </c>
      <c r="C9" s="72" t="s">
        <v>661</v>
      </c>
      <c r="D9" s="72" t="s">
        <v>682</v>
      </c>
      <c r="E9" s="72" t="s">
        <v>11</v>
      </c>
      <c r="F9" s="72" t="s">
        <v>668</v>
      </c>
      <c r="G9" s="72" t="s">
        <v>277</v>
      </c>
      <c r="H9" s="72"/>
      <c r="I9" s="73">
        <v>42998.147361111114</v>
      </c>
      <c r="J9" s="72" t="s">
        <v>20</v>
      </c>
      <c r="K9" s="72" t="s">
        <v>638</v>
      </c>
      <c r="L9" s="72" t="s">
        <v>635</v>
      </c>
      <c r="M9" s="73">
        <v>42997.324745370373</v>
      </c>
      <c r="N9" s="72" t="s">
        <v>16</v>
      </c>
      <c r="O9" s="72" t="s">
        <v>496</v>
      </c>
      <c r="P9" s="72" t="s">
        <v>12</v>
      </c>
      <c r="Q9" s="72" t="s">
        <v>13</v>
      </c>
      <c r="R9" s="72" t="s">
        <v>19</v>
      </c>
      <c r="S9" s="72" t="s">
        <v>638</v>
      </c>
      <c r="T9" s="72" t="s">
        <v>88</v>
      </c>
      <c r="U9" s="72"/>
      <c r="V9" s="72" t="s">
        <v>81</v>
      </c>
      <c r="W9" s="72" t="s">
        <v>638</v>
      </c>
      <c r="X9" s="72" t="s">
        <v>638</v>
      </c>
      <c r="Y9" s="72" t="s">
        <v>638</v>
      </c>
      <c r="Z9" s="72" t="s">
        <v>638</v>
      </c>
      <c r="AA9" s="72">
        <v>18636</v>
      </c>
      <c r="AB9" s="72"/>
      <c r="AC9" s="72"/>
      <c r="AD9" s="72"/>
      <c r="AE9" s="70" t="s">
        <v>7</v>
      </c>
      <c r="AF9" s="70"/>
    </row>
    <row r="10" spans="1:32" x14ac:dyDescent="0.25">
      <c r="A10" s="72">
        <v>104897</v>
      </c>
      <c r="B10" s="72" t="s">
        <v>277</v>
      </c>
      <c r="C10" s="72" t="s">
        <v>661</v>
      </c>
      <c r="D10" s="72" t="s">
        <v>679</v>
      </c>
      <c r="E10" s="72" t="s">
        <v>11</v>
      </c>
      <c r="F10" s="72" t="s">
        <v>641</v>
      </c>
      <c r="G10" s="72" t="s">
        <v>277</v>
      </c>
      <c r="H10" s="72"/>
      <c r="I10" s="73">
        <v>42998.14739583333</v>
      </c>
      <c r="J10" s="72" t="s">
        <v>20</v>
      </c>
      <c r="K10" s="72" t="s">
        <v>638</v>
      </c>
      <c r="L10" s="72" t="s">
        <v>635</v>
      </c>
      <c r="M10" s="73">
        <v>42997.325937499998</v>
      </c>
      <c r="N10" s="72" t="s">
        <v>16</v>
      </c>
      <c r="O10" s="72" t="s">
        <v>496</v>
      </c>
      <c r="P10" s="72" t="s">
        <v>12</v>
      </c>
      <c r="Q10" s="72" t="s">
        <v>13</v>
      </c>
      <c r="R10" s="72" t="s">
        <v>19</v>
      </c>
      <c r="S10" s="72" t="s">
        <v>638</v>
      </c>
      <c r="T10" s="72" t="s">
        <v>88</v>
      </c>
      <c r="U10" s="72"/>
      <c r="V10" s="72" t="s">
        <v>81</v>
      </c>
      <c r="W10" s="72" t="s">
        <v>638</v>
      </c>
      <c r="X10" s="72" t="s">
        <v>638</v>
      </c>
      <c r="Y10" s="72" t="s">
        <v>638</v>
      </c>
      <c r="Z10" s="72" t="s">
        <v>638</v>
      </c>
      <c r="AA10" s="72">
        <v>18636</v>
      </c>
      <c r="AB10" s="72"/>
      <c r="AC10" s="72"/>
      <c r="AD10" s="72"/>
      <c r="AE10" s="70" t="s">
        <v>7</v>
      </c>
      <c r="AF10" s="70"/>
    </row>
    <row r="11" spans="1:32" x14ac:dyDescent="0.25">
      <c r="A11" s="72">
        <v>104898</v>
      </c>
      <c r="B11" s="72" t="s">
        <v>277</v>
      </c>
      <c r="C11" s="72" t="s">
        <v>661</v>
      </c>
      <c r="D11" s="72" t="s">
        <v>696</v>
      </c>
      <c r="E11" s="72" t="s">
        <v>11</v>
      </c>
      <c r="F11" s="72" t="s">
        <v>690</v>
      </c>
      <c r="G11" s="72" t="s">
        <v>277</v>
      </c>
      <c r="H11" s="72"/>
      <c r="I11" s="73">
        <v>42998.147430555553</v>
      </c>
      <c r="J11" s="72" t="s">
        <v>20</v>
      </c>
      <c r="K11" s="72" t="s">
        <v>638</v>
      </c>
      <c r="L11" s="72" t="s">
        <v>635</v>
      </c>
      <c r="M11" s="73">
        <v>42997.326666666668</v>
      </c>
      <c r="N11" s="72" t="s">
        <v>16</v>
      </c>
      <c r="O11" s="72" t="s">
        <v>496</v>
      </c>
      <c r="P11" s="72" t="s">
        <v>12</v>
      </c>
      <c r="Q11" s="72" t="s">
        <v>13</v>
      </c>
      <c r="R11" s="72" t="s">
        <v>19</v>
      </c>
      <c r="S11" s="72" t="s">
        <v>638</v>
      </c>
      <c r="T11" s="72" t="s">
        <v>88</v>
      </c>
      <c r="U11" s="72"/>
      <c r="V11" s="72" t="s">
        <v>81</v>
      </c>
      <c r="W11" s="72" t="s">
        <v>638</v>
      </c>
      <c r="X11" s="72" t="s">
        <v>638</v>
      </c>
      <c r="Y11" s="72" t="s">
        <v>638</v>
      </c>
      <c r="Z11" s="72" t="s">
        <v>638</v>
      </c>
      <c r="AA11" s="72">
        <v>18636</v>
      </c>
      <c r="AB11" s="72"/>
      <c r="AC11" s="72"/>
      <c r="AD11" s="72"/>
      <c r="AE11" s="70" t="s">
        <v>7</v>
      </c>
      <c r="AF11" s="70"/>
    </row>
    <row r="12" spans="1:32" x14ac:dyDescent="0.25">
      <c r="A12" s="72">
        <v>104969</v>
      </c>
      <c r="B12" s="72" t="s">
        <v>277</v>
      </c>
      <c r="C12" s="72" t="s">
        <v>272</v>
      </c>
      <c r="D12" s="72" t="s">
        <v>684</v>
      </c>
      <c r="E12" s="72" t="s">
        <v>316</v>
      </c>
      <c r="F12" s="72" t="s">
        <v>641</v>
      </c>
      <c r="G12" s="72" t="s">
        <v>683</v>
      </c>
      <c r="H12" s="72"/>
      <c r="I12" s="73">
        <v>43003.625138888892</v>
      </c>
      <c r="J12" s="72" t="s">
        <v>4</v>
      </c>
      <c r="K12" s="72" t="s">
        <v>638</v>
      </c>
      <c r="L12" s="72" t="s">
        <v>641</v>
      </c>
      <c r="M12" s="73">
        <v>42999.040243055555</v>
      </c>
      <c r="N12" s="72" t="s">
        <v>312</v>
      </c>
      <c r="O12" s="72" t="s">
        <v>308</v>
      </c>
      <c r="P12" s="72" t="s">
        <v>12</v>
      </c>
      <c r="Q12" s="72" t="s">
        <v>13</v>
      </c>
      <c r="R12" s="72" t="s">
        <v>239</v>
      </c>
      <c r="S12" s="72" t="s">
        <v>638</v>
      </c>
      <c r="T12" s="72" t="s">
        <v>516</v>
      </c>
      <c r="U12" s="72"/>
      <c r="V12" s="72" t="s">
        <v>102</v>
      </c>
      <c r="W12" s="72" t="s">
        <v>677</v>
      </c>
      <c r="X12" s="72" t="s">
        <v>606</v>
      </c>
      <c r="Y12" s="72" t="s">
        <v>638</v>
      </c>
      <c r="Z12" s="72" t="s">
        <v>638</v>
      </c>
      <c r="AA12" s="72"/>
      <c r="AB12" s="72"/>
      <c r="AC12" s="72"/>
      <c r="AD12" s="72"/>
      <c r="AE12" s="70" t="s">
        <v>544</v>
      </c>
      <c r="AF12" s="70"/>
    </row>
    <row r="13" spans="1:32" x14ac:dyDescent="0.25">
      <c r="A13" s="72">
        <v>105089</v>
      </c>
      <c r="B13" s="72" t="s">
        <v>277</v>
      </c>
      <c r="C13" s="72" t="s">
        <v>272</v>
      </c>
      <c r="D13" s="72" t="s">
        <v>811</v>
      </c>
      <c r="E13" s="72" t="s">
        <v>316</v>
      </c>
      <c r="F13" s="72" t="s">
        <v>156</v>
      </c>
      <c r="G13" s="72" t="s">
        <v>272</v>
      </c>
      <c r="H13" s="72"/>
      <c r="I13" s="73">
        <v>43000.4065625</v>
      </c>
      <c r="J13" s="72" t="s">
        <v>20</v>
      </c>
      <c r="K13" s="72" t="s">
        <v>638</v>
      </c>
      <c r="L13" s="72" t="s">
        <v>641</v>
      </c>
      <c r="M13" s="73">
        <v>43000.406585648147</v>
      </c>
      <c r="N13" s="72" t="s">
        <v>312</v>
      </c>
      <c r="O13" s="72" t="s">
        <v>308</v>
      </c>
      <c r="P13" s="72" t="s">
        <v>17</v>
      </c>
      <c r="Q13" s="72" t="s">
        <v>13</v>
      </c>
      <c r="R13" s="72" t="s">
        <v>239</v>
      </c>
      <c r="S13" s="72" t="s">
        <v>638</v>
      </c>
      <c r="T13" s="72" t="s">
        <v>26</v>
      </c>
      <c r="U13" s="72"/>
      <c r="V13" s="72" t="s">
        <v>102</v>
      </c>
      <c r="W13" s="72" t="s">
        <v>638</v>
      </c>
      <c r="X13" s="72" t="s">
        <v>638</v>
      </c>
      <c r="Y13" s="72" t="s">
        <v>638</v>
      </c>
      <c r="Z13" s="72" t="s">
        <v>638</v>
      </c>
      <c r="AA13" s="72"/>
      <c r="AB13" s="72"/>
      <c r="AC13" s="72"/>
      <c r="AD13" s="72"/>
      <c r="AE13" s="70" t="s">
        <v>7</v>
      </c>
      <c r="AF13" s="70"/>
    </row>
    <row r="14" spans="1:32" x14ac:dyDescent="0.25">
      <c r="A14" s="72">
        <v>105137</v>
      </c>
      <c r="B14" s="72" t="s">
        <v>277</v>
      </c>
      <c r="C14" s="72" t="s">
        <v>277</v>
      </c>
      <c r="D14" s="72" t="s">
        <v>812</v>
      </c>
      <c r="E14" s="72" t="s">
        <v>11</v>
      </c>
      <c r="F14" s="72" t="s">
        <v>813</v>
      </c>
      <c r="G14" s="72" t="s">
        <v>814</v>
      </c>
      <c r="H14" s="72" t="s">
        <v>815</v>
      </c>
      <c r="I14" s="73">
        <v>43004.185833333337</v>
      </c>
      <c r="J14" s="72" t="s">
        <v>144</v>
      </c>
      <c r="K14" s="72" t="s">
        <v>638</v>
      </c>
      <c r="L14" s="72" t="s">
        <v>813</v>
      </c>
      <c r="M14" s="73">
        <v>43003.120185185187</v>
      </c>
      <c r="N14" s="72" t="s">
        <v>83</v>
      </c>
      <c r="O14" s="72"/>
      <c r="P14" s="72" t="s">
        <v>12</v>
      </c>
      <c r="Q14" s="72" t="s">
        <v>13</v>
      </c>
      <c r="R14" s="72" t="s">
        <v>239</v>
      </c>
      <c r="S14" s="72" t="s">
        <v>638</v>
      </c>
      <c r="T14" s="72" t="s">
        <v>88</v>
      </c>
      <c r="U14" s="72"/>
      <c r="V14" s="72" t="s">
        <v>81</v>
      </c>
      <c r="W14" s="72" t="s">
        <v>638</v>
      </c>
      <c r="X14" s="72" t="s">
        <v>638</v>
      </c>
      <c r="Y14" s="72" t="s">
        <v>638</v>
      </c>
      <c r="Z14" s="72" t="s">
        <v>638</v>
      </c>
      <c r="AA14" s="72"/>
      <c r="AB14" s="72"/>
      <c r="AC14" s="72"/>
      <c r="AD14" s="72"/>
      <c r="AE14" s="70" t="s">
        <v>7</v>
      </c>
      <c r="AF14" s="70"/>
    </row>
    <row r="15" spans="1:32" x14ac:dyDescent="0.25">
      <c r="A15" s="72">
        <v>105206</v>
      </c>
      <c r="B15" s="72" t="s">
        <v>277</v>
      </c>
      <c r="C15" s="72" t="s">
        <v>272</v>
      </c>
      <c r="D15" s="72" t="s">
        <v>816</v>
      </c>
      <c r="E15" s="72" t="s">
        <v>11</v>
      </c>
      <c r="F15" s="72" t="s">
        <v>751</v>
      </c>
      <c r="G15" s="72" t="s">
        <v>665</v>
      </c>
      <c r="H15" s="72"/>
      <c r="I15" s="73">
        <v>43004.261562500003</v>
      </c>
      <c r="J15" s="72" t="s">
        <v>20</v>
      </c>
      <c r="K15" s="72" t="s">
        <v>638</v>
      </c>
      <c r="L15" s="72" t="s">
        <v>690</v>
      </c>
      <c r="M15" s="73">
        <v>43003.661157407405</v>
      </c>
      <c r="N15" s="72" t="s">
        <v>629</v>
      </c>
      <c r="O15" s="72"/>
      <c r="P15" s="72" t="s">
        <v>6</v>
      </c>
      <c r="Q15" s="72" t="s">
        <v>13</v>
      </c>
      <c r="R15" s="72" t="s">
        <v>19</v>
      </c>
      <c r="S15" s="72" t="s">
        <v>638</v>
      </c>
      <c r="T15" s="72" t="s">
        <v>516</v>
      </c>
      <c r="U15" s="72"/>
      <c r="V15" s="72" t="s">
        <v>112</v>
      </c>
      <c r="W15" s="72" t="s">
        <v>638</v>
      </c>
      <c r="X15" s="72" t="s">
        <v>638</v>
      </c>
      <c r="Y15" s="72" t="s">
        <v>638</v>
      </c>
      <c r="Z15" s="72" t="s">
        <v>638</v>
      </c>
      <c r="AA15" s="72"/>
      <c r="AB15" s="72"/>
      <c r="AC15" s="72"/>
      <c r="AD15" s="72"/>
      <c r="AE15" s="70" t="s">
        <v>7</v>
      </c>
      <c r="AF15" s="70"/>
    </row>
    <row r="16" spans="1:32" x14ac:dyDescent="0.25">
      <c r="A16" s="72">
        <v>105211</v>
      </c>
      <c r="B16" s="72" t="s">
        <v>277</v>
      </c>
      <c r="C16" s="72" t="s">
        <v>277</v>
      </c>
      <c r="D16" s="72" t="s">
        <v>817</v>
      </c>
      <c r="E16" s="72" t="s">
        <v>11</v>
      </c>
      <c r="F16" s="72" t="s">
        <v>623</v>
      </c>
      <c r="G16" s="72" t="s">
        <v>287</v>
      </c>
      <c r="H16" s="72"/>
      <c r="I16" s="73">
        <v>43003.683807870373</v>
      </c>
      <c r="J16" s="72" t="s">
        <v>20</v>
      </c>
      <c r="K16" s="72" t="s">
        <v>638</v>
      </c>
      <c r="L16" s="72" t="s">
        <v>641</v>
      </c>
      <c r="M16" s="73">
        <v>43003.683796296296</v>
      </c>
      <c r="N16" s="72" t="s">
        <v>42</v>
      </c>
      <c r="O16" s="72"/>
      <c r="P16" s="72" t="s">
        <v>17</v>
      </c>
      <c r="Q16" s="72" t="s">
        <v>13</v>
      </c>
      <c r="R16" s="72" t="s">
        <v>745</v>
      </c>
      <c r="S16" s="72" t="s">
        <v>638</v>
      </c>
      <c r="T16" s="72" t="s">
        <v>26</v>
      </c>
      <c r="U16" s="72"/>
      <c r="V16" s="72" t="s">
        <v>81</v>
      </c>
      <c r="W16" s="72" t="s">
        <v>638</v>
      </c>
      <c r="X16" s="72" t="s">
        <v>638</v>
      </c>
      <c r="Y16" s="72" t="s">
        <v>638</v>
      </c>
      <c r="Z16" s="72" t="s">
        <v>638</v>
      </c>
      <c r="AA16" s="72"/>
      <c r="AB16" s="72"/>
      <c r="AC16" s="72"/>
      <c r="AD16" s="72"/>
      <c r="AE16" s="70" t="s">
        <v>7</v>
      </c>
      <c r="AF16" s="70"/>
    </row>
    <row r="17" spans="1:32" x14ac:dyDescent="0.25">
      <c r="A17" s="70"/>
      <c r="B17" s="70"/>
      <c r="C17" s="70"/>
      <c r="D17" s="70"/>
      <c r="E17" s="70"/>
      <c r="F17" s="70"/>
      <c r="G17" s="70"/>
      <c r="H17" s="71"/>
      <c r="I17" s="70"/>
      <c r="J17" s="70"/>
      <c r="K17" s="71"/>
      <c r="L17" s="70"/>
      <c r="M17" s="70"/>
      <c r="N17" s="70"/>
      <c r="O17" s="70"/>
      <c r="P17" s="70"/>
      <c r="Q17" s="70"/>
      <c r="R17" s="70"/>
      <c r="S17" s="70"/>
      <c r="T17" s="70"/>
      <c r="U17" s="70"/>
      <c r="V17" s="70"/>
      <c r="W17" s="70"/>
      <c r="X17" s="70"/>
      <c r="Y17" s="70"/>
      <c r="Z17" s="70"/>
      <c r="AA17" s="70"/>
      <c r="AB17" s="70"/>
      <c r="AC17" s="70"/>
      <c r="AD17" s="70"/>
      <c r="AE17" s="70"/>
      <c r="AF17" s="70"/>
    </row>
    <row r="18" spans="1:32" hidden="1" x14ac:dyDescent="0.25">
      <c r="A18" s="70"/>
      <c r="B18" s="70"/>
      <c r="C18" s="70"/>
      <c r="D18" s="70"/>
      <c r="E18" s="70"/>
      <c r="F18" s="70"/>
      <c r="G18" s="70"/>
      <c r="H18" s="71"/>
      <c r="I18" s="70"/>
      <c r="J18" s="70"/>
      <c r="K18" s="71"/>
      <c r="L18" s="70"/>
      <c r="M18" s="70"/>
      <c r="N18" s="70"/>
      <c r="O18" s="70"/>
      <c r="P18" s="70"/>
      <c r="Q18" s="70"/>
      <c r="R18" s="70"/>
      <c r="S18" s="70"/>
      <c r="T18" s="70"/>
      <c r="U18" s="70"/>
      <c r="V18" s="70"/>
      <c r="W18" s="70"/>
      <c r="X18" s="70"/>
      <c r="Y18" s="70"/>
      <c r="Z18" s="70"/>
      <c r="AA18" s="70"/>
      <c r="AB18" s="70"/>
      <c r="AC18" s="70"/>
      <c r="AD18" s="70"/>
      <c r="AE18" s="70"/>
      <c r="AF18" s="70"/>
    </row>
    <row r="19" spans="1:32" hidden="1" x14ac:dyDescent="0.25">
      <c r="A19" s="70"/>
      <c r="B19" s="70"/>
      <c r="C19" s="70"/>
      <c r="D19" s="70"/>
      <c r="E19" s="70"/>
      <c r="F19" s="70"/>
      <c r="G19" s="70"/>
      <c r="H19" s="71"/>
      <c r="I19" s="70"/>
      <c r="J19" s="70"/>
      <c r="K19" s="71"/>
      <c r="L19" s="70"/>
      <c r="M19" s="70"/>
      <c r="N19" s="70"/>
      <c r="O19" s="70"/>
      <c r="P19" s="70"/>
      <c r="Q19" s="70"/>
      <c r="R19" s="70"/>
      <c r="S19" s="70"/>
      <c r="T19" s="70"/>
      <c r="U19" s="70"/>
      <c r="V19" s="70"/>
      <c r="W19" s="70"/>
      <c r="X19" s="70"/>
      <c r="Y19" s="70"/>
      <c r="Z19" s="70"/>
      <c r="AA19" s="70"/>
      <c r="AB19" s="70"/>
      <c r="AC19" s="70"/>
      <c r="AD19" s="70"/>
      <c r="AE19" s="70"/>
      <c r="AF19" s="70"/>
    </row>
    <row r="20" spans="1:32" hidden="1" x14ac:dyDescent="0.25">
      <c r="A20" s="70"/>
      <c r="B20" s="70"/>
      <c r="C20" s="70"/>
      <c r="D20" s="70"/>
      <c r="E20" s="70"/>
      <c r="F20" s="70"/>
      <c r="G20" s="70"/>
      <c r="H20" s="71"/>
      <c r="I20" s="70"/>
      <c r="J20" s="70"/>
      <c r="K20" s="71"/>
      <c r="L20" s="70"/>
      <c r="M20" s="70"/>
      <c r="N20" s="70"/>
      <c r="O20" s="70"/>
      <c r="P20" s="70"/>
      <c r="Q20" s="70"/>
      <c r="R20" s="70"/>
      <c r="S20" s="70"/>
      <c r="T20" s="70"/>
      <c r="U20" s="70"/>
      <c r="V20" s="70"/>
      <c r="W20" s="70"/>
      <c r="X20" s="70"/>
      <c r="Y20" s="70"/>
      <c r="Z20" s="70"/>
      <c r="AA20" s="70"/>
      <c r="AB20" s="70"/>
      <c r="AC20" s="70"/>
      <c r="AD20" s="70"/>
      <c r="AE20" s="70"/>
      <c r="AF20" s="70"/>
    </row>
    <row r="21" spans="1:32" hidden="1" x14ac:dyDescent="0.25">
      <c r="A21" s="70"/>
      <c r="B21" s="70"/>
      <c r="C21" s="70"/>
      <c r="D21" s="70"/>
      <c r="E21" s="70"/>
      <c r="F21" s="70"/>
      <c r="G21" s="70"/>
      <c r="H21" s="71"/>
      <c r="I21" s="70"/>
      <c r="J21" s="70"/>
      <c r="K21" s="71"/>
      <c r="L21" s="70"/>
      <c r="M21" s="70"/>
      <c r="N21" s="70"/>
      <c r="O21" s="70"/>
      <c r="P21" s="70"/>
      <c r="Q21" s="70"/>
      <c r="R21" s="70"/>
      <c r="S21" s="70"/>
      <c r="T21" s="70"/>
      <c r="U21" s="70"/>
      <c r="V21" s="70"/>
      <c r="W21" s="70"/>
      <c r="X21" s="70"/>
      <c r="Y21" s="70"/>
      <c r="Z21" s="70"/>
      <c r="AA21" s="70"/>
      <c r="AB21" s="70"/>
      <c r="AC21" s="70"/>
      <c r="AD21" s="70"/>
      <c r="AE21" s="70"/>
      <c r="AF21" s="70"/>
    </row>
    <row r="22" spans="1:32" hidden="1" x14ac:dyDescent="0.25">
      <c r="A22" s="70"/>
      <c r="B22" s="70"/>
      <c r="C22" s="70"/>
      <c r="D22" s="70"/>
      <c r="E22" s="70"/>
      <c r="F22" s="70"/>
      <c r="G22" s="70"/>
      <c r="H22" s="71"/>
      <c r="I22" s="70"/>
      <c r="J22" s="70"/>
      <c r="K22" s="71"/>
      <c r="L22" s="70"/>
      <c r="M22" s="70"/>
      <c r="N22" s="70"/>
      <c r="O22" s="70"/>
      <c r="P22" s="70"/>
      <c r="Q22" s="70"/>
      <c r="R22" s="70"/>
      <c r="S22" s="70"/>
      <c r="T22" s="70"/>
      <c r="U22" s="70"/>
      <c r="V22" s="70"/>
      <c r="W22" s="70"/>
      <c r="X22" s="70"/>
      <c r="Y22" s="70"/>
      <c r="Z22" s="70"/>
      <c r="AA22" s="70"/>
      <c r="AB22" s="70"/>
      <c r="AC22" s="70"/>
      <c r="AD22" s="70"/>
      <c r="AE22" s="70"/>
      <c r="AF22" s="70"/>
    </row>
    <row r="23" spans="1:32" hidden="1" x14ac:dyDescent="0.25">
      <c r="A23" s="70"/>
      <c r="B23" s="70"/>
      <c r="C23" s="70"/>
      <c r="D23" s="70"/>
      <c r="E23" s="70"/>
      <c r="F23" s="70"/>
      <c r="G23" s="70"/>
      <c r="H23" s="71"/>
      <c r="I23" s="70"/>
      <c r="J23" s="70"/>
      <c r="K23" s="71"/>
      <c r="L23" s="70"/>
      <c r="M23" s="70"/>
      <c r="N23" s="70"/>
      <c r="O23" s="70"/>
      <c r="P23" s="70"/>
      <c r="Q23" s="70"/>
      <c r="R23" s="70"/>
      <c r="S23" s="70"/>
      <c r="T23" s="70"/>
      <c r="U23" s="70"/>
      <c r="V23" s="70"/>
      <c r="W23" s="70"/>
      <c r="X23" s="70"/>
      <c r="Y23" s="70"/>
      <c r="Z23" s="70"/>
      <c r="AA23" s="70"/>
      <c r="AB23" s="70"/>
      <c r="AC23" s="70"/>
      <c r="AD23" s="70"/>
      <c r="AE23" s="70"/>
      <c r="AF23" s="70"/>
    </row>
    <row r="24" spans="1:32" hidden="1" x14ac:dyDescent="0.25">
      <c r="A24" s="70"/>
      <c r="B24" s="70"/>
      <c r="C24" s="70"/>
      <c r="D24" s="70"/>
      <c r="E24" s="70"/>
      <c r="F24" s="70"/>
      <c r="G24" s="70"/>
      <c r="H24" s="71"/>
      <c r="I24" s="70"/>
      <c r="J24" s="70"/>
      <c r="K24" s="71"/>
      <c r="L24" s="70"/>
      <c r="M24" s="70"/>
      <c r="N24" s="70"/>
      <c r="O24" s="70"/>
      <c r="P24" s="70"/>
      <c r="Q24" s="70"/>
      <c r="R24" s="70"/>
      <c r="S24" s="70"/>
      <c r="T24" s="70"/>
      <c r="U24" s="70"/>
      <c r="V24" s="70"/>
      <c r="W24" s="70"/>
      <c r="X24" s="70"/>
      <c r="Y24" s="70"/>
      <c r="Z24" s="70"/>
      <c r="AA24" s="70"/>
      <c r="AB24" s="70"/>
      <c r="AC24" s="70"/>
      <c r="AD24" s="70"/>
      <c r="AE24" s="70"/>
      <c r="AF24" s="70"/>
    </row>
    <row r="25" spans="1:32" hidden="1" x14ac:dyDescent="0.25">
      <c r="A25" s="70"/>
      <c r="B25" s="70"/>
      <c r="C25" s="70"/>
      <c r="D25" s="70"/>
      <c r="E25" s="70"/>
      <c r="F25" s="70"/>
      <c r="G25" s="70"/>
      <c r="H25" s="71"/>
      <c r="I25" s="70"/>
      <c r="J25" s="70"/>
      <c r="K25" s="71"/>
      <c r="L25" s="70"/>
      <c r="M25" s="70"/>
      <c r="N25" s="70"/>
      <c r="O25" s="70"/>
      <c r="P25" s="70"/>
      <c r="Q25" s="70"/>
      <c r="R25" s="70"/>
      <c r="S25" s="70"/>
      <c r="T25" s="70"/>
      <c r="U25" s="70"/>
      <c r="V25" s="70"/>
      <c r="W25" s="70"/>
      <c r="X25" s="70"/>
      <c r="Y25" s="70"/>
      <c r="Z25" s="70"/>
      <c r="AA25" s="70"/>
      <c r="AB25" s="70"/>
      <c r="AC25" s="70"/>
      <c r="AD25" s="70"/>
      <c r="AE25" s="70"/>
      <c r="AF25" s="70"/>
    </row>
    <row r="26" spans="1:32" hidden="1" x14ac:dyDescent="0.25">
      <c r="A26" s="70"/>
      <c r="B26" s="70"/>
      <c r="C26" s="70"/>
      <c r="D26" s="70"/>
      <c r="E26" s="70"/>
      <c r="F26" s="70"/>
      <c r="G26" s="70"/>
      <c r="H26" s="71"/>
      <c r="I26" s="70"/>
      <c r="J26" s="70"/>
      <c r="K26" s="71"/>
      <c r="L26" s="70"/>
      <c r="M26" s="70"/>
      <c r="N26" s="70"/>
      <c r="O26" s="70"/>
      <c r="P26" s="70"/>
      <c r="Q26" s="70"/>
      <c r="R26" s="70"/>
      <c r="S26" s="70"/>
      <c r="T26" s="70"/>
      <c r="U26" s="70"/>
      <c r="V26" s="70"/>
      <c r="W26" s="70"/>
      <c r="X26" s="70"/>
      <c r="Y26" s="70"/>
      <c r="Z26" s="70"/>
      <c r="AA26" s="70"/>
      <c r="AB26" s="70"/>
      <c r="AC26" s="70"/>
      <c r="AD26" s="70"/>
      <c r="AE26" s="70"/>
      <c r="AF26" s="70"/>
    </row>
    <row r="27" spans="1:32" hidden="1" x14ac:dyDescent="0.25">
      <c r="A27" s="70"/>
      <c r="B27" s="70"/>
      <c r="C27" s="70"/>
      <c r="D27" s="70"/>
      <c r="E27" s="70"/>
      <c r="F27" s="70"/>
      <c r="G27" s="70"/>
      <c r="H27" s="71"/>
      <c r="I27" s="70"/>
      <c r="J27" s="70"/>
      <c r="K27" s="71"/>
      <c r="L27" s="70"/>
      <c r="M27" s="70"/>
      <c r="N27" s="70"/>
      <c r="O27" s="70"/>
      <c r="P27" s="70"/>
      <c r="Q27" s="70"/>
      <c r="R27" s="70"/>
      <c r="S27" s="70"/>
      <c r="T27" s="70"/>
      <c r="U27" s="70"/>
      <c r="V27" s="70"/>
      <c r="W27" s="70"/>
      <c r="X27" s="70"/>
      <c r="Y27" s="70"/>
      <c r="Z27" s="70"/>
      <c r="AA27" s="70"/>
      <c r="AB27" s="70"/>
      <c r="AC27" s="70"/>
      <c r="AD27" s="70"/>
      <c r="AE27" s="70"/>
      <c r="AF27" s="70"/>
    </row>
    <row r="28" spans="1:32" hidden="1" x14ac:dyDescent="0.25">
      <c r="A28" s="70"/>
      <c r="B28" s="70"/>
      <c r="C28" s="70"/>
      <c r="D28" s="70"/>
      <c r="E28" s="70"/>
      <c r="F28" s="70"/>
      <c r="G28" s="70"/>
      <c r="H28" s="71"/>
      <c r="I28" s="70"/>
      <c r="J28" s="70"/>
      <c r="K28" s="71"/>
      <c r="L28" s="70"/>
      <c r="M28" s="70"/>
      <c r="N28" s="70"/>
      <c r="O28" s="70"/>
      <c r="P28" s="70"/>
      <c r="Q28" s="70"/>
      <c r="R28" s="70"/>
      <c r="S28" s="70"/>
      <c r="T28" s="70"/>
      <c r="U28" s="70"/>
      <c r="V28" s="70"/>
      <c r="W28" s="70"/>
      <c r="X28" s="70"/>
      <c r="Y28" s="70"/>
      <c r="Z28" s="70"/>
      <c r="AA28" s="70"/>
      <c r="AB28" s="70"/>
      <c r="AC28" s="70"/>
      <c r="AD28" s="70"/>
      <c r="AE28" s="70"/>
      <c r="AF28" s="70"/>
    </row>
    <row r="29" spans="1:32" hidden="1" x14ac:dyDescent="0.25">
      <c r="A29" s="70"/>
      <c r="B29" s="70"/>
      <c r="C29" s="70"/>
      <c r="D29" s="70"/>
      <c r="E29" s="70"/>
      <c r="F29" s="70"/>
      <c r="G29" s="70"/>
      <c r="H29" s="71"/>
      <c r="I29" s="70"/>
      <c r="J29" s="70"/>
      <c r="K29" s="71"/>
      <c r="L29" s="70"/>
      <c r="M29" s="70"/>
      <c r="N29" s="70"/>
      <c r="O29" s="70"/>
      <c r="P29" s="70"/>
      <c r="Q29" s="70"/>
      <c r="R29" s="70"/>
      <c r="S29" s="70"/>
      <c r="T29" s="70"/>
      <c r="U29" s="70"/>
      <c r="V29" s="70"/>
      <c r="W29" s="70"/>
      <c r="X29" s="70"/>
      <c r="Y29" s="70"/>
      <c r="Z29" s="70"/>
      <c r="AA29" s="70"/>
      <c r="AB29" s="70"/>
      <c r="AC29" s="70"/>
      <c r="AD29" s="70"/>
      <c r="AE29" s="70"/>
      <c r="AF29" s="70"/>
    </row>
    <row r="30" spans="1:32" hidden="1" x14ac:dyDescent="0.25">
      <c r="A30" s="70"/>
      <c r="B30" s="70"/>
      <c r="C30" s="70"/>
      <c r="D30" s="70"/>
      <c r="E30" s="70"/>
      <c r="F30" s="70"/>
      <c r="G30" s="70"/>
      <c r="H30" s="71"/>
      <c r="I30" s="70"/>
      <c r="J30" s="70"/>
      <c r="K30" s="71"/>
      <c r="L30" s="70"/>
      <c r="M30" s="70"/>
      <c r="N30" s="70"/>
      <c r="O30" s="70"/>
      <c r="P30" s="70"/>
      <c r="Q30" s="70"/>
      <c r="R30" s="70"/>
      <c r="S30" s="70"/>
      <c r="T30" s="70"/>
      <c r="U30" s="70"/>
      <c r="V30" s="70"/>
      <c r="W30" s="70"/>
      <c r="X30" s="70"/>
      <c r="Y30" s="70"/>
      <c r="Z30" s="70"/>
      <c r="AA30" s="70"/>
      <c r="AB30" s="70"/>
      <c r="AC30" s="70"/>
      <c r="AD30" s="70"/>
      <c r="AE30" s="70"/>
      <c r="AF30" s="70"/>
    </row>
    <row r="31" spans="1:32" hidden="1" x14ac:dyDescent="0.25">
      <c r="A31" s="70"/>
      <c r="B31" s="70"/>
      <c r="C31" s="70"/>
      <c r="D31" s="70"/>
      <c r="E31" s="70"/>
      <c r="F31" s="70"/>
      <c r="G31" s="70"/>
      <c r="H31" s="71"/>
      <c r="I31" s="70"/>
      <c r="J31" s="70"/>
      <c r="K31" s="71"/>
      <c r="L31" s="70"/>
      <c r="M31" s="70"/>
      <c r="N31" s="70"/>
      <c r="O31" s="70"/>
      <c r="P31" s="70"/>
      <c r="Q31" s="70"/>
      <c r="R31" s="70"/>
      <c r="S31" s="70"/>
      <c r="T31" s="70"/>
      <c r="U31" s="70"/>
      <c r="V31" s="70"/>
      <c r="W31" s="70"/>
      <c r="X31" s="70"/>
      <c r="Y31" s="70"/>
      <c r="Z31" s="70"/>
      <c r="AA31" s="70"/>
      <c r="AB31" s="70"/>
      <c r="AC31" s="70"/>
      <c r="AD31" s="70"/>
      <c r="AE31" s="70"/>
      <c r="AF31" s="70"/>
    </row>
    <row r="32" spans="1:32" hidden="1" x14ac:dyDescent="0.25">
      <c r="A32" s="70"/>
      <c r="B32" s="70"/>
      <c r="C32" s="70"/>
      <c r="D32" s="70"/>
      <c r="E32" s="70"/>
      <c r="F32" s="70"/>
      <c r="G32" s="70"/>
      <c r="H32" s="71"/>
      <c r="I32" s="70"/>
      <c r="J32" s="70"/>
      <c r="K32" s="71"/>
      <c r="L32" s="70"/>
      <c r="M32" s="70"/>
      <c r="N32" s="70"/>
      <c r="O32" s="70"/>
      <c r="P32" s="70"/>
      <c r="Q32" s="70"/>
      <c r="R32" s="70"/>
      <c r="S32" s="70"/>
      <c r="T32" s="70"/>
      <c r="U32" s="70"/>
      <c r="V32" s="70"/>
      <c r="W32" s="70"/>
      <c r="X32" s="70"/>
      <c r="Y32" s="70"/>
      <c r="Z32" s="70"/>
      <c r="AA32" s="70"/>
      <c r="AB32" s="70"/>
      <c r="AC32" s="70"/>
      <c r="AD32" s="70"/>
      <c r="AE32" s="70"/>
      <c r="AF32" s="70"/>
    </row>
    <row r="33" spans="1:32" hidden="1" x14ac:dyDescent="0.25">
      <c r="A33" s="70"/>
      <c r="B33" s="70"/>
      <c r="C33" s="70"/>
      <c r="D33" s="70"/>
      <c r="E33" s="70"/>
      <c r="F33" s="70"/>
      <c r="G33" s="70"/>
      <c r="H33" s="71"/>
      <c r="I33" s="70"/>
      <c r="J33" s="70"/>
      <c r="K33" s="71"/>
      <c r="L33" s="70"/>
      <c r="M33" s="70"/>
      <c r="N33" s="70"/>
      <c r="O33" s="70"/>
      <c r="P33" s="70"/>
      <c r="Q33" s="70"/>
      <c r="R33" s="70"/>
      <c r="S33" s="70"/>
      <c r="T33" s="70"/>
      <c r="U33" s="70"/>
      <c r="V33" s="70"/>
      <c r="W33" s="70"/>
      <c r="X33" s="70"/>
      <c r="Y33" s="70"/>
      <c r="Z33" s="70"/>
      <c r="AA33" s="70"/>
      <c r="AB33" s="70"/>
      <c r="AC33" s="70"/>
      <c r="AD33" s="70"/>
      <c r="AE33" s="70"/>
      <c r="AF33" s="70"/>
    </row>
    <row r="34" spans="1:32" hidden="1" x14ac:dyDescent="0.25">
      <c r="A34" s="70"/>
      <c r="B34" s="70"/>
      <c r="C34" s="70"/>
      <c r="D34" s="70"/>
      <c r="E34" s="70"/>
      <c r="F34" s="70"/>
      <c r="G34" s="70"/>
      <c r="H34" s="71"/>
      <c r="I34" s="70"/>
      <c r="J34" s="70"/>
      <c r="K34" s="71"/>
      <c r="L34" s="70"/>
      <c r="M34" s="70"/>
      <c r="N34" s="70"/>
      <c r="O34" s="70"/>
      <c r="P34" s="70"/>
      <c r="Q34" s="70"/>
      <c r="R34" s="70"/>
      <c r="S34" s="70"/>
      <c r="T34" s="70"/>
      <c r="U34" s="70"/>
      <c r="V34" s="70"/>
      <c r="W34" s="70"/>
      <c r="X34" s="70"/>
      <c r="Y34" s="70"/>
      <c r="Z34" s="70"/>
      <c r="AA34" s="70"/>
      <c r="AB34" s="70"/>
      <c r="AC34" s="70"/>
      <c r="AD34" s="70"/>
      <c r="AE34" s="70"/>
      <c r="AF34" s="70"/>
    </row>
    <row r="35" spans="1:32" hidden="1" x14ac:dyDescent="0.25">
      <c r="A35" s="70"/>
      <c r="B35" s="70"/>
      <c r="C35" s="70"/>
      <c r="D35" s="70"/>
      <c r="E35" s="70"/>
      <c r="F35" s="70"/>
      <c r="G35" s="70"/>
      <c r="H35" s="71"/>
      <c r="I35" s="70"/>
      <c r="J35" s="70"/>
      <c r="K35" s="71"/>
      <c r="L35" s="70"/>
      <c r="M35" s="70"/>
      <c r="N35" s="70"/>
      <c r="O35" s="70"/>
      <c r="P35" s="70"/>
      <c r="Q35" s="70"/>
      <c r="R35" s="70"/>
      <c r="S35" s="70"/>
      <c r="T35" s="70"/>
      <c r="U35" s="70"/>
      <c r="V35" s="70"/>
      <c r="W35" s="70"/>
      <c r="X35" s="70"/>
      <c r="Y35" s="70"/>
      <c r="Z35" s="70"/>
      <c r="AA35" s="70"/>
      <c r="AB35" s="70"/>
      <c r="AC35" s="70"/>
      <c r="AD35" s="70"/>
      <c r="AE35" s="70"/>
      <c r="AF35" s="70"/>
    </row>
    <row r="36" spans="1:32" hidden="1" x14ac:dyDescent="0.25">
      <c r="A36" s="70"/>
      <c r="B36" s="70"/>
      <c r="C36" s="70"/>
      <c r="D36" s="70"/>
      <c r="E36" s="70"/>
      <c r="F36" s="70"/>
      <c r="G36" s="70"/>
      <c r="H36" s="71"/>
      <c r="I36" s="70"/>
      <c r="J36" s="70"/>
      <c r="K36" s="71"/>
      <c r="L36" s="70"/>
      <c r="M36" s="70"/>
      <c r="N36" s="70"/>
      <c r="O36" s="70"/>
      <c r="P36" s="70"/>
      <c r="Q36" s="70"/>
      <c r="R36" s="70"/>
      <c r="S36" s="70"/>
      <c r="T36" s="70"/>
      <c r="U36" s="70"/>
      <c r="V36" s="70"/>
      <c r="W36" s="70"/>
      <c r="X36" s="70"/>
      <c r="Y36" s="70"/>
      <c r="Z36" s="70"/>
      <c r="AA36" s="70"/>
      <c r="AB36" s="70"/>
      <c r="AC36" s="70"/>
      <c r="AD36" s="70"/>
      <c r="AE36" s="70"/>
      <c r="AF36" s="70"/>
    </row>
    <row r="37" spans="1:32" hidden="1" x14ac:dyDescent="0.25">
      <c r="A37" s="70"/>
      <c r="B37" s="70"/>
      <c r="C37" s="70"/>
      <c r="D37" s="70"/>
      <c r="E37" s="70"/>
      <c r="F37" s="70"/>
      <c r="G37" s="70"/>
      <c r="H37" s="71"/>
      <c r="I37" s="70"/>
      <c r="J37" s="70"/>
      <c r="K37" s="71"/>
      <c r="L37" s="70"/>
      <c r="M37" s="70"/>
      <c r="N37" s="70"/>
      <c r="O37" s="70"/>
      <c r="P37" s="70"/>
      <c r="Q37" s="70"/>
      <c r="R37" s="70"/>
      <c r="S37" s="70"/>
      <c r="T37" s="70"/>
      <c r="U37" s="70"/>
      <c r="V37" s="70"/>
      <c r="W37" s="70"/>
      <c r="X37" s="70"/>
      <c r="Y37" s="70"/>
      <c r="Z37" s="70"/>
      <c r="AA37" s="70"/>
      <c r="AB37" s="70"/>
      <c r="AC37" s="70"/>
      <c r="AD37" s="70"/>
      <c r="AE37" s="70"/>
      <c r="AF37" s="70"/>
    </row>
    <row r="38" spans="1:32" hidden="1" x14ac:dyDescent="0.25">
      <c r="A38" s="70"/>
      <c r="B38" s="70"/>
      <c r="C38" s="70"/>
      <c r="D38" s="70"/>
      <c r="E38" s="70"/>
      <c r="F38" s="70"/>
      <c r="G38" s="70"/>
      <c r="H38" s="71"/>
      <c r="I38" s="70"/>
      <c r="J38" s="70"/>
      <c r="K38" s="71"/>
      <c r="L38" s="70"/>
      <c r="M38" s="70"/>
      <c r="N38" s="70"/>
      <c r="O38" s="70"/>
      <c r="P38" s="70"/>
      <c r="Q38" s="70"/>
      <c r="R38" s="70"/>
      <c r="S38" s="70"/>
      <c r="T38" s="70"/>
      <c r="U38" s="70"/>
      <c r="V38" s="70"/>
      <c r="W38" s="70"/>
      <c r="X38" s="70"/>
      <c r="Y38" s="70"/>
      <c r="Z38" s="70"/>
      <c r="AA38" s="70"/>
      <c r="AB38" s="70"/>
      <c r="AC38" s="70"/>
      <c r="AD38" s="70"/>
      <c r="AE38" s="70"/>
      <c r="AF38" s="70"/>
    </row>
    <row r="39" spans="1:32" hidden="1" x14ac:dyDescent="0.25">
      <c r="A39" s="70"/>
      <c r="B39" s="70"/>
      <c r="C39" s="70"/>
      <c r="D39" s="70"/>
      <c r="E39" s="70"/>
      <c r="F39" s="70"/>
      <c r="G39" s="70"/>
      <c r="H39" s="71"/>
      <c r="I39" s="70"/>
      <c r="J39" s="70"/>
      <c r="K39" s="71"/>
      <c r="L39" s="70"/>
      <c r="M39" s="70"/>
      <c r="N39" s="70"/>
      <c r="O39" s="70"/>
      <c r="P39" s="70"/>
      <c r="Q39" s="70"/>
      <c r="R39" s="70"/>
      <c r="S39" s="70"/>
      <c r="T39" s="70"/>
      <c r="U39" s="70"/>
      <c r="V39" s="70"/>
      <c r="W39" s="70"/>
      <c r="X39" s="70"/>
      <c r="Y39" s="70"/>
      <c r="Z39" s="70"/>
      <c r="AA39" s="70"/>
      <c r="AB39" s="70"/>
      <c r="AC39" s="70"/>
      <c r="AD39" s="70"/>
      <c r="AE39" s="70"/>
      <c r="AF39" s="70"/>
    </row>
    <row r="40" spans="1:32" hidden="1" x14ac:dyDescent="0.25">
      <c r="A40" s="70"/>
      <c r="B40" s="70"/>
      <c r="C40" s="70"/>
      <c r="D40" s="70"/>
      <c r="E40" s="70"/>
      <c r="F40" s="70"/>
      <c r="G40" s="70"/>
      <c r="H40" s="71"/>
      <c r="I40" s="70"/>
      <c r="J40" s="70"/>
      <c r="K40" s="71"/>
      <c r="L40" s="70"/>
      <c r="M40" s="70"/>
      <c r="N40" s="70"/>
      <c r="O40" s="70"/>
      <c r="P40" s="70"/>
      <c r="Q40" s="70"/>
      <c r="R40" s="70"/>
      <c r="S40" s="70"/>
      <c r="T40" s="70"/>
      <c r="U40" s="70"/>
      <c r="V40" s="70"/>
      <c r="W40" s="70"/>
      <c r="X40" s="70"/>
      <c r="Y40" s="70"/>
      <c r="Z40" s="70"/>
      <c r="AA40" s="70"/>
      <c r="AB40" s="70"/>
      <c r="AC40" s="70"/>
      <c r="AD40" s="70"/>
      <c r="AE40" s="70"/>
      <c r="AF40" s="70"/>
    </row>
    <row r="41" spans="1:32" hidden="1" x14ac:dyDescent="0.25">
      <c r="A41" s="70"/>
      <c r="B41" s="70"/>
      <c r="C41" s="70"/>
      <c r="D41" s="70"/>
      <c r="E41" s="70"/>
      <c r="F41" s="70"/>
      <c r="G41" s="70"/>
      <c r="H41" s="71"/>
      <c r="I41" s="70"/>
      <c r="J41" s="70"/>
      <c r="K41" s="71"/>
      <c r="L41" s="70"/>
      <c r="M41" s="70"/>
      <c r="N41" s="70"/>
      <c r="O41" s="70"/>
      <c r="P41" s="70"/>
      <c r="Q41" s="70"/>
      <c r="R41" s="70"/>
      <c r="S41" s="70"/>
      <c r="T41" s="70"/>
      <c r="U41" s="70"/>
      <c r="V41" s="70"/>
      <c r="W41" s="70"/>
      <c r="X41" s="70"/>
      <c r="Y41" s="70"/>
      <c r="Z41" s="70"/>
      <c r="AA41" s="70"/>
      <c r="AB41" s="70"/>
      <c r="AC41" s="70"/>
      <c r="AD41" s="70"/>
      <c r="AE41" s="70"/>
      <c r="AF41" s="70"/>
    </row>
    <row r="42" spans="1:32" hidden="1" x14ac:dyDescent="0.25">
      <c r="A42" s="70"/>
      <c r="B42" s="70"/>
      <c r="C42" s="70"/>
      <c r="D42" s="70"/>
      <c r="E42" s="70"/>
      <c r="F42" s="70"/>
      <c r="G42" s="70"/>
      <c r="H42" s="71"/>
      <c r="I42" s="70"/>
      <c r="J42" s="70"/>
      <c r="K42" s="71"/>
      <c r="L42" s="70"/>
      <c r="M42" s="70"/>
      <c r="N42" s="70"/>
      <c r="O42" s="70"/>
      <c r="P42" s="70"/>
      <c r="Q42" s="70"/>
      <c r="R42" s="70"/>
      <c r="S42" s="70"/>
      <c r="T42" s="70"/>
      <c r="U42" s="70"/>
      <c r="V42" s="70"/>
      <c r="W42" s="70"/>
      <c r="X42" s="70"/>
      <c r="Y42" s="70"/>
      <c r="Z42" s="70"/>
      <c r="AA42" s="70"/>
      <c r="AB42" s="70"/>
      <c r="AC42" s="70"/>
      <c r="AD42" s="70"/>
      <c r="AE42" s="70"/>
      <c r="AF42" s="70"/>
    </row>
    <row r="43" spans="1:32" hidden="1" x14ac:dyDescent="0.25">
      <c r="A43" s="70"/>
      <c r="B43" s="70"/>
      <c r="C43" s="70"/>
      <c r="D43" s="70"/>
      <c r="E43" s="70"/>
      <c r="F43" s="70"/>
      <c r="G43" s="70"/>
      <c r="H43" s="71"/>
      <c r="I43" s="70"/>
      <c r="J43" s="70"/>
      <c r="K43" s="71"/>
      <c r="L43" s="70"/>
      <c r="M43" s="70"/>
      <c r="N43" s="70"/>
      <c r="O43" s="70"/>
      <c r="P43" s="70"/>
      <c r="Q43" s="70"/>
      <c r="R43" s="70"/>
      <c r="S43" s="70"/>
      <c r="T43" s="70"/>
      <c r="U43" s="70"/>
      <c r="V43" s="70"/>
      <c r="W43" s="70"/>
      <c r="X43" s="70"/>
      <c r="Y43" s="70"/>
      <c r="Z43" s="70"/>
      <c r="AA43" s="70"/>
      <c r="AB43" s="70"/>
      <c r="AC43" s="70"/>
      <c r="AD43" s="70"/>
      <c r="AE43" s="70"/>
      <c r="AF43" s="70"/>
    </row>
    <row r="44" spans="1:32" hidden="1" x14ac:dyDescent="0.25">
      <c r="A44" s="70"/>
      <c r="B44" s="70"/>
      <c r="C44" s="70"/>
      <c r="D44" s="70"/>
      <c r="E44" s="70"/>
      <c r="F44" s="70"/>
      <c r="G44" s="70"/>
      <c r="H44" s="71"/>
      <c r="I44" s="70"/>
      <c r="J44" s="70"/>
      <c r="K44" s="71"/>
      <c r="L44" s="70"/>
      <c r="M44" s="70"/>
      <c r="N44" s="70"/>
      <c r="O44" s="70"/>
      <c r="P44" s="70"/>
      <c r="Q44" s="70"/>
      <c r="R44" s="70"/>
      <c r="S44" s="70"/>
      <c r="T44" s="70"/>
      <c r="U44" s="70"/>
      <c r="V44" s="70"/>
      <c r="W44" s="70"/>
      <c r="X44" s="70"/>
      <c r="Y44" s="70"/>
      <c r="Z44" s="70"/>
      <c r="AA44" s="70"/>
      <c r="AB44" s="70"/>
      <c r="AC44" s="70"/>
      <c r="AD44" s="70"/>
      <c r="AE44" s="70"/>
      <c r="AF44" s="70"/>
    </row>
    <row r="45" spans="1:32" hidden="1" x14ac:dyDescent="0.25">
      <c r="A45" s="70"/>
      <c r="B45" s="70"/>
      <c r="C45" s="70"/>
      <c r="D45" s="70"/>
      <c r="E45" s="70"/>
      <c r="F45" s="70"/>
      <c r="G45" s="70"/>
      <c r="H45" s="71"/>
      <c r="I45" s="70"/>
      <c r="J45" s="70"/>
      <c r="K45" s="71"/>
      <c r="L45" s="70"/>
      <c r="M45" s="70"/>
      <c r="N45" s="70"/>
      <c r="O45" s="70"/>
      <c r="P45" s="70"/>
      <c r="Q45" s="70"/>
      <c r="R45" s="70"/>
      <c r="S45" s="70"/>
      <c r="T45" s="70"/>
      <c r="U45" s="70"/>
      <c r="V45" s="70"/>
      <c r="W45" s="70"/>
      <c r="X45" s="70"/>
      <c r="Y45" s="70"/>
      <c r="Z45" s="70"/>
      <c r="AA45" s="70"/>
      <c r="AB45" s="70"/>
      <c r="AC45" s="70"/>
      <c r="AD45" s="70"/>
      <c r="AE45" s="70"/>
      <c r="AF45" s="70"/>
    </row>
    <row r="46" spans="1:32" hidden="1" x14ac:dyDescent="0.25">
      <c r="A46" s="70"/>
      <c r="B46" s="70"/>
      <c r="C46" s="70"/>
      <c r="D46" s="70"/>
      <c r="E46" s="70"/>
      <c r="F46" s="70"/>
      <c r="G46" s="70"/>
      <c r="H46" s="71"/>
      <c r="I46" s="70"/>
      <c r="J46" s="70"/>
      <c r="K46" s="71"/>
      <c r="L46" s="70"/>
      <c r="M46" s="70"/>
      <c r="N46" s="70"/>
      <c r="O46" s="70"/>
      <c r="P46" s="70"/>
      <c r="Q46" s="70"/>
      <c r="R46" s="70"/>
      <c r="S46" s="70"/>
      <c r="T46" s="70"/>
      <c r="U46" s="70"/>
      <c r="V46" s="70"/>
      <c r="W46" s="70"/>
      <c r="X46" s="70"/>
      <c r="Y46" s="70"/>
      <c r="Z46" s="70"/>
      <c r="AA46" s="70"/>
      <c r="AB46" s="70"/>
      <c r="AC46" s="70"/>
      <c r="AD46" s="70"/>
      <c r="AE46" s="70"/>
      <c r="AF46" s="70"/>
    </row>
    <row r="47" spans="1:32" hidden="1" x14ac:dyDescent="0.25">
      <c r="A47" s="70"/>
      <c r="B47" s="70"/>
      <c r="C47" s="70"/>
      <c r="D47" s="70"/>
      <c r="E47" s="70"/>
      <c r="F47" s="70"/>
      <c r="G47" s="70"/>
      <c r="H47" s="71"/>
      <c r="I47" s="70"/>
      <c r="J47" s="70"/>
      <c r="K47" s="71"/>
      <c r="L47" s="70"/>
      <c r="M47" s="70"/>
      <c r="N47" s="70"/>
      <c r="O47" s="70"/>
      <c r="P47" s="70"/>
      <c r="Q47" s="70"/>
      <c r="R47" s="70"/>
      <c r="S47" s="70"/>
      <c r="T47" s="70"/>
      <c r="U47" s="70"/>
      <c r="V47" s="70"/>
      <c r="W47" s="70"/>
      <c r="X47" s="70"/>
      <c r="Y47" s="70"/>
      <c r="Z47" s="70"/>
      <c r="AA47" s="70"/>
      <c r="AB47" s="70"/>
      <c r="AC47" s="70"/>
      <c r="AD47" s="70"/>
      <c r="AE47" s="70"/>
      <c r="AF47" s="70"/>
    </row>
    <row r="48" spans="1:32" hidden="1" x14ac:dyDescent="0.25">
      <c r="A48" s="70"/>
      <c r="B48" s="70"/>
      <c r="C48" s="70"/>
      <c r="D48" s="70"/>
      <c r="E48" s="70"/>
      <c r="F48" s="70"/>
      <c r="G48" s="70"/>
      <c r="H48" s="71"/>
      <c r="I48" s="70"/>
      <c r="J48" s="70"/>
      <c r="K48" s="71"/>
      <c r="L48" s="70"/>
      <c r="M48" s="70"/>
      <c r="N48" s="70"/>
      <c r="O48" s="70"/>
      <c r="P48" s="70"/>
      <c r="Q48" s="70"/>
      <c r="R48" s="70"/>
      <c r="S48" s="70"/>
      <c r="T48" s="70"/>
      <c r="U48" s="70"/>
      <c r="V48" s="70"/>
      <c r="W48" s="70"/>
      <c r="X48" s="70"/>
      <c r="Y48" s="70"/>
      <c r="Z48" s="70"/>
      <c r="AA48" s="70"/>
      <c r="AB48" s="70"/>
      <c r="AC48" s="70"/>
      <c r="AD48" s="70"/>
      <c r="AE48" s="70"/>
      <c r="AF48" s="70"/>
    </row>
    <row r="49" spans="1:32" hidden="1" x14ac:dyDescent="0.25">
      <c r="A49" s="70"/>
      <c r="B49" s="70"/>
      <c r="C49" s="70"/>
      <c r="D49" s="70"/>
      <c r="E49" s="70"/>
      <c r="F49" s="70"/>
      <c r="G49" s="70"/>
      <c r="H49" s="71"/>
      <c r="I49" s="70"/>
      <c r="J49" s="70"/>
      <c r="K49" s="71"/>
      <c r="L49" s="70"/>
      <c r="M49" s="70"/>
      <c r="N49" s="70"/>
      <c r="O49" s="70"/>
      <c r="P49" s="70"/>
      <c r="Q49" s="70"/>
      <c r="R49" s="70"/>
      <c r="S49" s="70"/>
      <c r="T49" s="70"/>
      <c r="U49" s="70"/>
      <c r="V49" s="70"/>
      <c r="W49" s="70"/>
      <c r="X49" s="70"/>
      <c r="Y49" s="70"/>
      <c r="Z49" s="70"/>
      <c r="AA49" s="70"/>
      <c r="AB49" s="70"/>
      <c r="AC49" s="70"/>
      <c r="AD49" s="70"/>
      <c r="AE49" s="70"/>
      <c r="AF49" s="70"/>
    </row>
    <row r="50" spans="1:32" hidden="1" x14ac:dyDescent="0.25">
      <c r="A50" s="70"/>
      <c r="B50" s="70"/>
      <c r="C50" s="70"/>
      <c r="D50" s="70"/>
      <c r="E50" s="70"/>
      <c r="F50" s="70"/>
      <c r="G50" s="70"/>
      <c r="H50" s="71"/>
      <c r="I50" s="70"/>
      <c r="J50" s="70"/>
      <c r="K50" s="71"/>
      <c r="L50" s="70"/>
      <c r="M50" s="70"/>
      <c r="N50" s="70"/>
      <c r="O50" s="70"/>
      <c r="P50" s="70"/>
      <c r="Q50" s="70"/>
      <c r="R50" s="70"/>
      <c r="S50" s="70"/>
      <c r="T50" s="70"/>
      <c r="U50" s="70"/>
      <c r="V50" s="70"/>
      <c r="W50" s="70"/>
      <c r="X50" s="70"/>
      <c r="Y50" s="70"/>
      <c r="Z50" s="70"/>
      <c r="AA50" s="70"/>
      <c r="AB50" s="70"/>
      <c r="AC50" s="70"/>
      <c r="AD50" s="70"/>
      <c r="AE50" s="70"/>
      <c r="AF50" s="70"/>
    </row>
    <row r="51" spans="1:32" hidden="1" x14ac:dyDescent="0.25">
      <c r="A51" s="70"/>
      <c r="B51" s="70"/>
      <c r="C51" s="70"/>
      <c r="D51" s="70"/>
      <c r="E51" s="70"/>
      <c r="F51" s="70"/>
      <c r="G51" s="70"/>
      <c r="H51" s="71"/>
      <c r="I51" s="70"/>
      <c r="J51" s="70"/>
      <c r="K51" s="71"/>
      <c r="L51" s="70"/>
      <c r="M51" s="70"/>
      <c r="N51" s="70"/>
      <c r="O51" s="70"/>
      <c r="P51" s="70"/>
      <c r="Q51" s="70"/>
      <c r="R51" s="70"/>
      <c r="S51" s="70"/>
      <c r="T51" s="70"/>
      <c r="U51" s="70"/>
      <c r="V51" s="70"/>
      <c r="W51" s="70"/>
      <c r="X51" s="70"/>
      <c r="Y51" s="70"/>
      <c r="Z51" s="70"/>
      <c r="AA51" s="70"/>
      <c r="AB51" s="70"/>
      <c r="AC51" s="70"/>
      <c r="AD51" s="70"/>
      <c r="AE51" s="70"/>
      <c r="AF51" s="70"/>
    </row>
    <row r="52" spans="1:32" hidden="1" x14ac:dyDescent="0.25">
      <c r="A52" s="70"/>
      <c r="B52" s="70"/>
      <c r="C52" s="70"/>
      <c r="D52" s="70"/>
      <c r="E52" s="70"/>
      <c r="F52" s="70"/>
      <c r="G52" s="70"/>
      <c r="H52" s="71"/>
      <c r="I52" s="70"/>
      <c r="J52" s="70"/>
      <c r="K52" s="71"/>
      <c r="L52" s="70"/>
      <c r="M52" s="70"/>
      <c r="N52" s="70"/>
      <c r="O52" s="70"/>
      <c r="P52" s="70"/>
      <c r="Q52" s="70"/>
      <c r="R52" s="70"/>
      <c r="S52" s="70"/>
      <c r="T52" s="70"/>
      <c r="U52" s="70"/>
      <c r="V52" s="70"/>
      <c r="W52" s="70"/>
      <c r="X52" s="70"/>
      <c r="Y52" s="70"/>
      <c r="Z52" s="70"/>
      <c r="AA52" s="70"/>
      <c r="AB52" s="70"/>
      <c r="AC52" s="70"/>
      <c r="AD52" s="70"/>
      <c r="AE52" s="70"/>
      <c r="AF52" s="70"/>
    </row>
    <row r="53" spans="1:32" hidden="1" x14ac:dyDescent="0.25">
      <c r="A53" s="70"/>
      <c r="B53" s="70"/>
      <c r="C53" s="70"/>
      <c r="D53" s="70"/>
      <c r="E53" s="70"/>
      <c r="F53" s="70"/>
      <c r="G53" s="70"/>
      <c r="H53" s="71"/>
      <c r="I53" s="70"/>
      <c r="J53" s="70"/>
      <c r="K53" s="71"/>
      <c r="L53" s="70"/>
      <c r="M53" s="70"/>
      <c r="N53" s="70"/>
      <c r="O53" s="70"/>
      <c r="P53" s="70"/>
      <c r="Q53" s="70"/>
      <c r="R53" s="70"/>
      <c r="S53" s="70"/>
      <c r="T53" s="70"/>
      <c r="U53" s="70"/>
      <c r="V53" s="70"/>
      <c r="W53" s="70"/>
      <c r="X53" s="70"/>
      <c r="Y53" s="70"/>
      <c r="Z53" s="70"/>
      <c r="AA53" s="70"/>
      <c r="AB53" s="70"/>
      <c r="AC53" s="70"/>
      <c r="AD53" s="70"/>
      <c r="AE53" s="70"/>
      <c r="AF53" s="70"/>
    </row>
    <row r="54" spans="1:32" hidden="1" x14ac:dyDescent="0.25">
      <c r="A54" s="70"/>
      <c r="B54" s="70"/>
      <c r="C54" s="70"/>
      <c r="D54" s="70"/>
      <c r="E54" s="70"/>
      <c r="F54" s="70"/>
      <c r="G54" s="70"/>
      <c r="H54" s="71"/>
      <c r="I54" s="70"/>
      <c r="J54" s="70"/>
      <c r="K54" s="71"/>
      <c r="L54" s="70"/>
      <c r="M54" s="70"/>
      <c r="N54" s="70"/>
      <c r="O54" s="70"/>
      <c r="P54" s="70"/>
      <c r="Q54" s="70"/>
      <c r="R54" s="70"/>
      <c r="S54" s="70"/>
      <c r="T54" s="70"/>
      <c r="U54" s="70"/>
      <c r="V54" s="70"/>
      <c r="W54" s="70"/>
      <c r="X54" s="70"/>
      <c r="Y54" s="70"/>
      <c r="Z54" s="70"/>
      <c r="AA54" s="70"/>
      <c r="AB54" s="70"/>
      <c r="AC54" s="70"/>
      <c r="AD54" s="70"/>
      <c r="AE54" s="70"/>
      <c r="AF54" s="70"/>
    </row>
    <row r="55" spans="1:32" hidden="1" x14ac:dyDescent="0.25">
      <c r="A55" s="70"/>
      <c r="B55" s="70"/>
      <c r="C55" s="70"/>
      <c r="D55" s="70"/>
      <c r="E55" s="70"/>
      <c r="F55" s="70"/>
      <c r="G55" s="70"/>
      <c r="H55" s="71"/>
      <c r="I55" s="70"/>
      <c r="J55" s="70"/>
      <c r="K55" s="71"/>
      <c r="L55" s="70"/>
      <c r="M55" s="70"/>
      <c r="N55" s="70"/>
      <c r="O55" s="70"/>
      <c r="P55" s="70"/>
      <c r="Q55" s="70"/>
      <c r="R55" s="70"/>
      <c r="S55" s="70"/>
      <c r="T55" s="70"/>
      <c r="U55" s="70"/>
      <c r="V55" s="70"/>
      <c r="W55" s="70"/>
      <c r="X55" s="70"/>
      <c r="Y55" s="70"/>
      <c r="Z55" s="70"/>
      <c r="AA55" s="70"/>
      <c r="AB55" s="70"/>
      <c r="AC55" s="70"/>
      <c r="AD55" s="70"/>
      <c r="AE55" s="70"/>
      <c r="AF55" s="70"/>
    </row>
    <row r="56" spans="1:32" hidden="1" x14ac:dyDescent="0.25">
      <c r="A56" s="70"/>
      <c r="B56" s="70"/>
      <c r="C56" s="70"/>
      <c r="D56" s="70"/>
      <c r="E56" s="70"/>
      <c r="F56" s="70"/>
      <c r="G56" s="70"/>
      <c r="H56" s="71"/>
      <c r="I56" s="70"/>
      <c r="J56" s="70"/>
      <c r="K56" s="71"/>
      <c r="L56" s="70"/>
      <c r="M56" s="70"/>
      <c r="N56" s="70"/>
      <c r="O56" s="70"/>
      <c r="P56" s="70"/>
      <c r="Q56" s="70"/>
      <c r="R56" s="70"/>
      <c r="S56" s="70"/>
      <c r="T56" s="70"/>
      <c r="U56" s="70"/>
      <c r="V56" s="70"/>
      <c r="W56" s="70"/>
      <c r="X56" s="70"/>
      <c r="Y56" s="70"/>
      <c r="Z56" s="70"/>
      <c r="AA56" s="70"/>
      <c r="AB56" s="70"/>
      <c r="AC56" s="70"/>
      <c r="AD56" s="70"/>
      <c r="AE56" s="70"/>
      <c r="AF56" s="70"/>
    </row>
    <row r="57" spans="1:32" hidden="1" x14ac:dyDescent="0.25">
      <c r="A57" s="70"/>
      <c r="B57" s="70"/>
      <c r="C57" s="70"/>
      <c r="D57" s="70"/>
      <c r="E57" s="70"/>
      <c r="F57" s="70"/>
      <c r="G57" s="70"/>
      <c r="H57" s="71"/>
      <c r="I57" s="70"/>
      <c r="J57" s="70"/>
      <c r="K57" s="71"/>
      <c r="L57" s="70"/>
      <c r="M57" s="70"/>
      <c r="N57" s="70"/>
      <c r="O57" s="70"/>
      <c r="P57" s="70"/>
      <c r="Q57" s="70"/>
      <c r="R57" s="70"/>
      <c r="S57" s="70"/>
      <c r="T57" s="70"/>
      <c r="U57" s="70"/>
      <c r="V57" s="70"/>
      <c r="W57" s="70"/>
      <c r="X57" s="70"/>
      <c r="Y57" s="70"/>
      <c r="Z57" s="70"/>
      <c r="AA57" s="70"/>
      <c r="AB57" s="70"/>
      <c r="AC57" s="70"/>
      <c r="AD57" s="70"/>
      <c r="AE57" s="70"/>
      <c r="AF57" s="70"/>
    </row>
    <row r="58" spans="1:32" hidden="1" x14ac:dyDescent="0.25">
      <c r="A58" s="70"/>
      <c r="B58" s="70"/>
      <c r="C58" s="70"/>
      <c r="D58" s="70"/>
      <c r="E58" s="70"/>
      <c r="F58" s="70"/>
      <c r="G58" s="70"/>
      <c r="H58" s="71"/>
      <c r="I58" s="70"/>
      <c r="J58" s="70"/>
      <c r="K58" s="71"/>
      <c r="L58" s="70"/>
      <c r="M58" s="70"/>
      <c r="N58" s="70"/>
      <c r="O58" s="70"/>
      <c r="P58" s="70"/>
      <c r="Q58" s="70"/>
      <c r="R58" s="70"/>
      <c r="S58" s="70"/>
      <c r="T58" s="70"/>
      <c r="U58" s="70"/>
      <c r="V58" s="70"/>
      <c r="W58" s="70"/>
      <c r="X58" s="70"/>
      <c r="Y58" s="70"/>
      <c r="Z58" s="70"/>
      <c r="AA58" s="70"/>
      <c r="AB58" s="70"/>
      <c r="AC58" s="70"/>
      <c r="AD58" s="70"/>
      <c r="AE58" s="70"/>
      <c r="AF58" s="70"/>
    </row>
    <row r="59" spans="1:32" hidden="1" x14ac:dyDescent="0.25">
      <c r="A59" s="70"/>
      <c r="B59" s="70"/>
      <c r="C59" s="70"/>
      <c r="D59" s="70"/>
      <c r="E59" s="70"/>
      <c r="F59" s="70"/>
      <c r="G59" s="70"/>
      <c r="H59" s="71"/>
      <c r="I59" s="70"/>
      <c r="J59" s="70"/>
      <c r="K59" s="71"/>
      <c r="L59" s="70"/>
      <c r="M59" s="70"/>
      <c r="N59" s="70"/>
      <c r="O59" s="70"/>
      <c r="P59" s="70"/>
      <c r="Q59" s="70"/>
      <c r="R59" s="70"/>
      <c r="S59" s="70"/>
      <c r="T59" s="70"/>
      <c r="U59" s="70"/>
      <c r="V59" s="70"/>
      <c r="W59" s="70"/>
      <c r="X59" s="70"/>
      <c r="Y59" s="70"/>
      <c r="Z59" s="70"/>
      <c r="AA59" s="70"/>
      <c r="AB59" s="70"/>
      <c r="AC59" s="70"/>
      <c r="AD59" s="70"/>
      <c r="AE59" s="70"/>
      <c r="AF59" s="70"/>
    </row>
    <row r="60" spans="1:32" hidden="1" x14ac:dyDescent="0.25">
      <c r="A60" s="70"/>
      <c r="B60" s="70"/>
      <c r="C60" s="70"/>
      <c r="D60" s="70"/>
      <c r="E60" s="70"/>
      <c r="F60" s="70"/>
      <c r="G60" s="70"/>
      <c r="H60" s="71"/>
      <c r="I60" s="70"/>
      <c r="J60" s="70"/>
      <c r="K60" s="71"/>
      <c r="L60" s="70"/>
      <c r="M60" s="70"/>
      <c r="N60" s="70"/>
      <c r="O60" s="70"/>
      <c r="P60" s="70"/>
      <c r="Q60" s="70"/>
      <c r="R60" s="70"/>
      <c r="S60" s="70"/>
      <c r="T60" s="70"/>
      <c r="U60" s="70"/>
      <c r="V60" s="70"/>
      <c r="W60" s="70"/>
      <c r="X60" s="70"/>
      <c r="Y60" s="70"/>
      <c r="Z60" s="70"/>
      <c r="AA60" s="70"/>
      <c r="AB60" s="70"/>
      <c r="AC60" s="70"/>
      <c r="AD60" s="70"/>
      <c r="AE60" s="70"/>
      <c r="AF60" s="70"/>
    </row>
    <row r="61" spans="1:32" hidden="1" x14ac:dyDescent="0.25">
      <c r="A61" s="68"/>
      <c r="B61" s="68"/>
      <c r="C61" s="68"/>
      <c r="D61" s="68"/>
      <c r="E61" s="68"/>
      <c r="F61" s="68"/>
      <c r="G61" s="68"/>
      <c r="H61" s="69"/>
      <c r="I61" s="68"/>
      <c r="J61" s="68"/>
      <c r="K61" s="69"/>
      <c r="L61" s="68"/>
      <c r="M61" s="68"/>
      <c r="N61" s="68"/>
      <c r="O61" s="68"/>
      <c r="P61" s="68"/>
      <c r="Q61" s="68"/>
      <c r="R61" s="68"/>
      <c r="S61" s="68"/>
      <c r="T61" s="68"/>
      <c r="U61" s="68"/>
      <c r="V61" s="68"/>
      <c r="W61" s="68"/>
      <c r="X61" s="68"/>
      <c r="Y61" s="68"/>
      <c r="Z61" s="68"/>
      <c r="AA61" s="68"/>
      <c r="AB61" s="68"/>
      <c r="AC61" s="68"/>
      <c r="AD61" s="68"/>
      <c r="AE61" s="68"/>
      <c r="AF61" s="68"/>
    </row>
    <row r="62" spans="1:32" hidden="1" x14ac:dyDescent="0.25">
      <c r="A62" s="68"/>
      <c r="B62" s="68"/>
      <c r="C62" s="68"/>
      <c r="D62" s="68"/>
      <c r="E62" s="68"/>
      <c r="F62" s="68"/>
      <c r="G62" s="68"/>
      <c r="H62" s="69"/>
      <c r="I62" s="68"/>
      <c r="J62" s="68"/>
      <c r="K62" s="69"/>
      <c r="L62" s="68"/>
      <c r="M62" s="68"/>
      <c r="N62" s="68"/>
      <c r="O62" s="68"/>
      <c r="P62" s="68"/>
      <c r="Q62" s="68"/>
      <c r="R62" s="68"/>
      <c r="S62" s="68"/>
      <c r="T62" s="68"/>
      <c r="U62" s="68"/>
      <c r="V62" s="68"/>
      <c r="W62" s="68"/>
      <c r="X62" s="68"/>
      <c r="Y62" s="68"/>
      <c r="Z62" s="68"/>
      <c r="AA62" s="68"/>
      <c r="AB62" s="68"/>
      <c r="AC62" s="68"/>
      <c r="AD62" s="68"/>
      <c r="AE62" s="68"/>
      <c r="AF62" s="68"/>
    </row>
    <row r="63" spans="1:32" hidden="1" x14ac:dyDescent="0.25">
      <c r="A63" s="68"/>
      <c r="B63" s="68"/>
      <c r="C63" s="68"/>
      <c r="D63" s="68"/>
      <c r="E63" s="68"/>
      <c r="F63" s="68"/>
      <c r="G63" s="68"/>
      <c r="H63" s="69"/>
      <c r="I63" s="68"/>
      <c r="J63" s="68"/>
      <c r="K63" s="69"/>
      <c r="L63" s="68"/>
      <c r="M63" s="68"/>
      <c r="N63" s="68"/>
      <c r="O63" s="68"/>
      <c r="P63" s="68"/>
      <c r="Q63" s="68"/>
      <c r="R63" s="68"/>
      <c r="S63" s="68"/>
      <c r="T63" s="68"/>
      <c r="U63" s="68"/>
      <c r="V63" s="68"/>
      <c r="W63" s="68"/>
      <c r="X63" s="68"/>
      <c r="Y63" s="68"/>
      <c r="Z63" s="68"/>
      <c r="AA63" s="68"/>
      <c r="AB63" s="68"/>
      <c r="AC63" s="68"/>
      <c r="AD63" s="68"/>
      <c r="AE63" s="68"/>
      <c r="AF63" s="68"/>
    </row>
    <row r="64" spans="1:32" hidden="1" x14ac:dyDescent="0.25">
      <c r="A64" s="68"/>
      <c r="B64" s="68"/>
      <c r="C64" s="68"/>
      <c r="D64" s="68"/>
      <c r="E64" s="68"/>
      <c r="F64" s="68"/>
      <c r="G64" s="68"/>
      <c r="H64" s="69"/>
      <c r="I64" s="68"/>
      <c r="J64" s="68"/>
      <c r="K64" s="69"/>
      <c r="L64" s="68"/>
      <c r="M64" s="68"/>
      <c r="N64" s="68"/>
      <c r="O64" s="68"/>
      <c r="P64" s="68"/>
      <c r="Q64" s="68"/>
      <c r="R64" s="68"/>
      <c r="S64" s="68"/>
      <c r="T64" s="68"/>
      <c r="U64" s="68"/>
      <c r="V64" s="68"/>
      <c r="W64" s="68"/>
      <c r="X64" s="68"/>
      <c r="Y64" s="68"/>
      <c r="Z64" s="68"/>
      <c r="AA64" s="68"/>
      <c r="AB64" s="68"/>
      <c r="AC64" s="68"/>
      <c r="AD64" s="68"/>
      <c r="AE64" s="68"/>
      <c r="AF64" s="68"/>
    </row>
    <row r="65" spans="1:32" hidden="1" x14ac:dyDescent="0.25">
      <c r="A65" s="68"/>
      <c r="B65" s="68"/>
      <c r="C65" s="68"/>
      <c r="D65" s="68"/>
      <c r="E65" s="68"/>
      <c r="F65" s="68"/>
      <c r="G65" s="68"/>
      <c r="H65" s="69"/>
      <c r="I65" s="68"/>
      <c r="J65" s="68"/>
      <c r="K65" s="69"/>
      <c r="L65" s="68"/>
      <c r="M65" s="68"/>
      <c r="N65" s="68"/>
      <c r="O65" s="68"/>
      <c r="P65" s="68"/>
      <c r="Q65" s="68"/>
      <c r="R65" s="68"/>
      <c r="S65" s="68"/>
      <c r="T65" s="68"/>
      <c r="U65" s="68"/>
      <c r="V65" s="68"/>
      <c r="W65" s="68"/>
      <c r="X65" s="68"/>
      <c r="Y65" s="68"/>
      <c r="Z65" s="68"/>
      <c r="AA65" s="68"/>
      <c r="AB65" s="68"/>
      <c r="AC65" s="68"/>
      <c r="AD65" s="68"/>
      <c r="AE65" s="68"/>
      <c r="AF65" s="68"/>
    </row>
    <row r="66" spans="1:32" hidden="1" x14ac:dyDescent="0.25">
      <c r="A66" s="68"/>
      <c r="B66" s="68"/>
      <c r="C66" s="68"/>
      <c r="D66" s="68"/>
      <c r="E66" s="68"/>
      <c r="F66" s="68"/>
      <c r="G66" s="68"/>
      <c r="H66" s="69"/>
      <c r="I66" s="68"/>
      <c r="J66" s="68"/>
      <c r="K66" s="69"/>
      <c r="L66" s="68"/>
      <c r="M66" s="68"/>
      <c r="N66" s="68"/>
      <c r="O66" s="68"/>
      <c r="P66" s="68"/>
      <c r="Q66" s="68"/>
      <c r="R66" s="68"/>
      <c r="S66" s="68"/>
      <c r="T66" s="68"/>
      <c r="U66" s="68"/>
      <c r="V66" s="68"/>
      <c r="W66" s="68"/>
      <c r="X66" s="68"/>
      <c r="Y66" s="68"/>
      <c r="Z66" s="68"/>
      <c r="AA66" s="68"/>
      <c r="AB66" s="68"/>
      <c r="AC66" s="68"/>
      <c r="AD66" s="68"/>
      <c r="AE66" s="68"/>
      <c r="AF66" s="68"/>
    </row>
    <row r="67" spans="1:32" hidden="1" x14ac:dyDescent="0.25">
      <c r="A67" s="68"/>
      <c r="B67" s="68"/>
      <c r="C67" s="68"/>
      <c r="D67" s="68"/>
      <c r="E67" s="68"/>
      <c r="F67" s="68"/>
      <c r="G67" s="68"/>
      <c r="H67" s="69"/>
      <c r="I67" s="68"/>
      <c r="J67" s="68"/>
      <c r="K67" s="69"/>
      <c r="L67" s="68"/>
      <c r="M67" s="68"/>
      <c r="N67" s="68"/>
      <c r="O67" s="68"/>
      <c r="P67" s="68"/>
      <c r="Q67" s="68"/>
      <c r="R67" s="68"/>
      <c r="S67" s="68"/>
      <c r="T67" s="68"/>
      <c r="U67" s="68"/>
      <c r="V67" s="68"/>
      <c r="W67" s="68"/>
      <c r="X67" s="68"/>
      <c r="Y67" s="68"/>
      <c r="Z67" s="68"/>
      <c r="AA67" s="68"/>
      <c r="AB67" s="68"/>
      <c r="AC67" s="68"/>
      <c r="AD67" s="68"/>
      <c r="AE67" s="68"/>
      <c r="AF67" s="68"/>
    </row>
    <row r="68" spans="1:32" hidden="1" x14ac:dyDescent="0.25">
      <c r="A68" s="68"/>
      <c r="B68" s="68"/>
      <c r="C68" s="68"/>
      <c r="D68" s="68"/>
      <c r="E68" s="68"/>
      <c r="F68" s="68"/>
      <c r="G68" s="68"/>
      <c r="H68" s="69"/>
      <c r="I68" s="68"/>
      <c r="J68" s="68"/>
      <c r="K68" s="69"/>
      <c r="L68" s="68"/>
      <c r="M68" s="68"/>
      <c r="N68" s="68"/>
      <c r="O68" s="68"/>
      <c r="P68" s="68"/>
      <c r="Q68" s="68"/>
      <c r="R68" s="68"/>
      <c r="S68" s="68"/>
      <c r="T68" s="68"/>
      <c r="U68" s="68"/>
      <c r="V68" s="68"/>
      <c r="W68" s="68"/>
      <c r="X68" s="68"/>
      <c r="Y68" s="68"/>
      <c r="Z68" s="68"/>
      <c r="AA68" s="68"/>
      <c r="AB68" s="68"/>
      <c r="AC68" s="68"/>
      <c r="AD68" s="68"/>
      <c r="AE68" s="68"/>
      <c r="AF68" s="68"/>
    </row>
    <row r="69" spans="1:32" hidden="1" x14ac:dyDescent="0.25">
      <c r="A69" s="68"/>
      <c r="B69" s="68"/>
      <c r="C69" s="68"/>
      <c r="D69" s="68"/>
      <c r="E69" s="68"/>
      <c r="F69" s="68"/>
      <c r="G69" s="68"/>
      <c r="H69" s="69"/>
      <c r="I69" s="68"/>
      <c r="J69" s="68"/>
      <c r="K69" s="69"/>
      <c r="L69" s="68"/>
      <c r="M69" s="68"/>
      <c r="N69" s="68"/>
      <c r="O69" s="68"/>
      <c r="P69" s="68"/>
      <c r="Q69" s="68"/>
      <c r="R69" s="68"/>
      <c r="S69" s="68"/>
      <c r="T69" s="68"/>
      <c r="U69" s="68"/>
      <c r="V69" s="68"/>
      <c r="W69" s="68"/>
      <c r="X69" s="68"/>
      <c r="Y69" s="68"/>
      <c r="Z69" s="68"/>
      <c r="AA69" s="68"/>
      <c r="AB69" s="68"/>
      <c r="AC69" s="68"/>
      <c r="AD69" s="68"/>
      <c r="AE69" s="68"/>
      <c r="AF69" s="68"/>
    </row>
    <row r="70" spans="1:32" hidden="1" x14ac:dyDescent="0.25">
      <c r="A70" s="68"/>
      <c r="B70" s="68"/>
      <c r="C70" s="68"/>
      <c r="D70" s="68"/>
      <c r="E70" s="68"/>
      <c r="F70" s="68"/>
      <c r="G70" s="68"/>
      <c r="H70" s="69"/>
      <c r="I70" s="68"/>
      <c r="J70" s="68"/>
      <c r="K70" s="69"/>
      <c r="L70" s="68"/>
      <c r="M70" s="68"/>
      <c r="N70" s="68"/>
      <c r="O70" s="68"/>
      <c r="P70" s="68"/>
      <c r="Q70" s="68"/>
      <c r="R70" s="68"/>
      <c r="S70" s="68"/>
      <c r="T70" s="68"/>
      <c r="U70" s="68"/>
      <c r="V70" s="68"/>
      <c r="W70" s="68"/>
      <c r="X70" s="68"/>
      <c r="Y70" s="68"/>
      <c r="Z70" s="68"/>
      <c r="AA70" s="68"/>
      <c r="AB70" s="68"/>
      <c r="AC70" s="68"/>
      <c r="AD70" s="68"/>
      <c r="AE70" s="68"/>
      <c r="AF70" s="68"/>
    </row>
    <row r="71" spans="1:32" hidden="1" x14ac:dyDescent="0.25">
      <c r="A71" s="68"/>
      <c r="B71" s="68"/>
      <c r="C71" s="68"/>
      <c r="D71" s="68"/>
      <c r="E71" s="68"/>
      <c r="F71" s="68"/>
      <c r="G71" s="68"/>
      <c r="H71" s="69"/>
      <c r="I71" s="68"/>
      <c r="J71" s="68"/>
      <c r="K71" s="69"/>
      <c r="L71" s="68"/>
      <c r="M71" s="68"/>
      <c r="N71" s="68"/>
      <c r="O71" s="68"/>
      <c r="P71" s="68"/>
      <c r="Q71" s="68"/>
      <c r="R71" s="68"/>
      <c r="S71" s="68"/>
      <c r="T71" s="68"/>
      <c r="U71" s="68"/>
      <c r="V71" s="68"/>
      <c r="W71" s="68"/>
      <c r="X71" s="68"/>
      <c r="Y71" s="68"/>
      <c r="Z71" s="68"/>
      <c r="AA71" s="68"/>
      <c r="AB71" s="68"/>
      <c r="AC71" s="68"/>
      <c r="AD71" s="68"/>
      <c r="AE71" s="68"/>
      <c r="AF71" s="68"/>
    </row>
    <row r="72" spans="1:32" hidden="1" x14ac:dyDescent="0.25">
      <c r="A72" s="68"/>
      <c r="B72" s="68"/>
      <c r="C72" s="68"/>
      <c r="D72" s="68"/>
      <c r="E72" s="68"/>
      <c r="F72" s="68"/>
      <c r="G72" s="68"/>
      <c r="H72" s="69"/>
      <c r="I72" s="68"/>
      <c r="J72" s="68"/>
      <c r="K72" s="69"/>
      <c r="L72" s="68"/>
      <c r="M72" s="68"/>
      <c r="N72" s="68"/>
      <c r="O72" s="68"/>
      <c r="P72" s="68"/>
      <c r="Q72" s="68"/>
      <c r="R72" s="68"/>
      <c r="S72" s="68"/>
      <c r="T72" s="68"/>
      <c r="U72" s="68"/>
      <c r="V72" s="68"/>
      <c r="W72" s="68"/>
      <c r="X72" s="68"/>
      <c r="Y72" s="68"/>
      <c r="Z72" s="68"/>
      <c r="AA72" s="68"/>
      <c r="AB72" s="68"/>
      <c r="AC72" s="68"/>
      <c r="AD72" s="68"/>
      <c r="AE72" s="68"/>
      <c r="AF72" s="68"/>
    </row>
    <row r="73" spans="1:32" hidden="1" x14ac:dyDescent="0.25">
      <c r="A73" s="68"/>
      <c r="B73" s="68"/>
      <c r="C73" s="68"/>
      <c r="D73" s="68"/>
      <c r="E73" s="68"/>
      <c r="F73" s="68"/>
      <c r="G73" s="68"/>
      <c r="H73" s="69"/>
      <c r="I73" s="68"/>
      <c r="J73" s="68"/>
      <c r="K73" s="69"/>
      <c r="L73" s="68"/>
      <c r="M73" s="68"/>
      <c r="N73" s="68"/>
      <c r="O73" s="68"/>
      <c r="P73" s="68"/>
      <c r="Q73" s="68"/>
      <c r="R73" s="68"/>
      <c r="S73" s="68"/>
      <c r="T73" s="68"/>
      <c r="U73" s="68"/>
      <c r="V73" s="68"/>
      <c r="W73" s="68"/>
      <c r="X73" s="68"/>
      <c r="Y73" s="68"/>
      <c r="Z73" s="68"/>
      <c r="AA73" s="68"/>
      <c r="AB73" s="68"/>
      <c r="AC73" s="68"/>
      <c r="AD73" s="68"/>
      <c r="AE73" s="68"/>
      <c r="AF73" s="68"/>
    </row>
    <row r="74" spans="1:32" hidden="1" x14ac:dyDescent="0.25">
      <c r="A74" s="68"/>
      <c r="B74" s="68"/>
      <c r="C74" s="68"/>
      <c r="D74" s="68"/>
      <c r="E74" s="68"/>
      <c r="F74" s="68"/>
      <c r="G74" s="68"/>
      <c r="H74" s="69"/>
      <c r="I74" s="68"/>
      <c r="J74" s="68"/>
      <c r="K74" s="69"/>
      <c r="L74" s="68"/>
      <c r="M74" s="68"/>
      <c r="N74" s="68"/>
      <c r="O74" s="68"/>
      <c r="P74" s="68"/>
      <c r="Q74" s="68"/>
      <c r="R74" s="68"/>
      <c r="S74" s="68"/>
      <c r="T74" s="68"/>
      <c r="U74" s="68"/>
      <c r="V74" s="68"/>
      <c r="W74" s="68"/>
      <c r="X74" s="68"/>
      <c r="Y74" s="68"/>
      <c r="Z74" s="68"/>
      <c r="AA74" s="68"/>
      <c r="AB74" s="68"/>
      <c r="AC74" s="68"/>
      <c r="AD74" s="68"/>
      <c r="AE74" s="68"/>
      <c r="AF74" s="68"/>
    </row>
    <row r="75" spans="1:32" hidden="1" x14ac:dyDescent="0.25">
      <c r="A75" s="68"/>
      <c r="B75" s="68"/>
      <c r="C75" s="68"/>
      <c r="D75" s="68"/>
      <c r="E75" s="68"/>
      <c r="F75" s="68"/>
      <c r="G75" s="68"/>
      <c r="H75" s="69"/>
      <c r="I75" s="68"/>
      <c r="J75" s="68"/>
      <c r="K75" s="69"/>
      <c r="L75" s="68"/>
      <c r="M75" s="68"/>
      <c r="N75" s="68"/>
      <c r="O75" s="68"/>
      <c r="P75" s="68"/>
      <c r="Q75" s="68"/>
      <c r="R75" s="68"/>
      <c r="S75" s="68"/>
      <c r="T75" s="68"/>
      <c r="U75" s="68"/>
      <c r="V75" s="68"/>
      <c r="W75" s="68"/>
      <c r="X75" s="68"/>
      <c r="Y75" s="68"/>
      <c r="Z75" s="68"/>
      <c r="AA75" s="68"/>
      <c r="AB75" s="68"/>
      <c r="AC75" s="68"/>
      <c r="AD75" s="68"/>
      <c r="AE75" s="68"/>
      <c r="AF75" s="68"/>
    </row>
    <row r="76" spans="1:32" hidden="1" x14ac:dyDescent="0.25">
      <c r="A76" s="68"/>
      <c r="B76" s="68"/>
      <c r="C76" s="68"/>
      <c r="D76" s="68"/>
      <c r="E76" s="68"/>
      <c r="F76" s="68"/>
      <c r="G76" s="68"/>
      <c r="H76" s="69"/>
      <c r="I76" s="68"/>
      <c r="J76" s="68"/>
      <c r="K76" s="69"/>
      <c r="L76" s="68"/>
      <c r="M76" s="68"/>
      <c r="N76" s="68"/>
      <c r="O76" s="68"/>
      <c r="P76" s="68"/>
      <c r="Q76" s="68"/>
      <c r="R76" s="68"/>
      <c r="S76" s="68"/>
      <c r="T76" s="68"/>
      <c r="U76" s="68"/>
      <c r="V76" s="68"/>
      <c r="W76" s="68"/>
      <c r="X76" s="68"/>
      <c r="Y76" s="68"/>
      <c r="Z76" s="68"/>
      <c r="AA76" s="68"/>
      <c r="AB76" s="68"/>
      <c r="AC76" s="68"/>
      <c r="AD76" s="68"/>
      <c r="AE76" s="68"/>
      <c r="AF76" s="68"/>
    </row>
    <row r="77" spans="1:32" hidden="1" x14ac:dyDescent="0.25">
      <c r="A77" s="68"/>
      <c r="B77" s="68"/>
      <c r="C77" s="68"/>
      <c r="D77" s="68"/>
      <c r="E77" s="68"/>
      <c r="F77" s="68"/>
      <c r="G77" s="68"/>
      <c r="H77" s="69"/>
      <c r="I77" s="68"/>
      <c r="J77" s="68"/>
      <c r="K77" s="69"/>
      <c r="L77" s="68"/>
      <c r="M77" s="68"/>
      <c r="N77" s="68"/>
      <c r="O77" s="68"/>
      <c r="P77" s="68"/>
      <c r="Q77" s="68"/>
      <c r="R77" s="68"/>
      <c r="S77" s="68"/>
      <c r="T77" s="68"/>
      <c r="U77" s="68"/>
      <c r="V77" s="68"/>
      <c r="W77" s="68"/>
      <c r="X77" s="68"/>
      <c r="Y77" s="68"/>
      <c r="Z77" s="68"/>
      <c r="AA77" s="68"/>
      <c r="AB77" s="68"/>
      <c r="AC77" s="68"/>
      <c r="AD77" s="68"/>
      <c r="AE77" s="68"/>
      <c r="AF77" s="68"/>
    </row>
    <row r="78" spans="1:32" hidden="1" x14ac:dyDescent="0.25">
      <c r="A78" s="66"/>
      <c r="B78" s="66"/>
      <c r="C78" s="66"/>
      <c r="D78" s="66"/>
      <c r="E78" s="66"/>
      <c r="F78" s="66"/>
      <c r="G78" s="66"/>
      <c r="H78" s="67"/>
      <c r="I78" s="66"/>
      <c r="J78" s="66"/>
      <c r="K78" s="67"/>
      <c r="L78" s="66"/>
      <c r="M78" s="66"/>
      <c r="N78" s="66"/>
      <c r="O78" s="66"/>
      <c r="P78" s="66"/>
      <c r="Q78" s="66"/>
      <c r="R78" s="66"/>
      <c r="S78" s="66"/>
      <c r="T78" s="66"/>
      <c r="U78" s="66"/>
      <c r="V78" s="66"/>
      <c r="W78" s="66"/>
      <c r="X78" s="66"/>
      <c r="Y78" s="66"/>
      <c r="Z78" s="66"/>
      <c r="AA78" s="66"/>
      <c r="AB78" s="66"/>
      <c r="AC78" s="66"/>
      <c r="AD78" s="66"/>
      <c r="AE78" s="66"/>
      <c r="AF78" s="65"/>
    </row>
    <row r="79" spans="1:32" hidden="1" x14ac:dyDescent="0.25">
      <c r="A79" s="66"/>
      <c r="B79" s="66"/>
      <c r="C79" s="66"/>
      <c r="D79" s="66"/>
      <c r="E79" s="66"/>
      <c r="F79" s="66"/>
      <c r="G79" s="66"/>
      <c r="H79" s="67"/>
      <c r="I79" s="66"/>
      <c r="J79" s="66"/>
      <c r="K79" s="67"/>
      <c r="L79" s="66"/>
      <c r="M79" s="66"/>
      <c r="N79" s="66"/>
      <c r="O79" s="66"/>
      <c r="P79" s="66"/>
      <c r="Q79" s="66"/>
      <c r="R79" s="66"/>
      <c r="S79" s="66"/>
      <c r="T79" s="66"/>
      <c r="U79" s="66"/>
      <c r="V79" s="66"/>
      <c r="W79" s="66"/>
      <c r="X79" s="66"/>
      <c r="Y79" s="66"/>
      <c r="Z79" s="66"/>
      <c r="AA79" s="66"/>
      <c r="AB79" s="66"/>
      <c r="AC79" s="66"/>
      <c r="AD79" s="66"/>
      <c r="AE79" s="66"/>
      <c r="AF79" s="65"/>
    </row>
    <row r="80" spans="1:32" hidden="1" x14ac:dyDescent="0.25">
      <c r="A80" s="66"/>
      <c r="B80" s="66"/>
      <c r="C80" s="66"/>
      <c r="D80" s="66"/>
      <c r="E80" s="66"/>
      <c r="F80" s="66"/>
      <c r="G80" s="66"/>
      <c r="H80" s="67"/>
      <c r="I80" s="66"/>
      <c r="J80" s="66"/>
      <c r="K80" s="67"/>
      <c r="L80" s="66"/>
      <c r="M80" s="66"/>
      <c r="N80" s="66"/>
      <c r="O80" s="66"/>
      <c r="P80" s="66"/>
      <c r="Q80" s="66"/>
      <c r="R80" s="66"/>
      <c r="S80" s="66"/>
      <c r="T80" s="66"/>
      <c r="U80" s="66"/>
      <c r="V80" s="66"/>
      <c r="W80" s="66"/>
      <c r="X80" s="66"/>
      <c r="Y80" s="66"/>
      <c r="Z80" s="66"/>
      <c r="AA80" s="66"/>
      <c r="AB80" s="66"/>
      <c r="AC80" s="66"/>
      <c r="AD80" s="66"/>
      <c r="AE80" s="66"/>
      <c r="AF80" s="65"/>
    </row>
    <row r="81" spans="1:32" hidden="1" x14ac:dyDescent="0.25">
      <c r="A81" s="66"/>
      <c r="B81" s="66"/>
      <c r="C81" s="66"/>
      <c r="D81" s="66"/>
      <c r="E81" s="66"/>
      <c r="F81" s="66"/>
      <c r="G81" s="66"/>
      <c r="H81" s="67"/>
      <c r="I81" s="66"/>
      <c r="J81" s="66"/>
      <c r="K81" s="67"/>
      <c r="L81" s="66"/>
      <c r="M81" s="66"/>
      <c r="N81" s="66"/>
      <c r="O81" s="66"/>
      <c r="P81" s="66"/>
      <c r="Q81" s="66"/>
      <c r="R81" s="66"/>
      <c r="S81" s="66"/>
      <c r="T81" s="66"/>
      <c r="U81" s="66"/>
      <c r="V81" s="66"/>
      <c r="W81" s="66"/>
      <c r="X81" s="66"/>
      <c r="Y81" s="66"/>
      <c r="Z81" s="66"/>
      <c r="AA81" s="66"/>
      <c r="AB81" s="66"/>
      <c r="AC81" s="66"/>
      <c r="AD81" s="66"/>
      <c r="AE81" s="66"/>
      <c r="AF81" s="65"/>
    </row>
    <row r="82" spans="1:32" hidden="1" x14ac:dyDescent="0.25">
      <c r="A82" s="66"/>
      <c r="B82" s="66"/>
      <c r="C82" s="66"/>
      <c r="D82" s="66"/>
      <c r="E82" s="66"/>
      <c r="F82" s="66"/>
      <c r="G82" s="66"/>
      <c r="H82" s="67"/>
      <c r="I82" s="66"/>
      <c r="J82" s="66"/>
      <c r="K82" s="67"/>
      <c r="L82" s="66"/>
      <c r="M82" s="66"/>
      <c r="N82" s="66"/>
      <c r="O82" s="66"/>
      <c r="P82" s="66"/>
      <c r="Q82" s="66"/>
      <c r="R82" s="66"/>
      <c r="S82" s="66"/>
      <c r="T82" s="66"/>
      <c r="U82" s="66"/>
      <c r="V82" s="66"/>
      <c r="W82" s="66"/>
      <c r="X82" s="66"/>
      <c r="Y82" s="66"/>
      <c r="Z82" s="66"/>
      <c r="AA82" s="66"/>
      <c r="AB82" s="66"/>
      <c r="AC82" s="66"/>
      <c r="AD82" s="66"/>
      <c r="AE82" s="66"/>
      <c r="AF82" s="65"/>
    </row>
    <row r="83" spans="1:32" hidden="1" x14ac:dyDescent="0.25">
      <c r="A83" s="66"/>
      <c r="B83" s="66"/>
      <c r="C83" s="66"/>
      <c r="D83" s="66"/>
      <c r="E83" s="66"/>
      <c r="F83" s="66"/>
      <c r="G83" s="66"/>
      <c r="H83" s="67"/>
      <c r="I83" s="66"/>
      <c r="J83" s="66"/>
      <c r="K83" s="67"/>
      <c r="L83" s="66"/>
      <c r="M83" s="66"/>
      <c r="N83" s="66"/>
      <c r="O83" s="66"/>
      <c r="P83" s="66"/>
      <c r="Q83" s="66"/>
      <c r="R83" s="66"/>
      <c r="S83" s="66"/>
      <c r="T83" s="66"/>
      <c r="U83" s="66"/>
      <c r="V83" s="66"/>
      <c r="W83" s="66"/>
      <c r="X83" s="66"/>
      <c r="Y83" s="66"/>
      <c r="Z83" s="66"/>
      <c r="AA83" s="66"/>
      <c r="AB83" s="66"/>
      <c r="AC83" s="66"/>
      <c r="AD83" s="66"/>
      <c r="AE83" s="66"/>
      <c r="AF83" s="65"/>
    </row>
    <row r="84" spans="1:32" hidden="1" x14ac:dyDescent="0.25">
      <c r="A84" s="66"/>
      <c r="B84" s="66"/>
      <c r="C84" s="66"/>
      <c r="D84" s="66"/>
      <c r="E84" s="66"/>
      <c r="F84" s="66"/>
      <c r="G84" s="66"/>
      <c r="H84" s="67"/>
      <c r="I84" s="66"/>
      <c r="J84" s="66"/>
      <c r="K84" s="67"/>
      <c r="L84" s="66"/>
      <c r="M84" s="66"/>
      <c r="N84" s="66"/>
      <c r="O84" s="66"/>
      <c r="P84" s="66"/>
      <c r="Q84" s="66"/>
      <c r="R84" s="66"/>
      <c r="S84" s="66"/>
      <c r="T84" s="66"/>
      <c r="U84" s="66"/>
      <c r="V84" s="66"/>
      <c r="W84" s="66"/>
      <c r="X84" s="66"/>
      <c r="Y84" s="66"/>
      <c r="Z84" s="66"/>
      <c r="AA84" s="66"/>
      <c r="AB84" s="66"/>
      <c r="AC84" s="66"/>
      <c r="AD84" s="66"/>
      <c r="AE84" s="66"/>
      <c r="AF84" s="65"/>
    </row>
    <row r="85" spans="1:32" hidden="1" x14ac:dyDescent="0.25">
      <c r="A85" s="66"/>
      <c r="B85" s="66"/>
      <c r="C85" s="66"/>
      <c r="D85" s="66"/>
      <c r="E85" s="66"/>
      <c r="F85" s="66"/>
      <c r="G85" s="66"/>
      <c r="H85" s="67"/>
      <c r="I85" s="66"/>
      <c r="J85" s="66"/>
      <c r="K85" s="67"/>
      <c r="L85" s="66"/>
      <c r="M85" s="66"/>
      <c r="N85" s="66"/>
      <c r="O85" s="66"/>
      <c r="P85" s="66"/>
      <c r="Q85" s="66"/>
      <c r="R85" s="66"/>
      <c r="S85" s="66"/>
      <c r="T85" s="66"/>
      <c r="U85" s="66"/>
      <c r="V85" s="66"/>
      <c r="W85" s="66"/>
      <c r="X85" s="66"/>
      <c r="Y85" s="66"/>
      <c r="Z85" s="66"/>
      <c r="AA85" s="66"/>
      <c r="AB85" s="66"/>
      <c r="AC85" s="66"/>
      <c r="AD85" s="66"/>
      <c r="AE85" s="66"/>
      <c r="AF85" s="65"/>
    </row>
    <row r="86" spans="1:32" hidden="1" x14ac:dyDescent="0.25">
      <c r="A86" s="66"/>
      <c r="B86" s="66"/>
      <c r="C86" s="66"/>
      <c r="D86" s="66"/>
      <c r="E86" s="66"/>
      <c r="F86" s="66"/>
      <c r="G86" s="66"/>
      <c r="H86" s="67"/>
      <c r="I86" s="66"/>
      <c r="J86" s="66"/>
      <c r="K86" s="67"/>
      <c r="L86" s="66"/>
      <c r="M86" s="66"/>
      <c r="N86" s="66"/>
      <c r="O86" s="66"/>
      <c r="P86" s="66"/>
      <c r="Q86" s="66"/>
      <c r="R86" s="66"/>
      <c r="S86" s="66"/>
      <c r="T86" s="66"/>
      <c r="U86" s="66"/>
      <c r="V86" s="66"/>
      <c r="W86" s="66"/>
      <c r="X86" s="66"/>
      <c r="Y86" s="66"/>
      <c r="Z86" s="66"/>
      <c r="AA86" s="66"/>
      <c r="AB86" s="66"/>
      <c r="AC86" s="66"/>
      <c r="AD86" s="66"/>
      <c r="AE86" s="66"/>
      <c r="AF86" s="65"/>
    </row>
    <row r="87" spans="1:32" hidden="1" x14ac:dyDescent="0.25">
      <c r="A87" s="66"/>
      <c r="B87" s="66"/>
      <c r="C87" s="66"/>
      <c r="D87" s="66"/>
      <c r="E87" s="66"/>
      <c r="F87" s="66"/>
      <c r="G87" s="66"/>
      <c r="H87" s="67"/>
      <c r="I87" s="66"/>
      <c r="J87" s="66"/>
      <c r="K87" s="67"/>
      <c r="L87" s="66"/>
      <c r="M87" s="66"/>
      <c r="N87" s="66"/>
      <c r="O87" s="66"/>
      <c r="P87" s="66"/>
      <c r="Q87" s="66"/>
      <c r="R87" s="66"/>
      <c r="S87" s="66"/>
      <c r="T87" s="66"/>
      <c r="U87" s="66"/>
      <c r="V87" s="66"/>
      <c r="W87" s="66"/>
      <c r="X87" s="66"/>
      <c r="Y87" s="66"/>
      <c r="Z87" s="66"/>
      <c r="AA87" s="66"/>
      <c r="AB87" s="66"/>
      <c r="AC87" s="66"/>
      <c r="AD87" s="66"/>
      <c r="AE87" s="66"/>
      <c r="AF87" s="65"/>
    </row>
    <row r="88" spans="1:32" hidden="1" x14ac:dyDescent="0.25">
      <c r="A88" s="66"/>
      <c r="B88" s="66"/>
      <c r="C88" s="66"/>
      <c r="D88" s="66"/>
      <c r="E88" s="66"/>
      <c r="F88" s="66"/>
      <c r="G88" s="66"/>
      <c r="H88" s="67"/>
      <c r="I88" s="66"/>
      <c r="J88" s="66"/>
      <c r="K88" s="67"/>
      <c r="L88" s="66"/>
      <c r="M88" s="66"/>
      <c r="N88" s="66"/>
      <c r="O88" s="66"/>
      <c r="P88" s="66"/>
      <c r="Q88" s="66"/>
      <c r="R88" s="66"/>
      <c r="S88" s="66"/>
      <c r="T88" s="66"/>
      <c r="U88" s="66"/>
      <c r="V88" s="66"/>
      <c r="W88" s="66"/>
      <c r="X88" s="66"/>
      <c r="Y88" s="66"/>
      <c r="Z88" s="66"/>
      <c r="AA88" s="66"/>
      <c r="AB88" s="66"/>
      <c r="AC88" s="66"/>
      <c r="AD88" s="66"/>
      <c r="AE88" s="66"/>
      <c r="AF88" s="65"/>
    </row>
    <row r="89" spans="1:32" hidden="1" x14ac:dyDescent="0.25">
      <c r="A89" s="66"/>
      <c r="B89" s="66"/>
      <c r="C89" s="66"/>
      <c r="D89" s="66"/>
      <c r="E89" s="66"/>
      <c r="F89" s="66"/>
      <c r="G89" s="66"/>
      <c r="H89" s="67"/>
      <c r="I89" s="66"/>
      <c r="J89" s="66"/>
      <c r="K89" s="67"/>
      <c r="L89" s="66"/>
      <c r="M89" s="66"/>
      <c r="N89" s="66"/>
      <c r="O89" s="66"/>
      <c r="P89" s="66"/>
      <c r="Q89" s="66"/>
      <c r="R89" s="66"/>
      <c r="S89" s="66"/>
      <c r="T89" s="66"/>
      <c r="U89" s="66"/>
      <c r="V89" s="66"/>
      <c r="W89" s="66"/>
      <c r="X89" s="66"/>
      <c r="Y89" s="66"/>
      <c r="Z89" s="66"/>
      <c r="AA89" s="66"/>
      <c r="AB89" s="66"/>
      <c r="AC89" s="66"/>
      <c r="AD89" s="66"/>
      <c r="AE89" s="66"/>
      <c r="AF89" s="65"/>
    </row>
    <row r="90" spans="1:32" hidden="1" x14ac:dyDescent="0.25">
      <c r="A90" s="66"/>
      <c r="B90" s="66"/>
      <c r="C90" s="66"/>
      <c r="D90" s="66"/>
      <c r="E90" s="66"/>
      <c r="F90" s="66"/>
      <c r="G90" s="66"/>
      <c r="H90" s="67"/>
      <c r="I90" s="66"/>
      <c r="J90" s="66"/>
      <c r="K90" s="67"/>
      <c r="L90" s="66"/>
      <c r="M90" s="66"/>
      <c r="N90" s="66"/>
      <c r="O90" s="66"/>
      <c r="P90" s="66"/>
      <c r="Q90" s="66"/>
      <c r="R90" s="66"/>
      <c r="S90" s="66"/>
      <c r="T90" s="66"/>
      <c r="U90" s="66"/>
      <c r="V90" s="66"/>
      <c r="W90" s="66"/>
      <c r="X90" s="66"/>
      <c r="Y90" s="66"/>
      <c r="Z90" s="66"/>
      <c r="AA90" s="66"/>
      <c r="AB90" s="66"/>
      <c r="AC90" s="66"/>
      <c r="AD90" s="66"/>
      <c r="AE90" s="66"/>
      <c r="AF90" s="65"/>
    </row>
    <row r="91" spans="1:32" hidden="1" x14ac:dyDescent="0.25">
      <c r="A91" s="66"/>
      <c r="B91" s="66"/>
      <c r="C91" s="66"/>
      <c r="D91" s="66"/>
      <c r="E91" s="66"/>
      <c r="F91" s="66"/>
      <c r="G91" s="66"/>
      <c r="H91" s="67"/>
      <c r="I91" s="66"/>
      <c r="J91" s="66"/>
      <c r="K91" s="67"/>
      <c r="L91" s="66"/>
      <c r="M91" s="66"/>
      <c r="N91" s="66"/>
      <c r="O91" s="66"/>
      <c r="P91" s="66"/>
      <c r="Q91" s="66"/>
      <c r="R91" s="66"/>
      <c r="S91" s="66"/>
      <c r="T91" s="66"/>
      <c r="U91" s="66"/>
      <c r="V91" s="66"/>
      <c r="W91" s="66"/>
      <c r="X91" s="66"/>
      <c r="Y91" s="66"/>
      <c r="Z91" s="66"/>
      <c r="AA91" s="66"/>
      <c r="AB91" s="66"/>
      <c r="AC91" s="66"/>
      <c r="AD91" s="66"/>
      <c r="AE91" s="66"/>
      <c r="AF91" s="65"/>
    </row>
    <row r="92" spans="1:32" hidden="1" x14ac:dyDescent="0.25">
      <c r="A92" s="66"/>
      <c r="B92" s="66"/>
      <c r="C92" s="66"/>
      <c r="D92" s="66"/>
      <c r="E92" s="66"/>
      <c r="F92" s="66"/>
      <c r="G92" s="66"/>
      <c r="H92" s="67"/>
      <c r="I92" s="66"/>
      <c r="J92" s="66"/>
      <c r="K92" s="67"/>
      <c r="L92" s="66"/>
      <c r="M92" s="66"/>
      <c r="N92" s="66"/>
      <c r="O92" s="66"/>
      <c r="P92" s="66"/>
      <c r="Q92" s="66"/>
      <c r="R92" s="66"/>
      <c r="S92" s="66"/>
      <c r="T92" s="66"/>
      <c r="U92" s="66"/>
      <c r="V92" s="66"/>
      <c r="W92" s="66"/>
      <c r="X92" s="66"/>
      <c r="Y92" s="66"/>
      <c r="Z92" s="66"/>
      <c r="AA92" s="66"/>
      <c r="AB92" s="66"/>
      <c r="AC92" s="66"/>
      <c r="AD92" s="66"/>
      <c r="AE92" s="66"/>
      <c r="AF92" s="65"/>
    </row>
    <row r="93" spans="1:32" hidden="1" x14ac:dyDescent="0.25">
      <c r="A93" s="66"/>
      <c r="B93" s="66"/>
      <c r="C93" s="66"/>
      <c r="D93" s="66"/>
      <c r="E93" s="66"/>
      <c r="F93" s="66"/>
      <c r="G93" s="66"/>
      <c r="H93" s="67"/>
      <c r="I93" s="66"/>
      <c r="J93" s="66"/>
      <c r="K93" s="67"/>
      <c r="L93" s="66"/>
      <c r="M93" s="66"/>
      <c r="N93" s="66"/>
      <c r="O93" s="66"/>
      <c r="P93" s="66"/>
      <c r="Q93" s="66"/>
      <c r="R93" s="66"/>
      <c r="S93" s="66"/>
      <c r="T93" s="66"/>
      <c r="U93" s="66"/>
      <c r="V93" s="66"/>
      <c r="W93" s="66"/>
      <c r="X93" s="66"/>
      <c r="Y93" s="66"/>
      <c r="Z93" s="66"/>
      <c r="AA93" s="66"/>
      <c r="AB93" s="66"/>
      <c r="AC93" s="66"/>
      <c r="AD93" s="66"/>
      <c r="AE93" s="66"/>
      <c r="AF93" s="65"/>
    </row>
    <row r="94" spans="1:32" hidden="1" x14ac:dyDescent="0.25">
      <c r="A94" s="66"/>
      <c r="B94" s="66"/>
      <c r="C94" s="66"/>
      <c r="D94" s="66"/>
      <c r="E94" s="66"/>
      <c r="F94" s="66"/>
      <c r="G94" s="66"/>
      <c r="H94" s="67"/>
      <c r="I94" s="66"/>
      <c r="J94" s="66"/>
      <c r="K94" s="67"/>
      <c r="L94" s="66"/>
      <c r="M94" s="66"/>
      <c r="N94" s="66"/>
      <c r="O94" s="66"/>
      <c r="P94" s="66"/>
      <c r="Q94" s="66"/>
      <c r="R94" s="66"/>
      <c r="S94" s="66"/>
      <c r="T94" s="66"/>
      <c r="U94" s="66"/>
      <c r="V94" s="66"/>
      <c r="W94" s="66"/>
      <c r="X94" s="66"/>
      <c r="Y94" s="66"/>
      <c r="Z94" s="66"/>
      <c r="AA94" s="66"/>
      <c r="AB94" s="66"/>
      <c r="AC94" s="66"/>
      <c r="AD94" s="66"/>
      <c r="AE94" s="66"/>
      <c r="AF94" s="65"/>
    </row>
    <row r="95" spans="1:32" hidden="1" x14ac:dyDescent="0.25">
      <c r="A95" s="66"/>
      <c r="B95" s="66"/>
      <c r="C95" s="66"/>
      <c r="D95" s="66"/>
      <c r="E95" s="66"/>
      <c r="F95" s="66"/>
      <c r="G95" s="66"/>
      <c r="H95" s="67"/>
      <c r="I95" s="66"/>
      <c r="J95" s="66"/>
      <c r="K95" s="67"/>
      <c r="L95" s="66"/>
      <c r="M95" s="66"/>
      <c r="N95" s="66"/>
      <c r="O95" s="66"/>
      <c r="P95" s="66"/>
      <c r="Q95" s="66"/>
      <c r="R95" s="66"/>
      <c r="S95" s="66"/>
      <c r="T95" s="66"/>
      <c r="U95" s="66"/>
      <c r="V95" s="66"/>
      <c r="W95" s="66"/>
      <c r="X95" s="66"/>
      <c r="Y95" s="66"/>
      <c r="Z95" s="66"/>
      <c r="AA95" s="66"/>
      <c r="AB95" s="66"/>
      <c r="AC95" s="66"/>
      <c r="AD95" s="66"/>
      <c r="AE95" s="66"/>
      <c r="AF95" s="65"/>
    </row>
    <row r="96" spans="1:32" hidden="1" x14ac:dyDescent="0.25">
      <c r="A96" s="66"/>
      <c r="B96" s="66"/>
      <c r="C96" s="66"/>
      <c r="D96" s="66"/>
      <c r="E96" s="66"/>
      <c r="F96" s="66"/>
      <c r="G96" s="66"/>
      <c r="H96" s="67"/>
      <c r="I96" s="66"/>
      <c r="J96" s="66"/>
      <c r="K96" s="67"/>
      <c r="L96" s="66"/>
      <c r="M96" s="66"/>
      <c r="N96" s="66"/>
      <c r="O96" s="66"/>
      <c r="P96" s="66"/>
      <c r="Q96" s="66"/>
      <c r="R96" s="66"/>
      <c r="S96" s="66"/>
      <c r="T96" s="66"/>
      <c r="U96" s="66"/>
      <c r="V96" s="66"/>
      <c r="W96" s="66"/>
      <c r="X96" s="66"/>
      <c r="Y96" s="66"/>
      <c r="Z96" s="66"/>
      <c r="AA96" s="66"/>
      <c r="AB96" s="66"/>
      <c r="AC96" s="66"/>
      <c r="AD96" s="66"/>
      <c r="AE96" s="66"/>
      <c r="AF96" s="65"/>
    </row>
    <row r="97" spans="1:32" hidden="1" x14ac:dyDescent="0.25">
      <c r="A97" s="66"/>
      <c r="B97" s="66"/>
      <c r="C97" s="66"/>
      <c r="D97" s="66"/>
      <c r="E97" s="66"/>
      <c r="F97" s="66"/>
      <c r="G97" s="66"/>
      <c r="H97" s="67"/>
      <c r="I97" s="66"/>
      <c r="J97" s="66"/>
      <c r="K97" s="67"/>
      <c r="L97" s="66"/>
      <c r="M97" s="66"/>
      <c r="N97" s="66"/>
      <c r="O97" s="66"/>
      <c r="P97" s="66"/>
      <c r="Q97" s="66"/>
      <c r="R97" s="66"/>
      <c r="S97" s="66"/>
      <c r="T97" s="66"/>
      <c r="U97" s="66"/>
      <c r="V97" s="66"/>
      <c r="W97" s="66"/>
      <c r="X97" s="66"/>
      <c r="Y97" s="66"/>
      <c r="Z97" s="66"/>
      <c r="AA97" s="66"/>
      <c r="AB97" s="66"/>
      <c r="AC97" s="66"/>
      <c r="AD97" s="66"/>
      <c r="AE97" s="66"/>
      <c r="AF97" s="65"/>
    </row>
    <row r="98" spans="1:32" hidden="1" x14ac:dyDescent="0.25">
      <c r="A98" s="66"/>
      <c r="B98" s="66"/>
      <c r="C98" s="66"/>
      <c r="D98" s="66"/>
      <c r="E98" s="66"/>
      <c r="F98" s="66"/>
      <c r="G98" s="66"/>
      <c r="H98" s="67"/>
      <c r="I98" s="66"/>
      <c r="J98" s="66"/>
      <c r="K98" s="67"/>
      <c r="L98" s="66"/>
      <c r="M98" s="66"/>
      <c r="N98" s="66"/>
      <c r="O98" s="66"/>
      <c r="P98" s="66"/>
      <c r="Q98" s="66"/>
      <c r="R98" s="66"/>
      <c r="S98" s="66"/>
      <c r="T98" s="66"/>
      <c r="U98" s="66"/>
      <c r="V98" s="66"/>
      <c r="W98" s="66"/>
      <c r="X98" s="66"/>
      <c r="Y98" s="66"/>
      <c r="Z98" s="66"/>
      <c r="AA98" s="66"/>
      <c r="AB98" s="66"/>
      <c r="AC98" s="66"/>
      <c r="AD98" s="66"/>
      <c r="AE98" s="66"/>
      <c r="AF98" s="65"/>
    </row>
    <row r="99" spans="1:32" hidden="1" x14ac:dyDescent="0.25">
      <c r="A99" s="66"/>
      <c r="B99" s="66"/>
      <c r="C99" s="66"/>
      <c r="D99" s="66"/>
      <c r="E99" s="66"/>
      <c r="F99" s="66"/>
      <c r="G99" s="66"/>
      <c r="H99" s="67"/>
      <c r="I99" s="66"/>
      <c r="J99" s="66"/>
      <c r="K99" s="67"/>
      <c r="L99" s="66"/>
      <c r="M99" s="66"/>
      <c r="N99" s="66"/>
      <c r="O99" s="66"/>
      <c r="P99" s="66"/>
      <c r="Q99" s="66"/>
      <c r="R99" s="66"/>
      <c r="S99" s="66"/>
      <c r="T99" s="66"/>
      <c r="U99" s="66"/>
      <c r="V99" s="66"/>
      <c r="W99" s="66"/>
      <c r="X99" s="66"/>
      <c r="Y99" s="66"/>
      <c r="Z99" s="66"/>
      <c r="AA99" s="66"/>
      <c r="AB99" s="66"/>
      <c r="AC99" s="66"/>
      <c r="AD99" s="66"/>
      <c r="AE99" s="66"/>
      <c r="AF99" s="65"/>
    </row>
    <row r="100" spans="1:32" hidden="1" x14ac:dyDescent="0.25">
      <c r="A100" s="66"/>
      <c r="B100" s="66"/>
      <c r="C100" s="66"/>
      <c r="D100" s="66"/>
      <c r="E100" s="66"/>
      <c r="F100" s="66"/>
      <c r="G100" s="66"/>
      <c r="H100" s="67"/>
      <c r="I100" s="66"/>
      <c r="J100" s="66"/>
      <c r="K100" s="67"/>
      <c r="L100" s="66"/>
      <c r="M100" s="66"/>
      <c r="N100" s="66"/>
      <c r="O100" s="66"/>
      <c r="P100" s="66"/>
      <c r="Q100" s="66"/>
      <c r="R100" s="66"/>
      <c r="S100" s="66"/>
      <c r="T100" s="66"/>
      <c r="U100" s="66"/>
      <c r="V100" s="66"/>
      <c r="W100" s="66"/>
      <c r="X100" s="66"/>
      <c r="Y100" s="66"/>
      <c r="Z100" s="66"/>
      <c r="AA100" s="66"/>
      <c r="AB100" s="66"/>
      <c r="AC100" s="66"/>
      <c r="AD100" s="66"/>
      <c r="AE100" s="66"/>
      <c r="AF100" s="65"/>
    </row>
    <row r="101" spans="1:32" hidden="1" x14ac:dyDescent="0.25">
      <c r="A101" s="66"/>
      <c r="B101" s="66"/>
      <c r="C101" s="66"/>
      <c r="D101" s="66"/>
      <c r="E101" s="66"/>
      <c r="F101" s="66"/>
      <c r="G101" s="66"/>
      <c r="H101" s="67"/>
      <c r="I101" s="66"/>
      <c r="J101" s="66"/>
      <c r="K101" s="67"/>
      <c r="L101" s="66"/>
      <c r="M101" s="66"/>
      <c r="N101" s="66"/>
      <c r="O101" s="66"/>
      <c r="P101" s="66"/>
      <c r="Q101" s="66"/>
      <c r="R101" s="66"/>
      <c r="S101" s="66"/>
      <c r="T101" s="66"/>
      <c r="U101" s="66"/>
      <c r="V101" s="66"/>
      <c r="W101" s="66"/>
      <c r="X101" s="66"/>
      <c r="Y101" s="66"/>
      <c r="Z101" s="66"/>
      <c r="AA101" s="66"/>
      <c r="AB101" s="66"/>
      <c r="AC101" s="66"/>
      <c r="AD101" s="66"/>
      <c r="AE101" s="66"/>
      <c r="AF101" s="65"/>
    </row>
    <row r="102" spans="1:32" hidden="1" x14ac:dyDescent="0.25">
      <c r="A102" s="66"/>
      <c r="B102" s="66"/>
      <c r="C102" s="66"/>
      <c r="D102" s="66"/>
      <c r="E102" s="66"/>
      <c r="F102" s="66"/>
      <c r="G102" s="66"/>
      <c r="H102" s="67"/>
      <c r="I102" s="66"/>
      <c r="J102" s="66"/>
      <c r="K102" s="67"/>
      <c r="L102" s="66"/>
      <c r="M102" s="66"/>
      <c r="N102" s="66"/>
      <c r="O102" s="66"/>
      <c r="P102" s="66"/>
      <c r="Q102" s="66"/>
      <c r="R102" s="66"/>
      <c r="S102" s="66"/>
      <c r="T102" s="66"/>
      <c r="U102" s="66"/>
      <c r="V102" s="66"/>
      <c r="W102" s="66"/>
      <c r="X102" s="66"/>
      <c r="Y102" s="66"/>
      <c r="Z102" s="66"/>
      <c r="AA102" s="66"/>
      <c r="AB102" s="66"/>
      <c r="AC102" s="66"/>
      <c r="AD102" s="66"/>
      <c r="AE102" s="66"/>
      <c r="AF102" s="65"/>
    </row>
    <row r="103" spans="1:32" hidden="1" x14ac:dyDescent="0.25">
      <c r="A103" s="66"/>
      <c r="B103" s="66"/>
      <c r="C103" s="66"/>
      <c r="D103" s="66"/>
      <c r="E103" s="66"/>
      <c r="F103" s="66"/>
      <c r="G103" s="66"/>
      <c r="H103" s="67"/>
      <c r="I103" s="66"/>
      <c r="J103" s="66"/>
      <c r="K103" s="67"/>
      <c r="L103" s="66"/>
      <c r="M103" s="66"/>
      <c r="N103" s="66"/>
      <c r="O103" s="66"/>
      <c r="P103" s="66"/>
      <c r="Q103" s="66"/>
      <c r="R103" s="66"/>
      <c r="S103" s="66"/>
      <c r="T103" s="66"/>
      <c r="U103" s="66"/>
      <c r="V103" s="66"/>
      <c r="W103" s="66"/>
      <c r="X103" s="66"/>
      <c r="Y103" s="66"/>
      <c r="Z103" s="66"/>
      <c r="AA103" s="66"/>
      <c r="AB103" s="66"/>
      <c r="AC103" s="66"/>
      <c r="AD103" s="66"/>
      <c r="AE103" s="66"/>
      <c r="AF103" s="65"/>
    </row>
    <row r="104" spans="1:32" hidden="1" x14ac:dyDescent="0.25">
      <c r="A104" s="66"/>
      <c r="B104" s="66"/>
      <c r="C104" s="66"/>
      <c r="D104" s="66"/>
      <c r="E104" s="66"/>
      <c r="F104" s="66"/>
      <c r="G104" s="66"/>
      <c r="H104" s="67"/>
      <c r="I104" s="66"/>
      <c r="J104" s="66"/>
      <c r="K104" s="67"/>
      <c r="L104" s="66"/>
      <c r="M104" s="66"/>
      <c r="N104" s="66"/>
      <c r="O104" s="66"/>
      <c r="P104" s="66"/>
      <c r="Q104" s="66"/>
      <c r="R104" s="66"/>
      <c r="S104" s="66"/>
      <c r="T104" s="66"/>
      <c r="U104" s="66"/>
      <c r="V104" s="66"/>
      <c r="W104" s="66"/>
      <c r="X104" s="66"/>
      <c r="Y104" s="66"/>
      <c r="Z104" s="66"/>
      <c r="AA104" s="66"/>
      <c r="AB104" s="66"/>
      <c r="AC104" s="66"/>
      <c r="AD104" s="66"/>
      <c r="AE104" s="66"/>
      <c r="AF104" s="65"/>
    </row>
    <row r="105" spans="1:32" hidden="1" x14ac:dyDescent="0.25">
      <c r="A105" s="66"/>
      <c r="B105" s="66"/>
      <c r="C105" s="66"/>
      <c r="D105" s="66"/>
      <c r="E105" s="66"/>
      <c r="F105" s="66"/>
      <c r="G105" s="66"/>
      <c r="H105" s="67"/>
      <c r="I105" s="66"/>
      <c r="J105" s="66"/>
      <c r="K105" s="67"/>
      <c r="L105" s="66"/>
      <c r="M105" s="66"/>
      <c r="N105" s="66"/>
      <c r="O105" s="66"/>
      <c r="P105" s="66"/>
      <c r="Q105" s="66"/>
      <c r="R105" s="66"/>
      <c r="S105" s="66"/>
      <c r="T105" s="66"/>
      <c r="U105" s="66"/>
      <c r="V105" s="66"/>
      <c r="W105" s="66"/>
      <c r="X105" s="66"/>
      <c r="Y105" s="66"/>
      <c r="Z105" s="66"/>
      <c r="AA105" s="66"/>
      <c r="AB105" s="66"/>
      <c r="AC105" s="66"/>
      <c r="AD105" s="66"/>
      <c r="AE105" s="66"/>
      <c r="AF105" s="65"/>
    </row>
    <row r="106" spans="1:32" hidden="1" x14ac:dyDescent="0.25">
      <c r="A106" s="66"/>
      <c r="B106" s="66"/>
      <c r="C106" s="66"/>
      <c r="D106" s="66"/>
      <c r="E106" s="66"/>
      <c r="F106" s="66"/>
      <c r="G106" s="66"/>
      <c r="H106" s="67"/>
      <c r="I106" s="66"/>
      <c r="J106" s="66"/>
      <c r="K106" s="67"/>
      <c r="L106" s="66"/>
      <c r="M106" s="66"/>
      <c r="N106" s="66"/>
      <c r="O106" s="66"/>
      <c r="P106" s="66"/>
      <c r="Q106" s="66"/>
      <c r="R106" s="66"/>
      <c r="S106" s="66"/>
      <c r="T106" s="66"/>
      <c r="U106" s="66"/>
      <c r="V106" s="66"/>
      <c r="W106" s="66"/>
      <c r="X106" s="66"/>
      <c r="Y106" s="66"/>
      <c r="Z106" s="66"/>
      <c r="AA106" s="66"/>
      <c r="AB106" s="66"/>
      <c r="AC106" s="66"/>
      <c r="AD106" s="66"/>
      <c r="AE106" s="66"/>
      <c r="AF106" s="65"/>
    </row>
    <row r="107" spans="1:32" hidden="1" x14ac:dyDescent="0.25">
      <c r="A107" s="66"/>
      <c r="B107" s="66"/>
      <c r="C107" s="66"/>
      <c r="D107" s="66"/>
      <c r="E107" s="66"/>
      <c r="F107" s="66"/>
      <c r="G107" s="66"/>
      <c r="H107" s="67"/>
      <c r="I107" s="66"/>
      <c r="J107" s="66"/>
      <c r="K107" s="67"/>
      <c r="L107" s="66"/>
      <c r="M107" s="66"/>
      <c r="N107" s="66"/>
      <c r="O107" s="66"/>
      <c r="P107" s="66"/>
      <c r="Q107" s="66"/>
      <c r="R107" s="66"/>
      <c r="S107" s="66"/>
      <c r="T107" s="66"/>
      <c r="U107" s="66"/>
      <c r="V107" s="66"/>
      <c r="W107" s="66"/>
      <c r="X107" s="66"/>
      <c r="Y107" s="66"/>
      <c r="Z107" s="66"/>
      <c r="AA107" s="66"/>
      <c r="AB107" s="66"/>
      <c r="AC107" s="66"/>
      <c r="AD107" s="66"/>
      <c r="AE107" s="66"/>
      <c r="AF107" s="65"/>
    </row>
    <row r="108" spans="1:32" hidden="1" x14ac:dyDescent="0.25">
      <c r="A108" s="66"/>
      <c r="B108" s="66"/>
      <c r="C108" s="66"/>
      <c r="D108" s="66"/>
      <c r="E108" s="66"/>
      <c r="F108" s="66"/>
      <c r="G108" s="66"/>
      <c r="H108" s="67"/>
      <c r="I108" s="66"/>
      <c r="J108" s="66"/>
      <c r="K108" s="67"/>
      <c r="L108" s="66"/>
      <c r="M108" s="66"/>
      <c r="N108" s="66"/>
      <c r="O108" s="66"/>
      <c r="P108" s="66"/>
      <c r="Q108" s="66"/>
      <c r="R108" s="66"/>
      <c r="S108" s="66"/>
      <c r="T108" s="66"/>
      <c r="U108" s="66"/>
      <c r="V108" s="66"/>
      <c r="W108" s="66"/>
      <c r="X108" s="66"/>
      <c r="Y108" s="66"/>
      <c r="Z108" s="66"/>
      <c r="AA108" s="66"/>
      <c r="AB108" s="66"/>
      <c r="AC108" s="66"/>
      <c r="AD108" s="66"/>
      <c r="AE108" s="66"/>
      <c r="AF108" s="65"/>
    </row>
    <row r="109" spans="1:32" hidden="1" x14ac:dyDescent="0.25">
      <c r="A109" s="66"/>
      <c r="B109" s="66"/>
      <c r="C109" s="66"/>
      <c r="D109" s="66"/>
      <c r="E109" s="66"/>
      <c r="F109" s="66"/>
      <c r="G109" s="66"/>
      <c r="H109" s="67"/>
      <c r="I109" s="66"/>
      <c r="J109" s="66"/>
      <c r="K109" s="67"/>
      <c r="L109" s="66"/>
      <c r="M109" s="66"/>
      <c r="N109" s="66"/>
      <c r="O109" s="66"/>
      <c r="P109" s="66"/>
      <c r="Q109" s="66"/>
      <c r="R109" s="66"/>
      <c r="S109" s="66"/>
      <c r="T109" s="66"/>
      <c r="U109" s="66"/>
      <c r="V109" s="66"/>
      <c r="W109" s="66"/>
      <c r="X109" s="66"/>
      <c r="Y109" s="66"/>
      <c r="Z109" s="66"/>
      <c r="AA109" s="66"/>
      <c r="AB109" s="66"/>
      <c r="AC109" s="66"/>
      <c r="AD109" s="66"/>
      <c r="AE109" s="66"/>
      <c r="AF109" s="65"/>
    </row>
    <row r="110" spans="1:32" hidden="1" x14ac:dyDescent="0.25">
      <c r="A110" s="66"/>
      <c r="B110" s="66"/>
      <c r="C110" s="66"/>
      <c r="D110" s="66"/>
      <c r="E110" s="66"/>
      <c r="F110" s="66"/>
      <c r="G110" s="66"/>
      <c r="H110" s="67"/>
      <c r="I110" s="66"/>
      <c r="J110" s="66"/>
      <c r="K110" s="67"/>
      <c r="L110" s="66"/>
      <c r="M110" s="66"/>
      <c r="N110" s="66"/>
      <c r="O110" s="66"/>
      <c r="P110" s="66"/>
      <c r="Q110" s="66"/>
      <c r="R110" s="66"/>
      <c r="S110" s="66"/>
      <c r="T110" s="66"/>
      <c r="U110" s="66"/>
      <c r="V110" s="66"/>
      <c r="W110" s="66"/>
      <c r="X110" s="66"/>
      <c r="Y110" s="66"/>
      <c r="Z110" s="66"/>
      <c r="AA110" s="66"/>
      <c r="AB110" s="66"/>
      <c r="AC110" s="66"/>
      <c r="AD110" s="66"/>
      <c r="AE110" s="66"/>
      <c r="AF110" s="65"/>
    </row>
    <row r="111" spans="1:32" hidden="1" x14ac:dyDescent="0.25">
      <c r="A111" s="66"/>
      <c r="B111" s="66"/>
      <c r="C111" s="66"/>
      <c r="D111" s="66"/>
      <c r="E111" s="66"/>
      <c r="F111" s="66"/>
      <c r="G111" s="66"/>
      <c r="H111" s="67"/>
      <c r="I111" s="66"/>
      <c r="J111" s="66"/>
      <c r="K111" s="67"/>
      <c r="L111" s="66"/>
      <c r="M111" s="66"/>
      <c r="N111" s="66"/>
      <c r="O111" s="66"/>
      <c r="P111" s="66"/>
      <c r="Q111" s="66"/>
      <c r="R111" s="66"/>
      <c r="S111" s="66"/>
      <c r="T111" s="66"/>
      <c r="U111" s="66"/>
      <c r="V111" s="66"/>
      <c r="W111" s="66"/>
      <c r="X111" s="66"/>
      <c r="Y111" s="66"/>
      <c r="Z111" s="66"/>
      <c r="AA111" s="66"/>
      <c r="AB111" s="66"/>
      <c r="AC111" s="66"/>
      <c r="AD111" s="66"/>
      <c r="AE111" s="66"/>
      <c r="AF111" s="65"/>
    </row>
    <row r="112" spans="1:32" hidden="1" x14ac:dyDescent="0.25">
      <c r="A112" s="66"/>
      <c r="B112" s="66"/>
      <c r="C112" s="66"/>
      <c r="D112" s="66"/>
      <c r="E112" s="66"/>
      <c r="F112" s="66"/>
      <c r="G112" s="66"/>
      <c r="H112" s="67"/>
      <c r="I112" s="66"/>
      <c r="J112" s="66"/>
      <c r="K112" s="67"/>
      <c r="L112" s="66"/>
      <c r="M112" s="66"/>
      <c r="N112" s="66"/>
      <c r="O112" s="66"/>
      <c r="P112" s="66"/>
      <c r="Q112" s="66"/>
      <c r="R112" s="66"/>
      <c r="S112" s="66"/>
      <c r="T112" s="66"/>
      <c r="U112" s="66"/>
      <c r="V112" s="66"/>
      <c r="W112" s="66"/>
      <c r="X112" s="66"/>
      <c r="Y112" s="66"/>
      <c r="Z112" s="66"/>
      <c r="AA112" s="66"/>
      <c r="AB112" s="66"/>
      <c r="AC112" s="66"/>
      <c r="AD112" s="66"/>
      <c r="AE112" s="66"/>
      <c r="AF112" s="65"/>
    </row>
    <row r="113" spans="1:32" hidden="1" x14ac:dyDescent="0.25">
      <c r="A113" s="66"/>
      <c r="B113" s="66"/>
      <c r="C113" s="66"/>
      <c r="D113" s="66"/>
      <c r="E113" s="66"/>
      <c r="F113" s="66"/>
      <c r="G113" s="66"/>
      <c r="H113" s="67"/>
      <c r="I113" s="66"/>
      <c r="J113" s="66"/>
      <c r="K113" s="67"/>
      <c r="L113" s="66"/>
      <c r="M113" s="66"/>
      <c r="N113" s="66"/>
      <c r="O113" s="66"/>
      <c r="P113" s="66"/>
      <c r="Q113" s="66"/>
      <c r="R113" s="66"/>
      <c r="S113" s="66"/>
      <c r="T113" s="66"/>
      <c r="U113" s="66"/>
      <c r="V113" s="66"/>
      <c r="W113" s="66"/>
      <c r="X113" s="66"/>
      <c r="Y113" s="66"/>
      <c r="Z113" s="66"/>
      <c r="AA113" s="66"/>
      <c r="AB113" s="66"/>
      <c r="AC113" s="66"/>
      <c r="AD113" s="66"/>
      <c r="AE113" s="66"/>
      <c r="AF113" s="65"/>
    </row>
    <row r="114" spans="1:32" hidden="1" x14ac:dyDescent="0.25">
      <c r="A114" s="66"/>
      <c r="B114" s="66"/>
      <c r="C114" s="66"/>
      <c r="D114" s="66"/>
      <c r="E114" s="66"/>
      <c r="F114" s="66"/>
      <c r="G114" s="66"/>
      <c r="H114" s="67"/>
      <c r="I114" s="66"/>
      <c r="J114" s="66"/>
      <c r="K114" s="67"/>
      <c r="L114" s="66"/>
      <c r="M114" s="66"/>
      <c r="N114" s="66"/>
      <c r="O114" s="66"/>
      <c r="P114" s="66"/>
      <c r="Q114" s="66"/>
      <c r="R114" s="66"/>
      <c r="S114" s="66"/>
      <c r="T114" s="66"/>
      <c r="U114" s="66"/>
      <c r="V114" s="66"/>
      <c r="W114" s="66"/>
      <c r="X114" s="66"/>
      <c r="Y114" s="66"/>
      <c r="Z114" s="66"/>
      <c r="AA114" s="66"/>
      <c r="AB114" s="66"/>
      <c r="AC114" s="66"/>
      <c r="AD114" s="66"/>
      <c r="AE114" s="66"/>
      <c r="AF114" s="65"/>
    </row>
    <row r="115" spans="1:32" hidden="1" x14ac:dyDescent="0.25">
      <c r="A115" s="66"/>
      <c r="B115" s="66"/>
      <c r="C115" s="66"/>
      <c r="D115" s="66"/>
      <c r="E115" s="66"/>
      <c r="F115" s="66"/>
      <c r="G115" s="66"/>
      <c r="H115" s="67"/>
      <c r="I115" s="66"/>
      <c r="J115" s="66"/>
      <c r="K115" s="67"/>
      <c r="L115" s="66"/>
      <c r="M115" s="66"/>
      <c r="N115" s="66"/>
      <c r="O115" s="66"/>
      <c r="P115" s="66"/>
      <c r="Q115" s="66"/>
      <c r="R115" s="66"/>
      <c r="S115" s="66"/>
      <c r="T115" s="66"/>
      <c r="U115" s="66"/>
      <c r="V115" s="66"/>
      <c r="W115" s="66"/>
      <c r="X115" s="66"/>
      <c r="Y115" s="66"/>
      <c r="Z115" s="66"/>
      <c r="AA115" s="66"/>
      <c r="AB115" s="66"/>
      <c r="AC115" s="66"/>
      <c r="AD115" s="66"/>
      <c r="AE115" s="66"/>
      <c r="AF115" s="65"/>
    </row>
    <row r="116" spans="1:32" hidden="1" x14ac:dyDescent="0.25">
      <c r="A116" s="66"/>
      <c r="B116" s="66"/>
      <c r="C116" s="66"/>
      <c r="D116" s="66"/>
      <c r="E116" s="66"/>
      <c r="F116" s="66"/>
      <c r="G116" s="66"/>
      <c r="H116" s="67"/>
      <c r="I116" s="66"/>
      <c r="J116" s="66"/>
      <c r="K116" s="67"/>
      <c r="L116" s="66"/>
      <c r="M116" s="66"/>
      <c r="N116" s="66"/>
      <c r="O116" s="66"/>
      <c r="P116" s="66"/>
      <c r="Q116" s="66"/>
      <c r="R116" s="66"/>
      <c r="S116" s="66"/>
      <c r="T116" s="66"/>
      <c r="U116" s="66"/>
      <c r="V116" s="66"/>
      <c r="W116" s="66"/>
      <c r="X116" s="66"/>
      <c r="Y116" s="66"/>
      <c r="Z116" s="66"/>
      <c r="AA116" s="66"/>
      <c r="AB116" s="66"/>
      <c r="AC116" s="66"/>
      <c r="AD116" s="66"/>
      <c r="AE116" s="66"/>
      <c r="AF116" s="65"/>
    </row>
    <row r="117" spans="1:32" hidden="1" x14ac:dyDescent="0.25">
      <c r="A117" s="66"/>
      <c r="B117" s="66"/>
      <c r="C117" s="66"/>
      <c r="D117" s="66"/>
      <c r="E117" s="66"/>
      <c r="F117" s="66"/>
      <c r="G117" s="66"/>
      <c r="H117" s="67"/>
      <c r="I117" s="66"/>
      <c r="J117" s="66"/>
      <c r="K117" s="67"/>
      <c r="L117" s="66"/>
      <c r="M117" s="66"/>
      <c r="N117" s="66"/>
      <c r="O117" s="66"/>
      <c r="P117" s="66"/>
      <c r="Q117" s="66"/>
      <c r="R117" s="66"/>
      <c r="S117" s="66"/>
      <c r="T117" s="66"/>
      <c r="U117" s="66"/>
      <c r="V117" s="66"/>
      <c r="W117" s="66"/>
      <c r="X117" s="66"/>
      <c r="Y117" s="66"/>
      <c r="Z117" s="66"/>
      <c r="AA117" s="66"/>
      <c r="AB117" s="66"/>
      <c r="AC117" s="66"/>
      <c r="AD117" s="66"/>
      <c r="AE117" s="66"/>
      <c r="AF117" s="65"/>
    </row>
    <row r="118" spans="1:32" hidden="1" x14ac:dyDescent="0.25">
      <c r="A118" s="66"/>
      <c r="B118" s="66"/>
      <c r="C118" s="66"/>
      <c r="D118" s="66"/>
      <c r="E118" s="66"/>
      <c r="F118" s="66"/>
      <c r="G118" s="66"/>
      <c r="H118" s="67"/>
      <c r="I118" s="66"/>
      <c r="J118" s="66"/>
      <c r="K118" s="67"/>
      <c r="L118" s="66"/>
      <c r="M118" s="66"/>
      <c r="N118" s="66"/>
      <c r="O118" s="66"/>
      <c r="P118" s="66"/>
      <c r="Q118" s="66"/>
      <c r="R118" s="66"/>
      <c r="S118" s="66"/>
      <c r="T118" s="66"/>
      <c r="U118" s="66"/>
      <c r="V118" s="66"/>
      <c r="W118" s="66"/>
      <c r="X118" s="66"/>
      <c r="Y118" s="66"/>
      <c r="Z118" s="66"/>
      <c r="AA118" s="66"/>
      <c r="AB118" s="66"/>
      <c r="AC118" s="66"/>
      <c r="AD118" s="66"/>
      <c r="AE118" s="66"/>
      <c r="AF118" s="65"/>
    </row>
    <row r="119" spans="1:32" hidden="1" x14ac:dyDescent="0.25">
      <c r="A119" s="66"/>
      <c r="B119" s="66"/>
      <c r="C119" s="66"/>
      <c r="D119" s="66"/>
      <c r="E119" s="66"/>
      <c r="F119" s="66"/>
      <c r="G119" s="66"/>
      <c r="H119" s="67"/>
      <c r="I119" s="66"/>
      <c r="J119" s="66"/>
      <c r="K119" s="67"/>
      <c r="L119" s="66"/>
      <c r="M119" s="66"/>
      <c r="N119" s="66"/>
      <c r="O119" s="66"/>
      <c r="P119" s="66"/>
      <c r="Q119" s="66"/>
      <c r="R119" s="66"/>
      <c r="S119" s="66"/>
      <c r="T119" s="66"/>
      <c r="U119" s="66"/>
      <c r="V119" s="66"/>
      <c r="W119" s="66"/>
      <c r="X119" s="66"/>
      <c r="Y119" s="66"/>
      <c r="Z119" s="66"/>
      <c r="AA119" s="66"/>
      <c r="AB119" s="66"/>
      <c r="AC119" s="66"/>
      <c r="AD119" s="66"/>
      <c r="AE119" s="66"/>
      <c r="AF119" s="65"/>
    </row>
    <row r="120" spans="1:32" hidden="1" x14ac:dyDescent="0.25">
      <c r="A120" s="66"/>
      <c r="B120" s="66"/>
      <c r="C120" s="66"/>
      <c r="D120" s="66"/>
      <c r="E120" s="66"/>
      <c r="F120" s="66"/>
      <c r="G120" s="66"/>
      <c r="H120" s="67"/>
      <c r="I120" s="66"/>
      <c r="J120" s="66"/>
      <c r="K120" s="67"/>
      <c r="L120" s="66"/>
      <c r="M120" s="66"/>
      <c r="N120" s="66"/>
      <c r="O120" s="66"/>
      <c r="P120" s="66"/>
      <c r="Q120" s="66"/>
      <c r="R120" s="66"/>
      <c r="S120" s="66"/>
      <c r="T120" s="66"/>
      <c r="U120" s="66"/>
      <c r="V120" s="66"/>
      <c r="W120" s="66"/>
      <c r="X120" s="66"/>
      <c r="Y120" s="66"/>
      <c r="Z120" s="66"/>
      <c r="AA120" s="66"/>
      <c r="AB120" s="66"/>
      <c r="AC120" s="66"/>
      <c r="AD120" s="66"/>
      <c r="AE120" s="66"/>
      <c r="AF120" s="65"/>
    </row>
    <row r="121" spans="1:32" hidden="1" x14ac:dyDescent="0.25">
      <c r="A121" s="66"/>
      <c r="B121" s="66"/>
      <c r="C121" s="66"/>
      <c r="D121" s="66"/>
      <c r="E121" s="66"/>
      <c r="F121" s="66"/>
      <c r="G121" s="66"/>
      <c r="H121" s="67"/>
      <c r="I121" s="66"/>
      <c r="J121" s="66"/>
      <c r="K121" s="67"/>
      <c r="L121" s="66"/>
      <c r="M121" s="66"/>
      <c r="N121" s="66"/>
      <c r="O121" s="66"/>
      <c r="P121" s="66"/>
      <c r="Q121" s="66"/>
      <c r="R121" s="66"/>
      <c r="S121" s="66"/>
      <c r="T121" s="66"/>
      <c r="U121" s="66"/>
      <c r="V121" s="66"/>
      <c r="W121" s="66"/>
      <c r="X121" s="66"/>
      <c r="Y121" s="66"/>
      <c r="Z121" s="66"/>
      <c r="AA121" s="66"/>
      <c r="AB121" s="66"/>
      <c r="AC121" s="66"/>
      <c r="AD121" s="66"/>
      <c r="AE121" s="66"/>
      <c r="AF121" s="65"/>
    </row>
    <row r="122" spans="1:32" hidden="1" x14ac:dyDescent="0.25">
      <c r="A122" s="66"/>
      <c r="B122" s="66"/>
      <c r="C122" s="66"/>
      <c r="D122" s="66"/>
      <c r="E122" s="66"/>
      <c r="F122" s="66"/>
      <c r="G122" s="66"/>
      <c r="H122" s="67"/>
      <c r="I122" s="66"/>
      <c r="J122" s="66"/>
      <c r="K122" s="67"/>
      <c r="L122" s="66"/>
      <c r="M122" s="66"/>
      <c r="N122" s="66"/>
      <c r="O122" s="66"/>
      <c r="P122" s="66"/>
      <c r="Q122" s="66"/>
      <c r="R122" s="66"/>
      <c r="S122" s="66"/>
      <c r="T122" s="66"/>
      <c r="U122" s="66"/>
      <c r="V122" s="66"/>
      <c r="W122" s="66"/>
      <c r="X122" s="66"/>
      <c r="Y122" s="66"/>
      <c r="Z122" s="66"/>
      <c r="AA122" s="66"/>
      <c r="AB122" s="66"/>
      <c r="AC122" s="66"/>
      <c r="AD122" s="66"/>
      <c r="AE122" s="66"/>
      <c r="AF122" s="65"/>
    </row>
    <row r="123" spans="1:32" hidden="1" x14ac:dyDescent="0.25">
      <c r="A123" s="66"/>
      <c r="B123" s="66"/>
      <c r="C123" s="66"/>
      <c r="D123" s="66"/>
      <c r="E123" s="66"/>
      <c r="F123" s="66"/>
      <c r="G123" s="66"/>
      <c r="H123" s="67"/>
      <c r="I123" s="66"/>
      <c r="J123" s="66"/>
      <c r="K123" s="67"/>
      <c r="L123" s="66"/>
      <c r="M123" s="66"/>
      <c r="N123" s="66"/>
      <c r="O123" s="66"/>
      <c r="P123" s="66"/>
      <c r="Q123" s="66"/>
      <c r="R123" s="66"/>
      <c r="S123" s="66"/>
      <c r="T123" s="66"/>
      <c r="U123" s="66"/>
      <c r="V123" s="66"/>
      <c r="W123" s="66"/>
      <c r="X123" s="66"/>
      <c r="Y123" s="66"/>
      <c r="Z123" s="66"/>
      <c r="AA123" s="66"/>
      <c r="AB123" s="66"/>
      <c r="AC123" s="66"/>
      <c r="AD123" s="66"/>
      <c r="AE123" s="66"/>
      <c r="AF123" s="65"/>
    </row>
    <row r="124" spans="1:32" hidden="1" x14ac:dyDescent="0.25">
      <c r="A124" s="66"/>
      <c r="B124" s="66"/>
      <c r="C124" s="66"/>
      <c r="D124" s="66"/>
      <c r="E124" s="66"/>
      <c r="F124" s="66"/>
      <c r="G124" s="66"/>
      <c r="H124" s="67"/>
      <c r="I124" s="66"/>
      <c r="J124" s="66"/>
      <c r="K124" s="67"/>
      <c r="L124" s="66"/>
      <c r="M124" s="66"/>
      <c r="N124" s="66"/>
      <c r="O124" s="66"/>
      <c r="P124" s="66"/>
      <c r="Q124" s="66"/>
      <c r="R124" s="66"/>
      <c r="S124" s="66"/>
      <c r="T124" s="66"/>
      <c r="U124" s="66"/>
      <c r="V124" s="66"/>
      <c r="W124" s="66"/>
      <c r="X124" s="66"/>
      <c r="Y124" s="66"/>
      <c r="Z124" s="66"/>
      <c r="AA124" s="66"/>
      <c r="AB124" s="66"/>
      <c r="AC124" s="66"/>
      <c r="AD124" s="66"/>
      <c r="AE124" s="66"/>
      <c r="AF124" s="65"/>
    </row>
    <row r="125" spans="1:32" hidden="1" x14ac:dyDescent="0.25">
      <c r="A125" s="66"/>
      <c r="B125" s="66"/>
      <c r="C125" s="66"/>
      <c r="D125" s="66"/>
      <c r="E125" s="66"/>
      <c r="F125" s="66"/>
      <c r="G125" s="66"/>
      <c r="H125" s="67"/>
      <c r="I125" s="66"/>
      <c r="J125" s="66"/>
      <c r="K125" s="67"/>
      <c r="L125" s="66"/>
      <c r="M125" s="66"/>
      <c r="N125" s="66"/>
      <c r="O125" s="66"/>
      <c r="P125" s="66"/>
      <c r="Q125" s="66"/>
      <c r="R125" s="66"/>
      <c r="S125" s="66"/>
      <c r="T125" s="66"/>
      <c r="U125" s="66"/>
      <c r="V125" s="66"/>
      <c r="W125" s="66"/>
      <c r="X125" s="66"/>
      <c r="Y125" s="66"/>
      <c r="Z125" s="66"/>
      <c r="AA125" s="66"/>
      <c r="AB125" s="66"/>
      <c r="AC125" s="66"/>
      <c r="AD125" s="66"/>
      <c r="AE125" s="66"/>
    </row>
    <row r="126" spans="1:32" hidden="1" x14ac:dyDescent="0.25">
      <c r="A126" s="66"/>
      <c r="B126" s="66"/>
      <c r="C126" s="66"/>
      <c r="D126" s="66"/>
      <c r="E126" s="66"/>
      <c r="F126" s="66"/>
      <c r="G126" s="66"/>
      <c r="H126" s="67"/>
      <c r="I126" s="66"/>
      <c r="J126" s="66"/>
      <c r="K126" s="67"/>
      <c r="L126" s="66"/>
      <c r="M126" s="66"/>
      <c r="N126" s="66"/>
      <c r="O126" s="66"/>
      <c r="P126" s="66"/>
      <c r="Q126" s="66"/>
      <c r="R126" s="66"/>
      <c r="S126" s="66"/>
      <c r="T126" s="66"/>
      <c r="U126" s="66"/>
      <c r="V126" s="66"/>
      <c r="W126" s="66"/>
      <c r="X126" s="66"/>
      <c r="Y126" s="66"/>
      <c r="Z126" s="66"/>
      <c r="AA126" s="66"/>
      <c r="AB126" s="66"/>
      <c r="AC126" s="66"/>
      <c r="AD126" s="66"/>
      <c r="AE126" s="66"/>
    </row>
    <row r="127" spans="1:32" hidden="1" x14ac:dyDescent="0.25">
      <c r="A127" s="66"/>
      <c r="B127" s="66"/>
      <c r="C127" s="66"/>
      <c r="D127" s="66"/>
      <c r="E127" s="66"/>
      <c r="F127" s="66"/>
      <c r="G127" s="66"/>
      <c r="H127" s="67"/>
      <c r="I127" s="66"/>
      <c r="J127" s="66"/>
      <c r="K127" s="67"/>
      <c r="L127" s="66"/>
      <c r="M127" s="66"/>
      <c r="N127" s="66"/>
      <c r="O127" s="66"/>
      <c r="P127" s="66"/>
      <c r="Q127" s="66"/>
      <c r="R127" s="66"/>
      <c r="S127" s="66"/>
      <c r="T127" s="66"/>
      <c r="U127" s="66"/>
      <c r="V127" s="66"/>
      <c r="W127" s="66"/>
      <c r="X127" s="66"/>
      <c r="Y127" s="66"/>
      <c r="Z127" s="66"/>
      <c r="AA127" s="66"/>
      <c r="AB127" s="66"/>
      <c r="AC127" s="66"/>
      <c r="AD127" s="66"/>
      <c r="AE127" s="66"/>
    </row>
    <row r="128" spans="1:32" hidden="1" x14ac:dyDescent="0.25">
      <c r="A128" s="66"/>
      <c r="B128" s="66"/>
      <c r="C128" s="66"/>
      <c r="D128" s="66"/>
      <c r="E128" s="66"/>
      <c r="F128" s="66"/>
      <c r="G128" s="66"/>
      <c r="H128" s="67"/>
      <c r="I128" s="66"/>
      <c r="J128" s="66"/>
      <c r="K128" s="67"/>
      <c r="L128" s="66"/>
      <c r="M128" s="66"/>
      <c r="N128" s="66"/>
      <c r="O128" s="66"/>
      <c r="P128" s="66"/>
      <c r="Q128" s="66"/>
      <c r="R128" s="66"/>
      <c r="S128" s="66"/>
      <c r="T128" s="66"/>
      <c r="U128" s="66"/>
      <c r="V128" s="66"/>
      <c r="W128" s="66"/>
      <c r="X128" s="66"/>
      <c r="Y128" s="66"/>
      <c r="Z128" s="66"/>
      <c r="AA128" s="66"/>
      <c r="AB128" s="66"/>
      <c r="AC128" s="66"/>
      <c r="AD128" s="66"/>
      <c r="AE128" s="66"/>
    </row>
    <row r="129" spans="1:31" hidden="1" x14ac:dyDescent="0.25">
      <c r="A129" s="66"/>
      <c r="B129" s="66"/>
      <c r="C129" s="66"/>
      <c r="D129" s="66"/>
      <c r="E129" s="66"/>
      <c r="F129" s="66"/>
      <c r="G129" s="66"/>
      <c r="H129" s="67"/>
      <c r="I129" s="66"/>
      <c r="J129" s="66"/>
      <c r="K129" s="67"/>
      <c r="L129" s="66"/>
      <c r="M129" s="66"/>
      <c r="N129" s="66"/>
      <c r="O129" s="66"/>
      <c r="P129" s="66"/>
      <c r="Q129" s="66"/>
      <c r="R129" s="66"/>
      <c r="S129" s="66"/>
      <c r="T129" s="66"/>
      <c r="U129" s="66"/>
      <c r="V129" s="66"/>
      <c r="W129" s="66"/>
      <c r="X129" s="66"/>
      <c r="Y129" s="66"/>
      <c r="Z129" s="66"/>
      <c r="AA129" s="66"/>
      <c r="AB129" s="66"/>
      <c r="AC129" s="66"/>
      <c r="AD129" s="66"/>
      <c r="AE129" s="66"/>
    </row>
    <row r="130" spans="1:31" hidden="1" x14ac:dyDescent="0.25"/>
    <row r="131" spans="1:31" hidden="1" x14ac:dyDescent="0.25"/>
    <row r="132" spans="1:31" hidden="1" x14ac:dyDescent="0.25"/>
    <row r="133" spans="1:31" hidden="1" x14ac:dyDescent="0.25"/>
    <row r="134" spans="1:31" hidden="1" x14ac:dyDescent="0.25"/>
    <row r="135" spans="1:31" hidden="1" x14ac:dyDescent="0.25"/>
    <row r="136" spans="1:31" hidden="1" x14ac:dyDescent="0.25"/>
    <row r="137" spans="1:31" hidden="1" x14ac:dyDescent="0.25"/>
    <row r="138" spans="1:31" hidden="1" x14ac:dyDescent="0.25"/>
    <row r="139" spans="1:31" hidden="1" x14ac:dyDescent="0.25"/>
    <row r="140" spans="1:31" hidden="1" x14ac:dyDescent="0.25"/>
    <row r="141" spans="1:31" hidden="1" x14ac:dyDescent="0.25"/>
    <row r="142" spans="1:31" hidden="1" x14ac:dyDescent="0.25"/>
    <row r="143" spans="1:31" hidden="1" x14ac:dyDescent="0.25"/>
    <row r="144" spans="1:31" hidden="1" x14ac:dyDescent="0.25"/>
    <row r="145" spans="1:3" hidden="1" x14ac:dyDescent="0.25"/>
    <row r="146" spans="1:3" hidden="1" x14ac:dyDescent="0.25"/>
    <row r="147" spans="1:3" hidden="1" x14ac:dyDescent="0.25"/>
    <row r="150" spans="1:3" x14ac:dyDescent="0.25">
      <c r="A150" s="38">
        <f ca="1">SUBTOTAL(3,A2:INDIRECT("a"&amp;A171))</f>
        <v>15</v>
      </c>
      <c r="B150" s="38" t="s">
        <v>579</v>
      </c>
    </row>
    <row r="151" spans="1:3" x14ac:dyDescent="0.25">
      <c r="A151" s="44" t="s">
        <v>587</v>
      </c>
      <c r="B151" s="6"/>
      <c r="C151" s="15" t="s">
        <v>592</v>
      </c>
    </row>
    <row r="152" spans="1:3" ht="18.75" x14ac:dyDescent="0.3">
      <c r="A152" s="6">
        <f ca="1">COUNTA(A2:INDIRECT("a"&amp;A171))</f>
        <v>15</v>
      </c>
      <c r="B152" s="40" t="s">
        <v>599</v>
      </c>
      <c r="C152" s="43"/>
    </row>
    <row r="153" spans="1:3" x14ac:dyDescent="0.25">
      <c r="A153" s="6"/>
      <c r="B153" s="41" t="s">
        <v>584</v>
      </c>
      <c r="C153" s="10">
        <f ca="1">COUNTIFS(V2:INDIRECT("v"&amp;A171),"Red Zone",F2:INDIRECT("f"&amp;A171),"master")</f>
        <v>1</v>
      </c>
    </row>
    <row r="154" spans="1:3" x14ac:dyDescent="0.25">
      <c r="A154" s="6"/>
      <c r="B154" s="41" t="s">
        <v>580</v>
      </c>
      <c r="C154" s="10">
        <f ca="1">COUNTIFS(V2:INDIRECT("v"&amp;A171),"&lt;&gt;Red Zone",F2:INDIRECT("f"&amp;A171),"master")</f>
        <v>1</v>
      </c>
    </row>
    <row r="155" spans="1:3" x14ac:dyDescent="0.25">
      <c r="A155" s="6"/>
      <c r="B155" s="6" t="s">
        <v>585</v>
      </c>
      <c r="C155" s="10">
        <f ca="1">COUNTIF(V2:INDIRECT("v"&amp;A171),"Red Zone")</f>
        <v>11</v>
      </c>
    </row>
    <row r="156" spans="1:3" x14ac:dyDescent="0.25">
      <c r="A156" s="6"/>
      <c r="B156" s="6" t="s">
        <v>581</v>
      </c>
      <c r="C156" s="10">
        <f ca="1">COUNTIF(V2:INDIRECT("v"&amp;A171),"yellow Zone")</f>
        <v>2</v>
      </c>
    </row>
    <row r="157" spans="1:3" x14ac:dyDescent="0.25">
      <c r="A157" s="6"/>
      <c r="B157" s="6" t="s">
        <v>582</v>
      </c>
      <c r="C157" s="10">
        <f ca="1">COUNTIF(V2:INDIRECT("v"&amp;A171),"green Zone")</f>
        <v>0</v>
      </c>
    </row>
    <row r="158" spans="1:3" ht="18.75" x14ac:dyDescent="0.3">
      <c r="A158" s="42">
        <f ca="1">COUNTIFS(K2:INDIRECT("k"&amp;A171),"&lt;&gt;---",K2:INDIRECT("k"&amp;A171),"&lt;&gt;")</f>
        <v>15</v>
      </c>
      <c r="B158" s="40" t="s">
        <v>598</v>
      </c>
      <c r="C158" s="6"/>
    </row>
    <row r="159" spans="1:3" x14ac:dyDescent="0.25">
      <c r="A159" s="6"/>
      <c r="B159" s="41" t="s">
        <v>584</v>
      </c>
      <c r="C159" s="10">
        <f ca="1">COUNTIFS(F2:INDIRECT("f"&amp;A171),"Master",V2:INDIRECT("v"&amp;A171),"Red Zone",K2:INDIRECT("k"&amp;A171),"&lt;&gt;---")</f>
        <v>1</v>
      </c>
    </row>
    <row r="160" spans="1:3" x14ac:dyDescent="0.25">
      <c r="A160" s="6"/>
      <c r="B160" s="41" t="s">
        <v>580</v>
      </c>
      <c r="C160" s="10">
        <f ca="1">COUNTIFS(F2:INDIRECT("f"&amp;A171),"Master",V2:INDIRECT("v"&amp;A171),"&lt;&gt;Red Zone",K2:INDIRECT("k"&amp;A171),"&lt;&gt;---")</f>
        <v>1</v>
      </c>
    </row>
    <row r="161" spans="1:3" x14ac:dyDescent="0.25">
      <c r="A161" s="6"/>
      <c r="B161" s="6" t="s">
        <v>585</v>
      </c>
      <c r="C161" s="10">
        <f ca="1">COUNTIFS(V2:INDIRECT("v"&amp;A171),"Red Zone",K2:INDIRECT("k"&amp;A171),"&lt;&gt;---")</f>
        <v>11</v>
      </c>
    </row>
    <row r="162" spans="1:3" x14ac:dyDescent="0.25">
      <c r="A162" s="6"/>
      <c r="B162" s="16" t="s">
        <v>586</v>
      </c>
      <c r="C162" s="10">
        <f ca="1">COUNTIFS(V2:INDIRECT("v"&amp;A171),"&lt;&gt;Red Zone",K2:INDIRECT("k"&amp;A171),"&lt;&gt;---")</f>
        <v>4</v>
      </c>
    </row>
    <row r="163" spans="1:3" ht="18.75" x14ac:dyDescent="0.3">
      <c r="A163" s="42">
        <f ca="1">COUNTIF(K2:INDIRECT("k"&amp;A171),"*---")</f>
        <v>15</v>
      </c>
      <c r="B163" s="40" t="s">
        <v>600</v>
      </c>
      <c r="C163" s="6"/>
    </row>
    <row r="164" spans="1:3" x14ac:dyDescent="0.25">
      <c r="A164" s="6"/>
      <c r="B164" s="41" t="s">
        <v>584</v>
      </c>
      <c r="C164" s="10">
        <f ca="1">COUNTIFS(F2:INDIRECT("f"&amp;A171),"Master",V2:INDIRECT("v"&amp;A171),"Red Zone",K2:INDIRECT("k"&amp;A171),"---")</f>
        <v>0</v>
      </c>
    </row>
    <row r="165" spans="1:3" x14ac:dyDescent="0.25">
      <c r="A165" s="6"/>
      <c r="B165" s="41" t="s">
        <v>580</v>
      </c>
      <c r="C165" s="10">
        <f ca="1">COUNTIFS(E2:INDIRECT("E"&amp;A171),"Master",W2:INDIRECT("w"&amp;A171),"&lt;&gt;Red Zone",X2:INDIRECT("x"&amp;A171),"---")</f>
        <v>0</v>
      </c>
    </row>
    <row r="166" spans="1:3" x14ac:dyDescent="0.25">
      <c r="A166" s="6"/>
      <c r="B166" s="6" t="s">
        <v>585</v>
      </c>
      <c r="C166" s="10">
        <f ca="1">COUNTIFS(W2:INDIRECT("w"&amp;A171),"Red Zone",X2:INDIRECT("x"&amp;A171),"---")</f>
        <v>0</v>
      </c>
    </row>
    <row r="167" spans="1:3" x14ac:dyDescent="0.25">
      <c r="A167" s="6"/>
      <c r="B167" s="16" t="s">
        <v>586</v>
      </c>
      <c r="C167" s="10">
        <f ca="1">COUNTIFS(W2:INDIRECT("w"&amp;A171),"&lt;&gt;Red Zone",X2:INDIRECT("x"&amp;A171),"---")</f>
        <v>0</v>
      </c>
    </row>
    <row r="168" spans="1:3" x14ac:dyDescent="0.25">
      <c r="A168" s="15" t="s">
        <v>572</v>
      </c>
    </row>
    <row r="171" spans="1:3" x14ac:dyDescent="0.25">
      <c r="A171" s="38">
        <v>16</v>
      </c>
      <c r="B171" s="38" t="s">
        <v>622</v>
      </c>
      <c r="C171" s="22"/>
    </row>
    <row r="172" spans="1:3" x14ac:dyDescent="0.25">
      <c r="C172" s="22"/>
    </row>
  </sheetData>
  <autoFilter ref="A1:AE100"/>
  <hyperlinks>
    <hyperlink ref="A168" r:id="rId1"/>
    <hyperlink ref="C151" location="top" display="Top"/>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8"/>
  <sheetViews>
    <sheetView zoomScale="60" zoomScaleNormal="60" workbookViewId="0">
      <pane ySplit="1" topLeftCell="A2" activePane="bottomLeft" state="frozen"/>
      <selection activeCell="C13" sqref="C13"/>
      <selection pane="bottomLeft" activeCell="C13" sqref="C13"/>
    </sheetView>
  </sheetViews>
  <sheetFormatPr defaultColWidth="12.28515625" defaultRowHeight="15" x14ac:dyDescent="0.25"/>
  <cols>
    <col min="1" max="1" width="12" style="19" customWidth="1"/>
    <col min="2" max="2" width="20.28515625" style="19" customWidth="1"/>
    <col min="3" max="3" width="12" style="19" customWidth="1"/>
    <col min="4" max="4" width="6.5703125" style="19" customWidth="1"/>
    <col min="5" max="5" width="9" style="24" customWidth="1"/>
    <col min="6" max="6" width="58.7109375" style="24" bestFit="1" customWidth="1"/>
    <col min="7" max="7" width="9.5703125" style="19" customWidth="1"/>
    <col min="8" max="8" width="11.5703125" style="19" bestFit="1" customWidth="1"/>
    <col min="9" max="9" width="27.85546875" style="19" customWidth="1"/>
    <col min="10" max="10" width="226.42578125" style="19" bestFit="1" customWidth="1"/>
    <col min="11" max="11" width="12.7109375" style="19" bestFit="1" customWidth="1"/>
    <col min="12" max="12" width="21.28515625" style="19" bestFit="1" customWidth="1"/>
    <col min="13" max="13" width="38.140625" style="19" bestFit="1" customWidth="1"/>
    <col min="14" max="14" width="67.85546875" style="19" bestFit="1" customWidth="1"/>
    <col min="15" max="15" width="14.7109375" style="19" bestFit="1" customWidth="1"/>
    <col min="16" max="16" width="13.28515625" style="19" bestFit="1" customWidth="1"/>
    <col min="17" max="17" width="19.28515625" style="19" bestFit="1" customWidth="1"/>
    <col min="18" max="18" width="14.7109375" style="19" bestFit="1" customWidth="1"/>
    <col min="19" max="19" width="18.7109375" style="19" bestFit="1" customWidth="1"/>
    <col min="20" max="20" width="30.42578125" style="19" bestFit="1" customWidth="1"/>
    <col min="21" max="21" width="18.28515625" style="19" bestFit="1" customWidth="1"/>
    <col min="22" max="22" width="24.28515625" style="19" bestFit="1" customWidth="1"/>
    <col min="23" max="23" width="19.7109375" style="19" bestFit="1" customWidth="1"/>
    <col min="24" max="24" width="17.28515625" style="19" bestFit="1" customWidth="1"/>
    <col min="25" max="25" width="27.140625" style="19" bestFit="1" customWidth="1"/>
    <col min="26" max="26" width="13.42578125" style="19" bestFit="1" customWidth="1"/>
    <col min="27" max="27" width="26.28515625" style="19" bestFit="1" customWidth="1"/>
    <col min="28" max="28" width="17.5703125" style="19" bestFit="1" customWidth="1"/>
    <col min="29" max="29" width="29.28515625" style="19" bestFit="1" customWidth="1"/>
    <col min="30" max="30" width="19.28515625" style="19" bestFit="1" customWidth="1"/>
    <col min="31" max="31" width="23.42578125" style="19" bestFit="1" customWidth="1"/>
    <col min="32" max="32" width="32.5703125" style="19" bestFit="1" customWidth="1"/>
    <col min="33" max="16384" width="12.28515625" style="19"/>
  </cols>
  <sheetData>
    <row r="1" spans="1:34" x14ac:dyDescent="0.25">
      <c r="A1" s="19" t="s">
        <v>188</v>
      </c>
      <c r="B1" s="19" t="s">
        <v>183</v>
      </c>
      <c r="C1" s="19" t="s">
        <v>182</v>
      </c>
      <c r="D1" s="19" t="s">
        <v>169</v>
      </c>
      <c r="E1" s="24" t="s">
        <v>205</v>
      </c>
      <c r="F1" s="24" t="s">
        <v>206</v>
      </c>
      <c r="G1" s="19" t="s">
        <v>156</v>
      </c>
      <c r="H1" s="19" t="s">
        <v>137</v>
      </c>
      <c r="I1" s="19" t="s">
        <v>56</v>
      </c>
      <c r="J1" s="19" t="s">
        <v>57</v>
      </c>
      <c r="K1" s="19" t="s">
        <v>58</v>
      </c>
      <c r="L1" s="19" t="s">
        <v>59</v>
      </c>
      <c r="M1" s="19" t="s">
        <v>60</v>
      </c>
      <c r="N1" s="19" t="s">
        <v>61</v>
      </c>
      <c r="O1" s="19" t="s">
        <v>62</v>
      </c>
      <c r="P1" s="19" t="s">
        <v>63</v>
      </c>
      <c r="Q1" s="19" t="s">
        <v>64</v>
      </c>
      <c r="R1" s="19" t="s">
        <v>65</v>
      </c>
      <c r="S1" s="19" t="s">
        <v>66</v>
      </c>
      <c r="T1" s="19" t="s">
        <v>67</v>
      </c>
      <c r="U1" s="19" t="s">
        <v>68</v>
      </c>
      <c r="V1" s="19" t="s">
        <v>69</v>
      </c>
      <c r="W1" s="19" t="s">
        <v>70</v>
      </c>
      <c r="X1" s="19" t="s">
        <v>71</v>
      </c>
      <c r="Y1" s="19" t="s">
        <v>72</v>
      </c>
      <c r="Z1" s="19" t="s">
        <v>73</v>
      </c>
      <c r="AA1" s="19" t="s">
        <v>74</v>
      </c>
      <c r="AB1" s="19" t="s">
        <v>75</v>
      </c>
      <c r="AC1" s="19" t="s">
        <v>76</v>
      </c>
      <c r="AD1" s="19" t="s">
        <v>77</v>
      </c>
      <c r="AE1" s="19" t="s">
        <v>142</v>
      </c>
    </row>
    <row r="2" spans="1:34" x14ac:dyDescent="0.25">
      <c r="B2" s="19" t="s">
        <v>170</v>
      </c>
      <c r="C2" s="19" t="s">
        <v>170</v>
      </c>
      <c r="D2" s="19" t="s">
        <v>170</v>
      </c>
      <c r="E2" s="24" t="s">
        <v>170</v>
      </c>
      <c r="F2" s="24" t="s">
        <v>212</v>
      </c>
      <c r="G2" s="15" t="str">
        <f t="shared" ref="G2:G42" ca="1" si="0">HYPERLINK(CONCATENATE("https://bugzilla.houston.hp.com:1181/bugzilla/show_bug.cgi?id=",MID(INDIRECT($G$45&amp;ROW()),9,5)),MID(INDIRECT($G$45&amp;ROW()),9,5))</f>
        <v>42454</v>
      </c>
      <c r="H2" s="19">
        <v>60557</v>
      </c>
      <c r="I2" s="19" t="s">
        <v>53</v>
      </c>
      <c r="J2" s="19" t="s">
        <v>87</v>
      </c>
      <c r="K2" s="19" t="s">
        <v>11</v>
      </c>
      <c r="L2" s="19" t="s">
        <v>79</v>
      </c>
      <c r="M2" s="19" t="s">
        <v>80</v>
      </c>
      <c r="N2" s="19" t="s">
        <v>157</v>
      </c>
      <c r="O2" s="20">
        <v>42181.304178240738</v>
      </c>
      <c r="P2" s="19" t="s">
        <v>4</v>
      </c>
      <c r="Q2" s="19" t="s">
        <v>15</v>
      </c>
      <c r="R2" s="20">
        <v>42109.740752314814</v>
      </c>
      <c r="S2" s="19" t="s">
        <v>16</v>
      </c>
      <c r="V2" s="19" t="s">
        <v>17</v>
      </c>
      <c r="W2" s="19" t="s">
        <v>18</v>
      </c>
      <c r="X2" s="19" t="s">
        <v>13</v>
      </c>
      <c r="Y2" s="19" t="s">
        <v>19</v>
      </c>
      <c r="AA2" s="19" t="s">
        <v>9</v>
      </c>
      <c r="AB2" s="19" t="s">
        <v>88</v>
      </c>
      <c r="AC2" s="19" t="s">
        <v>7</v>
      </c>
      <c r="AD2" s="19" t="s">
        <v>81</v>
      </c>
      <c r="AE2" s="19" t="s">
        <v>163</v>
      </c>
      <c r="AF2" s="19" t="s">
        <v>165</v>
      </c>
    </row>
    <row r="3" spans="1:34" x14ac:dyDescent="0.25">
      <c r="A3" s="19" t="s">
        <v>170</v>
      </c>
      <c r="B3" s="19" t="s">
        <v>170</v>
      </c>
      <c r="C3" s="19" t="s">
        <v>170</v>
      </c>
      <c r="D3" s="19" t="s">
        <v>170</v>
      </c>
      <c r="E3" s="24" t="s">
        <v>170</v>
      </c>
      <c r="F3" s="24" t="s">
        <v>216</v>
      </c>
      <c r="G3" s="15" t="str">
        <f t="shared" ca="1" si="0"/>
        <v>57455</v>
      </c>
      <c r="H3" s="19">
        <v>60560</v>
      </c>
      <c r="I3" s="19" t="s">
        <v>32</v>
      </c>
      <c r="J3" s="19" t="s">
        <v>89</v>
      </c>
      <c r="K3" s="19" t="s">
        <v>11</v>
      </c>
      <c r="L3" s="19" t="s">
        <v>79</v>
      </c>
      <c r="M3" s="19" t="s">
        <v>80</v>
      </c>
      <c r="O3" s="20">
        <v>42151.347118055557</v>
      </c>
      <c r="P3" s="19" t="s">
        <v>20</v>
      </c>
      <c r="Q3" s="19" t="s">
        <v>82</v>
      </c>
      <c r="R3" s="20">
        <v>42109.74486111111</v>
      </c>
      <c r="S3" s="19" t="s">
        <v>39</v>
      </c>
      <c r="V3" s="19" t="s">
        <v>17</v>
      </c>
      <c r="W3" s="19" t="s">
        <v>30</v>
      </c>
      <c r="X3" s="19" t="s">
        <v>8</v>
      </c>
      <c r="Y3" s="19" t="s">
        <v>27</v>
      </c>
      <c r="AA3" s="19" t="s">
        <v>9</v>
      </c>
      <c r="AB3" s="19" t="s">
        <v>10</v>
      </c>
      <c r="AC3" s="19" t="s">
        <v>7</v>
      </c>
      <c r="AD3" s="19" t="s">
        <v>81</v>
      </c>
      <c r="AE3" s="19" t="s">
        <v>7</v>
      </c>
      <c r="AF3" s="19" t="s">
        <v>166</v>
      </c>
    </row>
    <row r="4" spans="1:34" x14ac:dyDescent="0.25">
      <c r="A4" s="19" t="s">
        <v>170</v>
      </c>
      <c r="B4" s="19" t="s">
        <v>170</v>
      </c>
      <c r="C4" s="19" t="s">
        <v>170</v>
      </c>
      <c r="D4" s="19" t="s">
        <v>170</v>
      </c>
      <c r="E4" s="24" t="s">
        <v>170</v>
      </c>
      <c r="F4" s="24" t="s">
        <v>218</v>
      </c>
      <c r="G4" s="15" t="str">
        <f t="shared" ca="1" si="0"/>
        <v>59230</v>
      </c>
      <c r="H4" s="19">
        <v>60565</v>
      </c>
      <c r="I4" s="19" t="s">
        <v>33</v>
      </c>
      <c r="J4" s="19" t="s">
        <v>96</v>
      </c>
      <c r="K4" s="19" t="s">
        <v>11</v>
      </c>
      <c r="L4" s="19" t="s">
        <v>79</v>
      </c>
      <c r="M4" s="19" t="s">
        <v>80</v>
      </c>
      <c r="N4" s="19" t="s">
        <v>98</v>
      </c>
      <c r="O4" s="20">
        <v>42166.487743055557</v>
      </c>
      <c r="P4" s="19" t="s">
        <v>20</v>
      </c>
      <c r="Q4" s="19" t="s">
        <v>79</v>
      </c>
      <c r="R4" s="20">
        <v>42109.748171296298</v>
      </c>
      <c r="S4" s="19" t="s">
        <v>5</v>
      </c>
      <c r="V4" s="19" t="s">
        <v>17</v>
      </c>
      <c r="W4" s="19" t="s">
        <v>30</v>
      </c>
      <c r="X4" s="19" t="s">
        <v>13</v>
      </c>
      <c r="Y4" s="19" t="s">
        <v>35</v>
      </c>
      <c r="AA4" s="19" t="s">
        <v>9</v>
      </c>
      <c r="AB4" s="19" t="s">
        <v>10</v>
      </c>
      <c r="AC4" s="19" t="s">
        <v>7</v>
      </c>
      <c r="AD4" s="19" t="s">
        <v>81</v>
      </c>
      <c r="AE4" s="19" t="s">
        <v>7</v>
      </c>
      <c r="AF4" s="19" t="s">
        <v>166</v>
      </c>
    </row>
    <row r="5" spans="1:34" x14ac:dyDescent="0.25">
      <c r="A5" s="19" t="s">
        <v>170</v>
      </c>
      <c r="B5" s="19" t="s">
        <v>170</v>
      </c>
      <c r="C5" s="19" t="s">
        <v>170</v>
      </c>
      <c r="D5" s="19" t="s">
        <v>170</v>
      </c>
      <c r="E5" s="24" t="s">
        <v>170</v>
      </c>
      <c r="F5" s="24" t="s">
        <v>213</v>
      </c>
      <c r="G5" s="15" t="str">
        <f t="shared" ca="1" si="0"/>
        <v>48696</v>
      </c>
      <c r="H5" s="19">
        <v>61076</v>
      </c>
      <c r="I5" s="19" t="s">
        <v>84</v>
      </c>
      <c r="J5" s="19" t="s">
        <v>85</v>
      </c>
      <c r="K5" s="19" t="s">
        <v>2</v>
      </c>
      <c r="L5" s="19" t="s">
        <v>79</v>
      </c>
      <c r="M5" s="19" t="s">
        <v>80</v>
      </c>
      <c r="N5" s="19" t="s">
        <v>86</v>
      </c>
      <c r="O5" s="20">
        <v>42184.039027777777</v>
      </c>
      <c r="P5" s="19" t="s">
        <v>20</v>
      </c>
      <c r="Q5" s="19" t="s">
        <v>3</v>
      </c>
      <c r="R5" s="20">
        <v>42116.453148148146</v>
      </c>
      <c r="S5" s="19" t="s">
        <v>5</v>
      </c>
      <c r="V5" s="19" t="s">
        <v>6</v>
      </c>
      <c r="W5" s="19" t="s">
        <v>7</v>
      </c>
      <c r="X5" s="19" t="s">
        <v>24</v>
      </c>
      <c r="Y5" s="19" t="s">
        <v>31</v>
      </c>
      <c r="AA5" s="19" t="s">
        <v>9</v>
      </c>
      <c r="AB5" s="19" t="s">
        <v>26</v>
      </c>
      <c r="AC5" s="19" t="s">
        <v>7</v>
      </c>
      <c r="AD5" s="19" t="s">
        <v>81</v>
      </c>
      <c r="AE5" s="19" t="s">
        <v>7</v>
      </c>
      <c r="AF5" s="19" t="s">
        <v>168</v>
      </c>
    </row>
    <row r="6" spans="1:34" x14ac:dyDescent="0.25">
      <c r="B6" s="19" t="s">
        <v>170</v>
      </c>
      <c r="C6" s="19" t="s">
        <v>170</v>
      </c>
      <c r="D6" s="19" t="s">
        <v>170</v>
      </c>
      <c r="E6" s="24" t="s">
        <v>170</v>
      </c>
      <c r="F6" s="24" t="s">
        <v>212</v>
      </c>
      <c r="G6" s="15" t="str">
        <f t="shared" ca="1" si="0"/>
        <v>52678</v>
      </c>
      <c r="H6" s="19">
        <v>61077</v>
      </c>
      <c r="I6" s="19" t="s">
        <v>34</v>
      </c>
      <c r="J6" s="19" t="s">
        <v>93</v>
      </c>
      <c r="K6" s="19" t="s">
        <v>2</v>
      </c>
      <c r="L6" s="19" t="s">
        <v>79</v>
      </c>
      <c r="M6" s="19" t="s">
        <v>80</v>
      </c>
      <c r="O6" s="20">
        <v>42179.260347222225</v>
      </c>
      <c r="P6" s="19" t="s">
        <v>20</v>
      </c>
      <c r="Q6" s="19" t="s">
        <v>3</v>
      </c>
      <c r="R6" s="20">
        <v>42116.453344907408</v>
      </c>
      <c r="S6" s="19" t="s">
        <v>5</v>
      </c>
      <c r="V6" s="19" t="s">
        <v>6</v>
      </c>
      <c r="W6" s="19" t="s">
        <v>30</v>
      </c>
      <c r="X6" s="19" t="s">
        <v>24</v>
      </c>
      <c r="Y6" s="19" t="s">
        <v>31</v>
      </c>
      <c r="AA6" s="19" t="s">
        <v>9</v>
      </c>
      <c r="AB6" s="19" t="s">
        <v>10</v>
      </c>
      <c r="AC6" s="19" t="s">
        <v>7</v>
      </c>
      <c r="AD6" s="19" t="s">
        <v>81</v>
      </c>
      <c r="AE6" s="19" t="s">
        <v>7</v>
      </c>
      <c r="AF6" s="19" t="s">
        <v>166</v>
      </c>
    </row>
    <row r="7" spans="1:34" x14ac:dyDescent="0.25">
      <c r="A7" s="19" t="s">
        <v>170</v>
      </c>
      <c r="B7" s="19" t="s">
        <v>170</v>
      </c>
      <c r="C7" s="19" t="s">
        <v>170</v>
      </c>
      <c r="D7" s="19" t="s">
        <v>170</v>
      </c>
      <c r="E7" s="24" t="s">
        <v>170</v>
      </c>
      <c r="F7" s="24" t="s">
        <v>212</v>
      </c>
      <c r="G7" s="15" t="str">
        <f t="shared" ca="1" si="0"/>
        <v>57072</v>
      </c>
      <c r="H7" s="19">
        <v>61079</v>
      </c>
      <c r="I7" s="19" t="s">
        <v>32</v>
      </c>
      <c r="J7" s="19" t="s">
        <v>90</v>
      </c>
      <c r="K7" s="19" t="s">
        <v>2</v>
      </c>
      <c r="L7" s="19" t="s">
        <v>79</v>
      </c>
      <c r="M7" s="19" t="s">
        <v>80</v>
      </c>
      <c r="N7" s="19" t="s">
        <v>91</v>
      </c>
      <c r="O7" s="20">
        <v>42173.359375</v>
      </c>
      <c r="P7" s="19" t="s">
        <v>20</v>
      </c>
      <c r="Q7" s="19" t="s">
        <v>3</v>
      </c>
      <c r="R7" s="20">
        <v>42116.453750000001</v>
      </c>
      <c r="S7" s="19" t="s">
        <v>55</v>
      </c>
      <c r="V7" s="19" t="s">
        <v>6</v>
      </c>
      <c r="W7" s="19" t="s">
        <v>30</v>
      </c>
      <c r="X7" s="19" t="s">
        <v>8</v>
      </c>
      <c r="Y7" s="19" t="s">
        <v>37</v>
      </c>
      <c r="AA7" s="19" t="s">
        <v>9</v>
      </c>
      <c r="AB7" s="19" t="s">
        <v>10</v>
      </c>
      <c r="AC7" s="19" t="s">
        <v>7</v>
      </c>
      <c r="AD7" s="19" t="s">
        <v>81</v>
      </c>
      <c r="AE7" s="19" t="s">
        <v>7</v>
      </c>
      <c r="AF7" s="19" t="s">
        <v>166</v>
      </c>
    </row>
    <row r="8" spans="1:34" x14ac:dyDescent="0.25">
      <c r="B8" s="19" t="s">
        <v>170</v>
      </c>
      <c r="C8" s="19" t="s">
        <v>170</v>
      </c>
      <c r="D8" s="19" t="s">
        <v>170</v>
      </c>
      <c r="E8" s="24" t="s">
        <v>170</v>
      </c>
      <c r="F8" s="24" t="s">
        <v>215</v>
      </c>
      <c r="G8" s="15" t="str">
        <f t="shared" ca="1" si="0"/>
        <v>52552</v>
      </c>
      <c r="H8" s="19">
        <v>61082</v>
      </c>
      <c r="I8" s="19" t="s">
        <v>23</v>
      </c>
      <c r="J8" s="19" t="s">
        <v>92</v>
      </c>
      <c r="K8" s="19" t="s">
        <v>11</v>
      </c>
      <c r="L8" s="19" t="s">
        <v>79</v>
      </c>
      <c r="M8" s="19" t="s">
        <v>80</v>
      </c>
      <c r="N8" s="19" t="s">
        <v>86</v>
      </c>
      <c r="O8" s="20">
        <v>42179.262118055558</v>
      </c>
      <c r="P8" s="19" t="s">
        <v>20</v>
      </c>
      <c r="Q8" s="19" t="s">
        <v>3</v>
      </c>
      <c r="R8" s="20">
        <v>42116.454432870371</v>
      </c>
      <c r="S8" s="19" t="s">
        <v>5</v>
      </c>
      <c r="V8" s="19" t="s">
        <v>17</v>
      </c>
      <c r="W8" s="19" t="s">
        <v>7</v>
      </c>
      <c r="X8" s="19" t="s">
        <v>24</v>
      </c>
      <c r="Y8" s="19" t="s">
        <v>46</v>
      </c>
      <c r="AA8" s="19" t="s">
        <v>9</v>
      </c>
      <c r="AB8" s="19" t="s">
        <v>10</v>
      </c>
      <c r="AC8" s="19" t="s">
        <v>43</v>
      </c>
      <c r="AD8" s="19" t="s">
        <v>81</v>
      </c>
      <c r="AE8" s="19" t="s">
        <v>7</v>
      </c>
      <c r="AF8" s="19" t="s">
        <v>166</v>
      </c>
    </row>
    <row r="9" spans="1:34" x14ac:dyDescent="0.25">
      <c r="B9" s="19" t="s">
        <v>170</v>
      </c>
      <c r="C9" s="19" t="s">
        <v>170</v>
      </c>
      <c r="D9" s="19" t="s">
        <v>170</v>
      </c>
      <c r="E9" s="24" t="s">
        <v>170</v>
      </c>
      <c r="F9" s="24" t="s">
        <v>217</v>
      </c>
      <c r="G9" s="15" t="str">
        <f t="shared" ca="1" si="0"/>
        <v>58079</v>
      </c>
      <c r="H9" s="19">
        <v>61083</v>
      </c>
      <c r="I9" s="19" t="s">
        <v>28</v>
      </c>
      <c r="J9" s="19" t="s">
        <v>95</v>
      </c>
      <c r="K9" s="19" t="s">
        <v>2</v>
      </c>
      <c r="L9" s="19" t="s">
        <v>79</v>
      </c>
      <c r="M9" s="19" t="s">
        <v>80</v>
      </c>
      <c r="N9" s="19" t="s">
        <v>86</v>
      </c>
      <c r="O9" s="20">
        <v>42179.260833333334</v>
      </c>
      <c r="P9" s="19" t="s">
        <v>20</v>
      </c>
      <c r="Q9" s="19" t="s">
        <v>3</v>
      </c>
      <c r="R9" s="20">
        <v>42116.454814814817</v>
      </c>
      <c r="S9" s="19" t="s">
        <v>39</v>
      </c>
      <c r="V9" s="19" t="s">
        <v>6</v>
      </c>
      <c r="W9" s="19" t="s">
        <v>30</v>
      </c>
      <c r="X9" s="19" t="s">
        <v>13</v>
      </c>
      <c r="Y9" s="19" t="s">
        <v>19</v>
      </c>
      <c r="AA9" s="19" t="s">
        <v>9</v>
      </c>
      <c r="AB9" s="19" t="s">
        <v>10</v>
      </c>
      <c r="AC9" s="19" t="s">
        <v>7</v>
      </c>
      <c r="AD9" s="19" t="s">
        <v>81</v>
      </c>
      <c r="AE9" s="19" t="s">
        <v>7</v>
      </c>
      <c r="AF9" s="19" t="s">
        <v>166</v>
      </c>
    </row>
    <row r="10" spans="1:34" x14ac:dyDescent="0.25">
      <c r="A10" s="19" t="s">
        <v>170</v>
      </c>
      <c r="B10" s="19" t="s">
        <v>170</v>
      </c>
      <c r="C10" s="19" t="s">
        <v>170</v>
      </c>
      <c r="D10" s="19" t="s">
        <v>170</v>
      </c>
      <c r="E10" s="24" t="s">
        <v>170</v>
      </c>
      <c r="F10" s="24" t="s">
        <v>214</v>
      </c>
      <c r="G10" s="15" t="str">
        <f t="shared" ca="1" si="0"/>
        <v>50470</v>
      </c>
      <c r="H10" s="19">
        <v>61246</v>
      </c>
      <c r="I10" s="19" t="s">
        <v>41</v>
      </c>
      <c r="J10" s="19" t="s">
        <v>94</v>
      </c>
      <c r="K10" s="19" t="s">
        <v>2</v>
      </c>
      <c r="L10" s="19" t="s">
        <v>79</v>
      </c>
      <c r="M10" s="19" t="s">
        <v>80</v>
      </c>
      <c r="O10" s="20">
        <v>42156.614560185182</v>
      </c>
      <c r="P10" s="19" t="s">
        <v>20</v>
      </c>
      <c r="Q10" s="19" t="s">
        <v>3</v>
      </c>
      <c r="R10" s="20">
        <v>42118.339432870373</v>
      </c>
      <c r="S10" s="19" t="s">
        <v>5</v>
      </c>
      <c r="V10" s="19" t="s">
        <v>6</v>
      </c>
      <c r="W10" s="19" t="s">
        <v>30</v>
      </c>
      <c r="X10" s="19" t="s">
        <v>13</v>
      </c>
      <c r="Y10" s="19" t="s">
        <v>19</v>
      </c>
      <c r="AA10" s="19" t="s">
        <v>9</v>
      </c>
      <c r="AB10" s="19" t="s">
        <v>26</v>
      </c>
      <c r="AC10" s="19" t="s">
        <v>7</v>
      </c>
      <c r="AD10" s="19" t="s">
        <v>81</v>
      </c>
      <c r="AE10" s="19" t="s">
        <v>7</v>
      </c>
      <c r="AF10" s="19" t="s">
        <v>166</v>
      </c>
    </row>
    <row r="11" spans="1:34" x14ac:dyDescent="0.25">
      <c r="B11" s="19" t="s">
        <v>170</v>
      </c>
      <c r="C11" s="19" t="s">
        <v>170</v>
      </c>
      <c r="D11" s="19" t="s">
        <v>170</v>
      </c>
      <c r="E11" s="24" t="s">
        <v>196</v>
      </c>
      <c r="G11" s="15" t="str">
        <f t="shared" ca="1" si="0"/>
        <v>51093</v>
      </c>
      <c r="H11" s="19">
        <v>61250</v>
      </c>
      <c r="I11" s="19" t="s">
        <v>38</v>
      </c>
      <c r="J11" s="19" t="s">
        <v>255</v>
      </c>
      <c r="K11" s="19" t="s">
        <v>11</v>
      </c>
      <c r="L11" s="19" t="s">
        <v>79</v>
      </c>
      <c r="M11" s="19" t="s">
        <v>80</v>
      </c>
      <c r="O11" s="20">
        <v>42240.724606481483</v>
      </c>
      <c r="P11" s="19" t="s">
        <v>144</v>
      </c>
      <c r="Q11" s="19" t="s">
        <v>3</v>
      </c>
      <c r="R11" s="20">
        <v>42118.340543981481</v>
      </c>
      <c r="S11" s="19" t="s">
        <v>22</v>
      </c>
      <c r="V11" s="19" t="s">
        <v>17</v>
      </c>
      <c r="W11" s="19" t="s">
        <v>30</v>
      </c>
      <c r="X11" s="19" t="s">
        <v>13</v>
      </c>
      <c r="Y11" s="19" t="s">
        <v>19</v>
      </c>
      <c r="AA11" s="19" t="s">
        <v>9</v>
      </c>
      <c r="AB11" s="19" t="s">
        <v>26</v>
      </c>
      <c r="AC11" s="19" t="s">
        <v>7</v>
      </c>
      <c r="AD11" s="19" t="s">
        <v>81</v>
      </c>
      <c r="AE11" s="19" t="s">
        <v>7</v>
      </c>
      <c r="AF11" s="19" t="s">
        <v>166</v>
      </c>
      <c r="AG11" s="19" t="s">
        <v>7</v>
      </c>
      <c r="AH11" s="19" t="s">
        <v>7</v>
      </c>
    </row>
    <row r="12" spans="1:34" x14ac:dyDescent="0.25">
      <c r="A12" s="19" t="s">
        <v>170</v>
      </c>
      <c r="B12" s="19" t="s">
        <v>170</v>
      </c>
      <c r="C12" s="19" t="s">
        <v>170</v>
      </c>
      <c r="D12" s="19" t="s">
        <v>170</v>
      </c>
      <c r="E12" s="24" t="s">
        <v>170</v>
      </c>
      <c r="F12" s="24" t="s">
        <v>219</v>
      </c>
      <c r="G12" s="15" t="str">
        <f t="shared" ca="1" si="0"/>
        <v>61897</v>
      </c>
      <c r="H12" s="19">
        <v>61913</v>
      </c>
      <c r="I12" s="19" t="s">
        <v>32</v>
      </c>
      <c r="J12" s="19" t="s">
        <v>147</v>
      </c>
      <c r="K12" s="19" t="s">
        <v>2</v>
      </c>
      <c r="L12" s="19" t="s">
        <v>79</v>
      </c>
      <c r="M12" s="19" t="s">
        <v>80</v>
      </c>
      <c r="O12" s="20">
        <v>42158.335717592592</v>
      </c>
      <c r="P12" s="19" t="s">
        <v>144</v>
      </c>
      <c r="Q12" s="19" t="s">
        <v>3</v>
      </c>
      <c r="R12" s="20">
        <v>42130.516365740739</v>
      </c>
      <c r="S12" s="19" t="s">
        <v>39</v>
      </c>
      <c r="V12" s="19" t="s">
        <v>6</v>
      </c>
      <c r="W12" s="19" t="s">
        <v>30</v>
      </c>
      <c r="X12" s="19" t="s">
        <v>8</v>
      </c>
      <c r="Y12" s="19" t="s">
        <v>27</v>
      </c>
      <c r="AA12" s="19" t="s">
        <v>9</v>
      </c>
      <c r="AB12" s="19" t="s">
        <v>10</v>
      </c>
      <c r="AC12" s="19" t="s">
        <v>43</v>
      </c>
      <c r="AD12" s="19" t="s">
        <v>81</v>
      </c>
      <c r="AE12" s="19" t="s">
        <v>7</v>
      </c>
      <c r="AF12" s="19" t="s">
        <v>166</v>
      </c>
    </row>
    <row r="13" spans="1:34" x14ac:dyDescent="0.25">
      <c r="A13" s="19" t="s">
        <v>170</v>
      </c>
      <c r="B13" s="19" t="s">
        <v>170</v>
      </c>
      <c r="C13" s="19" t="s">
        <v>170</v>
      </c>
      <c r="D13" s="19" t="s">
        <v>170</v>
      </c>
      <c r="F13" s="24" t="s">
        <v>236</v>
      </c>
      <c r="G13" s="15" t="str">
        <f t="shared" ca="1" si="0"/>
        <v>61184</v>
      </c>
      <c r="H13" s="19">
        <v>62224</v>
      </c>
      <c r="I13" s="19" t="s">
        <v>21</v>
      </c>
      <c r="J13" s="19" t="s">
        <v>155</v>
      </c>
      <c r="K13" s="19" t="s">
        <v>2</v>
      </c>
      <c r="L13" s="19" t="s">
        <v>79</v>
      </c>
      <c r="M13" s="19" t="s">
        <v>97</v>
      </c>
      <c r="N13" s="19" t="s">
        <v>99</v>
      </c>
      <c r="O13" s="20">
        <v>42173.361284722225</v>
      </c>
      <c r="P13" s="19" t="s">
        <v>4</v>
      </c>
      <c r="Q13" s="19" t="s">
        <v>79</v>
      </c>
      <c r="R13" s="20">
        <v>42136.329282407409</v>
      </c>
      <c r="S13" s="19" t="s">
        <v>22</v>
      </c>
      <c r="V13" s="19" t="s">
        <v>6</v>
      </c>
      <c r="W13" s="19" t="s">
        <v>30</v>
      </c>
      <c r="X13" s="19" t="s">
        <v>8</v>
      </c>
      <c r="Y13" s="19" t="s">
        <v>140</v>
      </c>
      <c r="AA13" s="19" t="s">
        <v>9</v>
      </c>
      <c r="AB13" s="19" t="s">
        <v>10</v>
      </c>
      <c r="AC13" s="19" t="s">
        <v>158</v>
      </c>
      <c r="AD13" s="19" t="s">
        <v>81</v>
      </c>
      <c r="AE13" s="19" t="s">
        <v>7</v>
      </c>
      <c r="AF13" s="19" t="s">
        <v>166</v>
      </c>
    </row>
    <row r="14" spans="1:34" x14ac:dyDescent="0.25">
      <c r="B14" s="19" t="s">
        <v>170</v>
      </c>
      <c r="C14" s="19" t="s">
        <v>170</v>
      </c>
      <c r="D14" s="19" t="s">
        <v>170</v>
      </c>
      <c r="F14" s="24" t="s">
        <v>221</v>
      </c>
      <c r="G14" s="15" t="str">
        <f t="shared" ca="1" si="0"/>
        <v>62843</v>
      </c>
      <c r="H14" s="19">
        <v>62848</v>
      </c>
      <c r="I14" s="19" t="s">
        <v>25</v>
      </c>
      <c r="J14" s="19" t="s">
        <v>185</v>
      </c>
      <c r="K14" s="19" t="s">
        <v>11</v>
      </c>
      <c r="L14" s="19" t="s">
        <v>79</v>
      </c>
      <c r="M14" s="19" t="s">
        <v>80</v>
      </c>
      <c r="O14" s="20">
        <v>42195.337812500002</v>
      </c>
      <c r="P14" s="19" t="s">
        <v>144</v>
      </c>
      <c r="Q14" s="19" t="s">
        <v>79</v>
      </c>
      <c r="R14" s="20">
        <v>42146.516724537039</v>
      </c>
      <c r="S14" s="19" t="s">
        <v>186</v>
      </c>
      <c r="V14" s="19" t="s">
        <v>12</v>
      </c>
      <c r="W14" s="19" t="s">
        <v>30</v>
      </c>
      <c r="X14" s="19" t="s">
        <v>8</v>
      </c>
      <c r="Y14" s="19" t="s">
        <v>187</v>
      </c>
      <c r="AA14" s="19" t="s">
        <v>48</v>
      </c>
      <c r="AB14" s="19" t="s">
        <v>10</v>
      </c>
      <c r="AC14" s="19" t="s">
        <v>7</v>
      </c>
      <c r="AD14" s="19" t="s">
        <v>81</v>
      </c>
      <c r="AE14" s="19" t="s">
        <v>7</v>
      </c>
      <c r="AF14" s="19" t="s">
        <v>167</v>
      </c>
    </row>
    <row r="15" spans="1:34" x14ac:dyDescent="0.25">
      <c r="B15" s="19" t="s">
        <v>170</v>
      </c>
      <c r="C15" s="19" t="s">
        <v>170</v>
      </c>
      <c r="D15" s="19" t="s">
        <v>170</v>
      </c>
      <c r="F15" s="24" t="s">
        <v>222</v>
      </c>
      <c r="G15" s="15" t="str">
        <f t="shared" ca="1" si="0"/>
        <v>63194</v>
      </c>
      <c r="H15" s="19">
        <v>63195</v>
      </c>
      <c r="I15" s="19" t="s">
        <v>41</v>
      </c>
      <c r="J15" s="19" t="s">
        <v>132</v>
      </c>
      <c r="K15" s="19" t="s">
        <v>2</v>
      </c>
      <c r="L15" s="19" t="s">
        <v>79</v>
      </c>
      <c r="M15" s="19" t="s">
        <v>80</v>
      </c>
      <c r="N15" s="19" t="s">
        <v>148</v>
      </c>
      <c r="O15" s="20">
        <v>42181.303368055553</v>
      </c>
      <c r="P15" s="19" t="s">
        <v>20</v>
      </c>
      <c r="Q15" s="19" t="s">
        <v>79</v>
      </c>
      <c r="R15" s="20">
        <v>42153.756840277776</v>
      </c>
      <c r="S15" s="19" t="s">
        <v>22</v>
      </c>
      <c r="V15" s="19" t="s">
        <v>6</v>
      </c>
      <c r="W15" s="19" t="s">
        <v>30</v>
      </c>
      <c r="X15" s="19" t="s">
        <v>13</v>
      </c>
      <c r="Y15" s="19" t="s">
        <v>19</v>
      </c>
      <c r="AA15" s="19" t="s">
        <v>9</v>
      </c>
      <c r="AB15" s="19" t="s">
        <v>10</v>
      </c>
      <c r="AC15" s="19" t="s">
        <v>7</v>
      </c>
      <c r="AD15" s="19" t="s">
        <v>81</v>
      </c>
      <c r="AE15" s="19" t="s">
        <v>7</v>
      </c>
      <c r="AF15" s="19" t="s">
        <v>167</v>
      </c>
    </row>
    <row r="16" spans="1:34" x14ac:dyDescent="0.25">
      <c r="A16" s="19" t="s">
        <v>170</v>
      </c>
      <c r="B16" s="19" t="s">
        <v>170</v>
      </c>
      <c r="C16" s="19" t="s">
        <v>170</v>
      </c>
      <c r="D16" s="19" t="s">
        <v>170</v>
      </c>
      <c r="F16" s="24" t="s">
        <v>223</v>
      </c>
      <c r="G16" s="15" t="str">
        <f t="shared" ca="1" si="0"/>
        <v>63227</v>
      </c>
      <c r="H16" s="19">
        <v>63248</v>
      </c>
      <c r="I16" s="19" t="s">
        <v>28</v>
      </c>
      <c r="J16" s="19" t="s">
        <v>150</v>
      </c>
      <c r="K16" s="19" t="s">
        <v>11</v>
      </c>
      <c r="L16" s="19" t="s">
        <v>79</v>
      </c>
      <c r="M16" s="19" t="s">
        <v>80</v>
      </c>
      <c r="O16" s="20">
        <v>42172.641585648147</v>
      </c>
      <c r="P16" s="19" t="s">
        <v>20</v>
      </c>
      <c r="Q16" s="19" t="s">
        <v>79</v>
      </c>
      <c r="R16" s="20">
        <v>42156.306250000001</v>
      </c>
      <c r="S16" s="19" t="s">
        <v>5</v>
      </c>
      <c r="V16" s="19" t="s">
        <v>12</v>
      </c>
      <c r="W16" s="19" t="s">
        <v>30</v>
      </c>
      <c r="X16" s="19" t="s">
        <v>13</v>
      </c>
      <c r="Y16" s="19" t="s">
        <v>19</v>
      </c>
      <c r="AA16" s="19" t="s">
        <v>9</v>
      </c>
      <c r="AB16" s="19" t="s">
        <v>10</v>
      </c>
      <c r="AC16" s="19" t="s">
        <v>7</v>
      </c>
      <c r="AD16" s="19" t="s">
        <v>81</v>
      </c>
      <c r="AE16" s="19" t="s">
        <v>7</v>
      </c>
      <c r="AF16" s="19" t="s">
        <v>166</v>
      </c>
    </row>
    <row r="17" spans="2:34" x14ac:dyDescent="0.25">
      <c r="B17" s="19" t="s">
        <v>170</v>
      </c>
      <c r="C17" s="19" t="s">
        <v>170</v>
      </c>
      <c r="D17" s="19" t="s">
        <v>170</v>
      </c>
      <c r="F17" s="24" t="s">
        <v>219</v>
      </c>
      <c r="G17" s="15" t="str">
        <f t="shared" ca="1" si="0"/>
        <v>63278</v>
      </c>
      <c r="H17" s="19">
        <v>63280</v>
      </c>
      <c r="I17" s="19" t="s">
        <v>28</v>
      </c>
      <c r="J17" s="19" t="s">
        <v>145</v>
      </c>
      <c r="K17" s="19" t="s">
        <v>2</v>
      </c>
      <c r="L17" s="19" t="s">
        <v>79</v>
      </c>
      <c r="M17" s="19" t="s">
        <v>80</v>
      </c>
      <c r="O17" s="20">
        <v>42172.635000000002</v>
      </c>
      <c r="P17" s="19" t="s">
        <v>20</v>
      </c>
      <c r="Q17" s="19" t="s">
        <v>3</v>
      </c>
      <c r="R17" s="20">
        <v>42156.537164351852</v>
      </c>
      <c r="S17" s="19" t="s">
        <v>16</v>
      </c>
      <c r="V17" s="19" t="s">
        <v>17</v>
      </c>
      <c r="W17" s="19" t="s">
        <v>30</v>
      </c>
      <c r="X17" s="19" t="s">
        <v>13</v>
      </c>
      <c r="Y17" s="19" t="s">
        <v>19</v>
      </c>
      <c r="AA17" s="19" t="s">
        <v>9</v>
      </c>
      <c r="AB17" s="19" t="s">
        <v>10</v>
      </c>
      <c r="AC17" s="19" t="s">
        <v>7</v>
      </c>
      <c r="AD17" s="19" t="s">
        <v>81</v>
      </c>
      <c r="AE17" s="19" t="s">
        <v>7</v>
      </c>
      <c r="AF17" s="19" t="s">
        <v>166</v>
      </c>
    </row>
    <row r="18" spans="2:34" x14ac:dyDescent="0.25">
      <c r="B18" s="19" t="s">
        <v>170</v>
      </c>
      <c r="C18" s="19" t="s">
        <v>170</v>
      </c>
      <c r="D18" s="19" t="s">
        <v>170</v>
      </c>
      <c r="F18" s="24" t="s">
        <v>224</v>
      </c>
      <c r="G18" s="15" t="str">
        <f t="shared" ca="1" si="0"/>
        <v>63347</v>
      </c>
      <c r="H18" s="19">
        <v>63360</v>
      </c>
      <c r="I18" s="19" t="s">
        <v>41</v>
      </c>
      <c r="J18" s="19" t="s">
        <v>151</v>
      </c>
      <c r="K18" s="19" t="s">
        <v>2</v>
      </c>
      <c r="L18" s="19" t="s">
        <v>79</v>
      </c>
      <c r="M18" s="19" t="s">
        <v>80</v>
      </c>
      <c r="O18" s="20">
        <v>42172.628981481481</v>
      </c>
      <c r="P18" s="19" t="s">
        <v>20</v>
      </c>
      <c r="Q18" s="19" t="s">
        <v>152</v>
      </c>
      <c r="R18" s="20">
        <v>42158.017060185186</v>
      </c>
      <c r="S18" s="19" t="s">
        <v>100</v>
      </c>
      <c r="V18" s="19" t="s">
        <v>6</v>
      </c>
      <c r="W18" s="19" t="s">
        <v>30</v>
      </c>
      <c r="X18" s="19" t="s">
        <v>13</v>
      </c>
      <c r="Y18" s="19" t="s">
        <v>19</v>
      </c>
      <c r="AA18" s="19" t="s">
        <v>9</v>
      </c>
      <c r="AB18" s="19" t="s">
        <v>10</v>
      </c>
      <c r="AC18" s="19" t="s">
        <v>7</v>
      </c>
      <c r="AD18" s="19" t="s">
        <v>81</v>
      </c>
      <c r="AE18" s="19" t="s">
        <v>7</v>
      </c>
      <c r="AF18" s="19" t="s">
        <v>166</v>
      </c>
    </row>
    <row r="19" spans="2:34" s="24" customFormat="1" x14ac:dyDescent="0.25">
      <c r="B19" s="24" t="s">
        <v>170</v>
      </c>
      <c r="C19" s="24" t="s">
        <v>170</v>
      </c>
      <c r="D19" s="24" t="s">
        <v>170</v>
      </c>
      <c r="F19" s="24" t="s">
        <v>225</v>
      </c>
      <c r="G19" s="15" t="str">
        <f t="shared" ca="1" si="0"/>
        <v>63480</v>
      </c>
      <c r="H19" s="24">
        <v>63528</v>
      </c>
      <c r="I19" s="24" t="s">
        <v>53</v>
      </c>
      <c r="J19" s="24" t="s">
        <v>154</v>
      </c>
      <c r="K19" s="24" t="s">
        <v>11</v>
      </c>
      <c r="L19" s="24" t="s">
        <v>79</v>
      </c>
      <c r="M19" s="24" t="s">
        <v>80</v>
      </c>
      <c r="O19" s="25">
        <v>42178.225648148145</v>
      </c>
      <c r="P19" s="24" t="s">
        <v>20</v>
      </c>
      <c r="Q19" s="24" t="s">
        <v>3</v>
      </c>
      <c r="R19" s="25">
        <v>42160.408842592595</v>
      </c>
      <c r="S19" s="24" t="s">
        <v>16</v>
      </c>
      <c r="V19" s="24" t="s">
        <v>17</v>
      </c>
      <c r="W19" s="24" t="s">
        <v>30</v>
      </c>
      <c r="X19" s="24" t="s">
        <v>13</v>
      </c>
      <c r="Y19" s="24" t="s">
        <v>19</v>
      </c>
      <c r="AA19" s="24" t="s">
        <v>54</v>
      </c>
      <c r="AB19" s="24" t="s">
        <v>10</v>
      </c>
      <c r="AC19" s="24" t="s">
        <v>7</v>
      </c>
      <c r="AD19" s="24" t="s">
        <v>81</v>
      </c>
      <c r="AE19" s="24" t="s">
        <v>7</v>
      </c>
      <c r="AF19" s="24" t="s">
        <v>166</v>
      </c>
    </row>
    <row r="20" spans="2:34" s="24" customFormat="1" x14ac:dyDescent="0.25">
      <c r="B20" s="24" t="s">
        <v>170</v>
      </c>
      <c r="C20" s="24" t="s">
        <v>170</v>
      </c>
      <c r="D20" s="24" t="s">
        <v>170</v>
      </c>
      <c r="F20" s="24" t="s">
        <v>249</v>
      </c>
      <c r="G20" s="15" t="str">
        <f t="shared" ca="1" si="0"/>
        <v>64077</v>
      </c>
      <c r="H20" s="24">
        <v>64079</v>
      </c>
      <c r="I20" s="24" t="s">
        <v>84</v>
      </c>
      <c r="J20" s="24" t="s">
        <v>233</v>
      </c>
      <c r="K20" s="24" t="s">
        <v>2</v>
      </c>
      <c r="L20" s="24" t="s">
        <v>79</v>
      </c>
      <c r="M20" s="24" t="s">
        <v>80</v>
      </c>
      <c r="O20" s="25">
        <v>42223.414641203701</v>
      </c>
      <c r="P20" s="24" t="s">
        <v>144</v>
      </c>
      <c r="Q20" s="24" t="s">
        <v>79</v>
      </c>
      <c r="R20" s="25">
        <v>42170.586701388886</v>
      </c>
      <c r="S20" s="24" t="s">
        <v>22</v>
      </c>
      <c r="V20" s="24" t="s">
        <v>12</v>
      </c>
      <c r="W20" s="24" t="s">
        <v>30</v>
      </c>
      <c r="X20" s="24" t="s">
        <v>8</v>
      </c>
      <c r="Y20" s="24" t="s">
        <v>116</v>
      </c>
      <c r="AA20" s="24" t="s">
        <v>9</v>
      </c>
      <c r="AB20" s="24" t="s">
        <v>10</v>
      </c>
      <c r="AC20" s="24" t="s">
        <v>7</v>
      </c>
      <c r="AD20" s="24" t="s">
        <v>81</v>
      </c>
      <c r="AE20" s="24" t="s">
        <v>7</v>
      </c>
      <c r="AF20" s="24" t="s">
        <v>166</v>
      </c>
    </row>
    <row r="21" spans="2:34" x14ac:dyDescent="0.25">
      <c r="B21" s="19" t="s">
        <v>170</v>
      </c>
      <c r="C21" s="19" t="s">
        <v>170</v>
      </c>
      <c r="D21" s="19" t="s">
        <v>170</v>
      </c>
      <c r="F21" s="24" t="s">
        <v>232</v>
      </c>
      <c r="G21" s="15" t="str">
        <f t="shared" ca="1" si="0"/>
        <v>64221</v>
      </c>
      <c r="H21" s="19">
        <v>64223</v>
      </c>
      <c r="I21" s="19" t="s">
        <v>40</v>
      </c>
      <c r="J21" s="19" t="s">
        <v>161</v>
      </c>
      <c r="K21" s="19" t="s">
        <v>2</v>
      </c>
      <c r="L21" s="19" t="s">
        <v>79</v>
      </c>
      <c r="M21" s="19" t="s">
        <v>80</v>
      </c>
      <c r="O21" s="20">
        <v>42193.321342592593</v>
      </c>
      <c r="P21" s="19" t="s">
        <v>20</v>
      </c>
      <c r="Q21" s="19" t="s">
        <v>79</v>
      </c>
      <c r="R21" s="20">
        <v>42172.453125</v>
      </c>
      <c r="S21" s="19" t="s">
        <v>22</v>
      </c>
      <c r="V21" s="19" t="s">
        <v>6</v>
      </c>
      <c r="W21" s="19" t="s">
        <v>30</v>
      </c>
      <c r="X21" s="19" t="s">
        <v>13</v>
      </c>
      <c r="Y21" s="19" t="s">
        <v>19</v>
      </c>
      <c r="AA21" s="19" t="s">
        <v>48</v>
      </c>
      <c r="AB21" s="19" t="s">
        <v>10</v>
      </c>
      <c r="AC21" s="19" t="s">
        <v>7</v>
      </c>
      <c r="AD21" s="19" t="s">
        <v>81</v>
      </c>
      <c r="AE21" s="19" t="s">
        <v>7</v>
      </c>
      <c r="AF21" s="19" t="s">
        <v>166</v>
      </c>
    </row>
    <row r="22" spans="2:34" x14ac:dyDescent="0.25">
      <c r="B22" s="19" t="s">
        <v>170</v>
      </c>
      <c r="C22" s="19" t="s">
        <v>170</v>
      </c>
      <c r="D22" s="19" t="s">
        <v>170</v>
      </c>
      <c r="F22" s="24" t="s">
        <v>228</v>
      </c>
      <c r="G22" s="15" t="str">
        <f t="shared" ca="1" si="0"/>
        <v>64245</v>
      </c>
      <c r="H22" s="19">
        <v>64247</v>
      </c>
      <c r="I22" s="19" t="s">
        <v>33</v>
      </c>
      <c r="J22" s="19" t="s">
        <v>162</v>
      </c>
      <c r="K22" s="19" t="s">
        <v>11</v>
      </c>
      <c r="L22" s="19" t="s">
        <v>79</v>
      </c>
      <c r="M22" s="19" t="s">
        <v>80</v>
      </c>
      <c r="O22" s="20">
        <v>42192.540023148147</v>
      </c>
      <c r="P22" s="19" t="s">
        <v>20</v>
      </c>
      <c r="Q22" s="19" t="s">
        <v>79</v>
      </c>
      <c r="R22" s="20">
        <v>42172.671284722222</v>
      </c>
      <c r="S22" s="19" t="s">
        <v>153</v>
      </c>
      <c r="V22" s="19" t="s">
        <v>12</v>
      </c>
      <c r="W22" s="19" t="s">
        <v>30</v>
      </c>
      <c r="X22" s="19" t="s">
        <v>8</v>
      </c>
      <c r="Y22" s="19" t="s">
        <v>116</v>
      </c>
      <c r="AA22" s="19" t="s">
        <v>9</v>
      </c>
      <c r="AB22" s="19" t="s">
        <v>10</v>
      </c>
      <c r="AC22" s="19" t="s">
        <v>7</v>
      </c>
      <c r="AD22" s="19" t="s">
        <v>81</v>
      </c>
      <c r="AE22" s="19" t="s">
        <v>7</v>
      </c>
      <c r="AF22" s="19" t="s">
        <v>167</v>
      </c>
    </row>
    <row r="23" spans="2:34" x14ac:dyDescent="0.25">
      <c r="B23" s="19" t="s">
        <v>170</v>
      </c>
      <c r="C23" s="19" t="s">
        <v>170</v>
      </c>
      <c r="D23" s="19" t="s">
        <v>170</v>
      </c>
      <c r="F23" s="24" t="s">
        <v>220</v>
      </c>
      <c r="G23" s="15" t="str">
        <f t="shared" ca="1" si="0"/>
        <v>57761</v>
      </c>
      <c r="H23" s="19">
        <v>64333</v>
      </c>
      <c r="I23" s="19" t="s">
        <v>28</v>
      </c>
      <c r="J23" s="19" t="s">
        <v>164</v>
      </c>
      <c r="K23" s="19" t="s">
        <v>2</v>
      </c>
      <c r="L23" s="19" t="s">
        <v>79</v>
      </c>
      <c r="M23" s="19" t="s">
        <v>80</v>
      </c>
      <c r="O23" s="20">
        <v>42184.309374999997</v>
      </c>
      <c r="P23" s="19" t="s">
        <v>20</v>
      </c>
      <c r="Q23" s="19" t="s">
        <v>3</v>
      </c>
      <c r="R23" s="20">
        <v>42174.400312500002</v>
      </c>
      <c r="S23" s="19" t="s">
        <v>55</v>
      </c>
      <c r="T23" s="19" t="s">
        <v>16</v>
      </c>
      <c r="V23" s="19" t="s">
        <v>6</v>
      </c>
      <c r="W23" s="19" t="s">
        <v>30</v>
      </c>
      <c r="X23" s="19" t="s">
        <v>13</v>
      </c>
      <c r="Y23" s="19" t="s">
        <v>101</v>
      </c>
      <c r="AA23" s="19" t="s">
        <v>48</v>
      </c>
      <c r="AB23" s="19" t="s">
        <v>10</v>
      </c>
      <c r="AC23" s="19" t="s">
        <v>7</v>
      </c>
      <c r="AD23" s="19" t="s">
        <v>81</v>
      </c>
      <c r="AE23" s="19" t="s">
        <v>7</v>
      </c>
      <c r="AF23" s="19" t="s">
        <v>167</v>
      </c>
    </row>
    <row r="24" spans="2:34" x14ac:dyDescent="0.25">
      <c r="B24" s="19" t="s">
        <v>170</v>
      </c>
      <c r="C24" s="19" t="s">
        <v>170</v>
      </c>
      <c r="D24" s="19" t="s">
        <v>170</v>
      </c>
      <c r="F24" s="24" t="s">
        <v>230</v>
      </c>
      <c r="G24" s="15" t="str">
        <f t="shared" ca="1" si="0"/>
        <v>65346</v>
      </c>
      <c r="H24" s="19">
        <v>65354</v>
      </c>
      <c r="I24" s="19" t="s">
        <v>149</v>
      </c>
      <c r="J24" s="19" t="s">
        <v>189</v>
      </c>
      <c r="K24" s="19" t="s">
        <v>11</v>
      </c>
      <c r="L24" s="19" t="s">
        <v>79</v>
      </c>
      <c r="M24" s="19" t="s">
        <v>80</v>
      </c>
      <c r="O24" s="20">
        <v>42208.87636574074</v>
      </c>
      <c r="P24" s="19" t="s">
        <v>4</v>
      </c>
      <c r="Q24" s="19" t="s">
        <v>82</v>
      </c>
      <c r="R24" s="20">
        <v>42195.547500000001</v>
      </c>
      <c r="S24" s="19" t="s">
        <v>16</v>
      </c>
      <c r="V24" s="19" t="s">
        <v>17</v>
      </c>
      <c r="W24" s="19" t="s">
        <v>30</v>
      </c>
      <c r="X24" s="19" t="s">
        <v>13</v>
      </c>
      <c r="Y24" s="19" t="s">
        <v>19</v>
      </c>
      <c r="AA24" s="19" t="s">
        <v>48</v>
      </c>
      <c r="AB24" s="19" t="s">
        <v>10</v>
      </c>
      <c r="AC24" s="19" t="s">
        <v>7</v>
      </c>
      <c r="AD24" s="19" t="s">
        <v>81</v>
      </c>
      <c r="AE24" s="19" t="s">
        <v>7</v>
      </c>
      <c r="AF24" s="19" t="s">
        <v>167</v>
      </c>
    </row>
    <row r="25" spans="2:34" x14ac:dyDescent="0.25">
      <c r="B25" s="19" t="s">
        <v>170</v>
      </c>
      <c r="C25" s="19" t="s">
        <v>170</v>
      </c>
      <c r="D25" s="19" t="s">
        <v>170</v>
      </c>
      <c r="F25" s="24" t="s">
        <v>229</v>
      </c>
      <c r="G25" s="15" t="str">
        <f t="shared" ca="1" si="0"/>
        <v>65204</v>
      </c>
      <c r="H25" s="24">
        <v>65441</v>
      </c>
      <c r="I25" s="24" t="s">
        <v>21</v>
      </c>
      <c r="J25" s="24" t="s">
        <v>191</v>
      </c>
      <c r="K25" s="24" t="s">
        <v>11</v>
      </c>
      <c r="L25" s="24" t="s">
        <v>79</v>
      </c>
      <c r="M25" s="24" t="s">
        <v>80</v>
      </c>
      <c r="N25" s="24"/>
      <c r="O25" s="25">
        <v>42199.325162037036</v>
      </c>
      <c r="P25" s="24" t="s">
        <v>20</v>
      </c>
      <c r="Q25" s="24" t="s">
        <v>79</v>
      </c>
      <c r="R25" s="25">
        <v>42198.492395833331</v>
      </c>
      <c r="S25" s="24" t="s">
        <v>29</v>
      </c>
      <c r="T25" s="24"/>
      <c r="U25" s="24"/>
      <c r="V25" s="24" t="s">
        <v>17</v>
      </c>
      <c r="W25" s="24" t="s">
        <v>30</v>
      </c>
      <c r="X25" s="24" t="s">
        <v>8</v>
      </c>
      <c r="Y25" s="24" t="s">
        <v>140</v>
      </c>
      <c r="Z25" s="24"/>
      <c r="AA25" s="24" t="s">
        <v>9</v>
      </c>
      <c r="AB25" s="24" t="s">
        <v>10</v>
      </c>
      <c r="AC25" s="24" t="s">
        <v>7</v>
      </c>
      <c r="AD25" s="24" t="s">
        <v>81</v>
      </c>
      <c r="AE25" s="24" t="s">
        <v>7</v>
      </c>
      <c r="AF25" s="24" t="s">
        <v>166</v>
      </c>
    </row>
    <row r="26" spans="2:34" x14ac:dyDescent="0.25">
      <c r="B26" s="19" t="s">
        <v>170</v>
      </c>
      <c r="C26" s="19" t="s">
        <v>170</v>
      </c>
      <c r="D26" s="19" t="s">
        <v>170</v>
      </c>
      <c r="F26" s="24" t="s">
        <v>235</v>
      </c>
      <c r="G26" s="15" t="str">
        <f t="shared" ca="1" si="0"/>
        <v>64168</v>
      </c>
      <c r="H26" s="24">
        <v>65690</v>
      </c>
      <c r="I26" s="24" t="s">
        <v>23</v>
      </c>
      <c r="J26" s="24" t="s">
        <v>193</v>
      </c>
      <c r="K26" s="24" t="s">
        <v>11</v>
      </c>
      <c r="L26" s="24" t="s">
        <v>79</v>
      </c>
      <c r="M26" s="24" t="s">
        <v>80</v>
      </c>
      <c r="N26" s="24"/>
      <c r="O26" s="25">
        <v>42202.290509259263</v>
      </c>
      <c r="P26" s="24" t="s">
        <v>20</v>
      </c>
      <c r="Q26" s="24" t="s">
        <v>3</v>
      </c>
      <c r="R26" s="25">
        <v>42202.290509259263</v>
      </c>
      <c r="S26" s="24" t="s">
        <v>114</v>
      </c>
      <c r="T26" s="24" t="s">
        <v>192</v>
      </c>
      <c r="U26" s="24" t="s">
        <v>52</v>
      </c>
      <c r="V26" s="24" t="s">
        <v>17</v>
      </c>
      <c r="W26" s="24" t="s">
        <v>30</v>
      </c>
      <c r="X26" s="24" t="s">
        <v>24</v>
      </c>
      <c r="Y26" s="24" t="s">
        <v>46</v>
      </c>
      <c r="Z26" s="24"/>
      <c r="AA26" s="24" t="s">
        <v>48</v>
      </c>
      <c r="AB26" s="24" t="s">
        <v>10</v>
      </c>
      <c r="AC26" s="24" t="s">
        <v>7</v>
      </c>
      <c r="AD26" s="24" t="s">
        <v>81</v>
      </c>
      <c r="AE26" s="24" t="s">
        <v>7</v>
      </c>
      <c r="AF26" s="24" t="s">
        <v>167</v>
      </c>
    </row>
    <row r="27" spans="2:34" x14ac:dyDescent="0.25">
      <c r="B27" s="19" t="s">
        <v>170</v>
      </c>
      <c r="C27" s="19" t="s">
        <v>170</v>
      </c>
      <c r="D27" s="19" t="s">
        <v>170</v>
      </c>
      <c r="E27" s="24" t="s">
        <v>196</v>
      </c>
      <c r="G27" s="15" t="str">
        <f t="shared" ca="1" si="0"/>
        <v>65660</v>
      </c>
      <c r="H27" s="24">
        <v>65763</v>
      </c>
      <c r="I27" s="24" t="s">
        <v>260</v>
      </c>
      <c r="J27" s="24" t="s">
        <v>261</v>
      </c>
      <c r="K27" s="24" t="s">
        <v>2</v>
      </c>
      <c r="L27" s="24" t="s">
        <v>79</v>
      </c>
      <c r="M27" s="24" t="s">
        <v>80</v>
      </c>
      <c r="N27" s="24"/>
      <c r="O27" s="25">
        <v>42240.722812499997</v>
      </c>
      <c r="P27" s="24" t="s">
        <v>4</v>
      </c>
      <c r="Q27" s="24" t="s">
        <v>79</v>
      </c>
      <c r="R27" s="25">
        <v>42205.328796296293</v>
      </c>
      <c r="S27" s="24" t="s">
        <v>29</v>
      </c>
      <c r="T27" s="24"/>
      <c r="U27" s="24"/>
      <c r="V27" s="24" t="s">
        <v>6</v>
      </c>
      <c r="W27" s="24" t="s">
        <v>30</v>
      </c>
      <c r="X27" s="24" t="s">
        <v>13</v>
      </c>
      <c r="Y27" s="24" t="s">
        <v>19</v>
      </c>
      <c r="Z27" s="24"/>
      <c r="AA27" s="24" t="s">
        <v>9</v>
      </c>
      <c r="AB27" s="24" t="s">
        <v>10</v>
      </c>
      <c r="AC27" s="24" t="s">
        <v>7</v>
      </c>
      <c r="AD27" s="24" t="s">
        <v>81</v>
      </c>
      <c r="AE27" s="24" t="s">
        <v>7</v>
      </c>
      <c r="AF27" s="24" t="s">
        <v>166</v>
      </c>
      <c r="AG27" s="19" t="s">
        <v>7</v>
      </c>
      <c r="AH27" s="19" t="s">
        <v>7</v>
      </c>
    </row>
    <row r="28" spans="2:34" x14ac:dyDescent="0.25">
      <c r="C28" s="19" t="s">
        <v>170</v>
      </c>
      <c r="F28" s="24" t="s">
        <v>248</v>
      </c>
      <c r="G28" s="15" t="str">
        <f t="shared" ca="1" si="0"/>
        <v>66573</v>
      </c>
      <c r="H28" s="24">
        <v>66576</v>
      </c>
      <c r="I28" s="24" t="s">
        <v>194</v>
      </c>
      <c r="J28" s="24" t="s">
        <v>234</v>
      </c>
      <c r="K28" s="24" t="s">
        <v>11</v>
      </c>
      <c r="L28" s="24" t="s">
        <v>79</v>
      </c>
      <c r="M28" s="24" t="s">
        <v>80</v>
      </c>
      <c r="N28" s="24"/>
      <c r="O28" s="25">
        <v>42223.805532407408</v>
      </c>
      <c r="P28" s="24" t="s">
        <v>20</v>
      </c>
      <c r="Q28" s="24" t="s">
        <v>79</v>
      </c>
      <c r="R28" s="25">
        <v>42220.712812500002</v>
      </c>
      <c r="S28" s="24" t="s">
        <v>29</v>
      </c>
      <c r="T28" s="24"/>
      <c r="U28" s="24"/>
      <c r="V28" s="24" t="s">
        <v>17</v>
      </c>
      <c r="W28" s="24" t="s">
        <v>30</v>
      </c>
      <c r="X28" s="24" t="s">
        <v>13</v>
      </c>
      <c r="Y28" s="24" t="s">
        <v>195</v>
      </c>
      <c r="Z28" s="24"/>
      <c r="AA28" s="24" t="s">
        <v>48</v>
      </c>
      <c r="AB28" s="24" t="s">
        <v>10</v>
      </c>
      <c r="AC28" s="24" t="s">
        <v>43</v>
      </c>
      <c r="AD28" s="24" t="s">
        <v>81</v>
      </c>
      <c r="AE28" s="24" t="s">
        <v>7</v>
      </c>
      <c r="AF28" s="24" t="s">
        <v>166</v>
      </c>
    </row>
    <row r="29" spans="2:34" s="24" customFormat="1" x14ac:dyDescent="0.25">
      <c r="B29" s="24" t="s">
        <v>170</v>
      </c>
      <c r="C29" s="24" t="s">
        <v>170</v>
      </c>
      <c r="D29" s="24" t="s">
        <v>170</v>
      </c>
      <c r="G29" s="15" t="str">
        <f t="shared" ca="1" si="0"/>
        <v>55159</v>
      </c>
      <c r="H29" s="24">
        <v>66631</v>
      </c>
      <c r="I29" s="24" t="s">
        <v>38</v>
      </c>
      <c r="J29" s="24" t="s">
        <v>238</v>
      </c>
      <c r="K29" s="24" t="s">
        <v>11</v>
      </c>
      <c r="L29" s="24" t="s">
        <v>79</v>
      </c>
      <c r="M29" s="24" t="s">
        <v>80</v>
      </c>
      <c r="O29" s="25">
        <v>42222.314791666664</v>
      </c>
      <c r="P29" s="24" t="s">
        <v>20</v>
      </c>
      <c r="Q29" s="24" t="s">
        <v>3</v>
      </c>
      <c r="R29" s="25">
        <v>42221.481898148151</v>
      </c>
      <c r="S29" s="24" t="s">
        <v>29</v>
      </c>
      <c r="V29" s="24" t="s">
        <v>17</v>
      </c>
      <c r="W29" s="24" t="s">
        <v>30</v>
      </c>
      <c r="X29" s="24" t="s">
        <v>13</v>
      </c>
      <c r="Y29" s="24" t="s">
        <v>19</v>
      </c>
      <c r="AA29" s="24" t="s">
        <v>9</v>
      </c>
      <c r="AB29" s="24" t="s">
        <v>10</v>
      </c>
      <c r="AC29" s="24" t="s">
        <v>43</v>
      </c>
      <c r="AD29" s="24" t="s">
        <v>81</v>
      </c>
      <c r="AE29" s="24" t="s">
        <v>7</v>
      </c>
      <c r="AF29" s="24" t="s">
        <v>166</v>
      </c>
    </row>
    <row r="30" spans="2:34" s="24" customFormat="1" x14ac:dyDescent="0.25">
      <c r="B30" s="24" t="s">
        <v>170</v>
      </c>
      <c r="C30" s="24" t="s">
        <v>170</v>
      </c>
      <c r="D30" s="24" t="s">
        <v>170</v>
      </c>
      <c r="G30" s="15" t="str">
        <f t="shared" ca="1" si="0"/>
        <v>66713</v>
      </c>
      <c r="H30" s="24">
        <v>66727</v>
      </c>
      <c r="I30" s="24" t="s">
        <v>28</v>
      </c>
      <c r="J30" s="24" t="s">
        <v>240</v>
      </c>
      <c r="K30" s="24" t="s">
        <v>11</v>
      </c>
      <c r="L30" s="24" t="s">
        <v>79</v>
      </c>
      <c r="M30" s="24" t="s">
        <v>80</v>
      </c>
      <c r="O30" s="25">
        <v>42226.32372685185</v>
      </c>
      <c r="P30" s="24" t="s">
        <v>20</v>
      </c>
      <c r="Q30" s="24" t="s">
        <v>82</v>
      </c>
      <c r="R30" s="25">
        <v>42223.018923611111</v>
      </c>
      <c r="S30" s="24" t="s">
        <v>16</v>
      </c>
      <c r="V30" s="24" t="s">
        <v>17</v>
      </c>
      <c r="W30" s="24" t="s">
        <v>30</v>
      </c>
      <c r="X30" s="24" t="s">
        <v>13</v>
      </c>
      <c r="Y30" s="24" t="s">
        <v>239</v>
      </c>
      <c r="AA30" s="24" t="s">
        <v>48</v>
      </c>
      <c r="AB30" s="24" t="s">
        <v>10</v>
      </c>
      <c r="AC30" s="24" t="s">
        <v>43</v>
      </c>
      <c r="AD30" s="24" t="s">
        <v>81</v>
      </c>
      <c r="AE30" s="24" t="s">
        <v>7</v>
      </c>
      <c r="AF30" s="24" t="s">
        <v>166</v>
      </c>
    </row>
    <row r="31" spans="2:34" s="24" customFormat="1" x14ac:dyDescent="0.25">
      <c r="B31" s="24" t="s">
        <v>170</v>
      </c>
      <c r="C31" s="24" t="s">
        <v>170</v>
      </c>
      <c r="D31" s="24" t="s">
        <v>170</v>
      </c>
      <c r="E31" s="24" t="s">
        <v>196</v>
      </c>
      <c r="G31" s="15" t="str">
        <f t="shared" ca="1" si="0"/>
        <v>67034</v>
      </c>
      <c r="H31" s="24">
        <v>67042</v>
      </c>
      <c r="I31" s="24" t="s">
        <v>160</v>
      </c>
      <c r="J31" s="24" t="s">
        <v>254</v>
      </c>
      <c r="K31" s="24" t="s">
        <v>11</v>
      </c>
      <c r="L31" s="24" t="s">
        <v>79</v>
      </c>
      <c r="M31" s="24" t="s">
        <v>80</v>
      </c>
      <c r="O31" s="25">
        <v>42241.300405092596</v>
      </c>
      <c r="P31" s="24" t="s">
        <v>20</v>
      </c>
      <c r="Q31" s="24" t="s">
        <v>79</v>
      </c>
      <c r="R31" s="25">
        <v>42229.519328703704</v>
      </c>
      <c r="S31" s="24" t="s">
        <v>39</v>
      </c>
      <c r="V31" s="24" t="s">
        <v>12</v>
      </c>
      <c r="W31" s="24" t="s">
        <v>30</v>
      </c>
      <c r="X31" s="24" t="s">
        <v>13</v>
      </c>
      <c r="Y31" s="24" t="s">
        <v>19</v>
      </c>
      <c r="AA31" s="24" t="s">
        <v>9</v>
      </c>
      <c r="AB31" s="24" t="s">
        <v>10</v>
      </c>
      <c r="AC31" s="24" t="s">
        <v>7</v>
      </c>
      <c r="AD31" s="24" t="s">
        <v>81</v>
      </c>
      <c r="AE31" s="24" t="s">
        <v>7</v>
      </c>
      <c r="AF31" s="24" t="s">
        <v>166</v>
      </c>
      <c r="AG31" s="24" t="s">
        <v>7</v>
      </c>
      <c r="AH31" s="24" t="s">
        <v>7</v>
      </c>
    </row>
    <row r="32" spans="2:34" s="24" customFormat="1" x14ac:dyDescent="0.25">
      <c r="B32" s="24" t="s">
        <v>170</v>
      </c>
      <c r="C32" s="24" t="s">
        <v>170</v>
      </c>
      <c r="D32" s="24" t="s">
        <v>170</v>
      </c>
      <c r="E32" s="24" t="s">
        <v>196</v>
      </c>
      <c r="G32" s="15" t="str">
        <f t="shared" ca="1" si="0"/>
        <v>67131</v>
      </c>
      <c r="H32" s="24">
        <v>67219</v>
      </c>
      <c r="I32" s="24" t="s">
        <v>84</v>
      </c>
      <c r="J32" s="24" t="s">
        <v>256</v>
      </c>
      <c r="K32" s="24" t="s">
        <v>2</v>
      </c>
      <c r="L32" s="24" t="s">
        <v>79</v>
      </c>
      <c r="M32" s="24" t="s">
        <v>80</v>
      </c>
      <c r="O32" s="25">
        <v>42240.720405092594</v>
      </c>
      <c r="P32" s="24" t="s">
        <v>20</v>
      </c>
      <c r="Q32" s="24" t="s">
        <v>79</v>
      </c>
      <c r="R32" s="25">
        <v>42233.546944444446</v>
      </c>
      <c r="S32" s="24" t="s">
        <v>22</v>
      </c>
      <c r="V32" s="24" t="s">
        <v>17</v>
      </c>
      <c r="W32" s="24" t="s">
        <v>30</v>
      </c>
      <c r="X32" s="24" t="s">
        <v>8</v>
      </c>
      <c r="Y32" s="24" t="s">
        <v>116</v>
      </c>
      <c r="AA32" s="24" t="s">
        <v>9</v>
      </c>
      <c r="AB32" s="24" t="s">
        <v>10</v>
      </c>
      <c r="AC32" s="24" t="s">
        <v>7</v>
      </c>
      <c r="AD32" s="24" t="s">
        <v>81</v>
      </c>
      <c r="AE32" s="24" t="s">
        <v>7</v>
      </c>
      <c r="AF32" s="24" t="s">
        <v>166</v>
      </c>
      <c r="AG32" s="24" t="s">
        <v>7</v>
      </c>
      <c r="AH32" s="24" t="s">
        <v>7</v>
      </c>
    </row>
    <row r="33" spans="2:34" s="24" customFormat="1" x14ac:dyDescent="0.25">
      <c r="B33" s="24" t="s">
        <v>170</v>
      </c>
      <c r="C33" s="24" t="s">
        <v>170</v>
      </c>
      <c r="D33" s="24" t="s">
        <v>170</v>
      </c>
      <c r="E33" s="24" t="s">
        <v>196</v>
      </c>
      <c r="G33" s="15" t="str">
        <f t="shared" ca="1" si="0"/>
        <v>67242</v>
      </c>
      <c r="H33" s="24">
        <v>67250</v>
      </c>
      <c r="I33" s="24" t="s">
        <v>41</v>
      </c>
      <c r="J33" s="24" t="s">
        <v>257</v>
      </c>
      <c r="K33" s="24" t="s">
        <v>2</v>
      </c>
      <c r="L33" s="24" t="s">
        <v>79</v>
      </c>
      <c r="M33" s="24" t="s">
        <v>80</v>
      </c>
      <c r="O33" s="25">
        <v>42240.720289351855</v>
      </c>
      <c r="P33" s="24" t="s">
        <v>20</v>
      </c>
      <c r="Q33" s="24" t="s">
        <v>152</v>
      </c>
      <c r="R33" s="25">
        <v>42234.019467592596</v>
      </c>
      <c r="S33" s="24" t="s">
        <v>16</v>
      </c>
      <c r="V33" s="24" t="s">
        <v>6</v>
      </c>
      <c r="W33" s="24" t="s">
        <v>30</v>
      </c>
      <c r="X33" s="24" t="s">
        <v>13</v>
      </c>
      <c r="Y33" s="24" t="s">
        <v>239</v>
      </c>
      <c r="AA33" s="24" t="s">
        <v>9</v>
      </c>
      <c r="AB33" s="24" t="s">
        <v>10</v>
      </c>
      <c r="AC33" s="24" t="s">
        <v>7</v>
      </c>
      <c r="AD33" s="24" t="s">
        <v>81</v>
      </c>
      <c r="AE33" s="24" t="s">
        <v>7</v>
      </c>
      <c r="AF33" s="24" t="s">
        <v>166</v>
      </c>
      <c r="AG33" s="24" t="s">
        <v>7</v>
      </c>
      <c r="AH33" s="24" t="s">
        <v>7</v>
      </c>
    </row>
    <row r="34" spans="2:34" s="24" customFormat="1" x14ac:dyDescent="0.25">
      <c r="B34" s="24" t="s">
        <v>170</v>
      </c>
      <c r="C34" s="24" t="s">
        <v>270</v>
      </c>
      <c r="D34" s="24" t="s">
        <v>170</v>
      </c>
      <c r="E34" s="24" t="s">
        <v>196</v>
      </c>
      <c r="G34" s="15" t="str">
        <f t="shared" ca="1" si="0"/>
        <v>67608</v>
      </c>
      <c r="H34" s="24">
        <v>67613</v>
      </c>
      <c r="I34" s="24" t="s">
        <v>28</v>
      </c>
      <c r="J34" s="24" t="s">
        <v>262</v>
      </c>
      <c r="K34" s="24" t="s">
        <v>2</v>
      </c>
      <c r="L34" s="24" t="s">
        <v>79</v>
      </c>
      <c r="M34" s="24" t="s">
        <v>80</v>
      </c>
      <c r="O34" s="25">
        <v>42240.313981481479</v>
      </c>
      <c r="P34" s="24" t="s">
        <v>20</v>
      </c>
      <c r="Q34" s="24" t="s">
        <v>82</v>
      </c>
      <c r="R34" s="25">
        <v>42238.019421296296</v>
      </c>
      <c r="S34" s="24" t="s">
        <v>16</v>
      </c>
      <c r="V34" s="24" t="s">
        <v>6</v>
      </c>
      <c r="W34" s="24" t="s">
        <v>30</v>
      </c>
      <c r="X34" s="24" t="s">
        <v>13</v>
      </c>
      <c r="Y34" s="24" t="s">
        <v>239</v>
      </c>
      <c r="AA34" s="24" t="s">
        <v>48</v>
      </c>
      <c r="AB34" s="24" t="s">
        <v>10</v>
      </c>
      <c r="AC34" s="24" t="s">
        <v>7</v>
      </c>
      <c r="AD34" s="24" t="s">
        <v>81</v>
      </c>
      <c r="AE34" s="24" t="s">
        <v>7</v>
      </c>
      <c r="AF34" s="24" t="s">
        <v>166</v>
      </c>
      <c r="AG34" s="24" t="s">
        <v>7</v>
      </c>
      <c r="AH34" s="24" t="s">
        <v>7</v>
      </c>
    </row>
    <row r="35" spans="2:34" s="24" customFormat="1" x14ac:dyDescent="0.25">
      <c r="B35" s="24" t="s">
        <v>170</v>
      </c>
      <c r="C35" s="24" t="s">
        <v>170</v>
      </c>
      <c r="D35" s="24" t="s">
        <v>170</v>
      </c>
      <c r="G35" s="15" t="str">
        <f t="shared" ca="1" si="0"/>
        <v>67747</v>
      </c>
      <c r="H35" s="24">
        <v>67752</v>
      </c>
      <c r="I35" s="24" t="s">
        <v>38</v>
      </c>
      <c r="J35" s="24" t="s">
        <v>263</v>
      </c>
      <c r="K35" s="24" t="s">
        <v>11</v>
      </c>
      <c r="L35" s="24" t="s">
        <v>79</v>
      </c>
      <c r="M35" s="24" t="s">
        <v>80</v>
      </c>
      <c r="O35" s="25">
        <v>42242.726863425924</v>
      </c>
      <c r="P35" s="24" t="s">
        <v>20</v>
      </c>
      <c r="Q35" s="24" t="s">
        <v>3</v>
      </c>
      <c r="R35" s="25">
        <v>42241.635775462964</v>
      </c>
      <c r="S35" s="24" t="s">
        <v>16</v>
      </c>
      <c r="V35" s="24" t="s">
        <v>17</v>
      </c>
      <c r="W35" s="24" t="s">
        <v>30</v>
      </c>
      <c r="X35" s="24" t="s">
        <v>13</v>
      </c>
      <c r="Y35" s="24" t="s">
        <v>19</v>
      </c>
      <c r="AA35" s="24" t="s">
        <v>48</v>
      </c>
      <c r="AB35" s="24" t="s">
        <v>10</v>
      </c>
      <c r="AC35" s="24" t="s">
        <v>7</v>
      </c>
      <c r="AD35" s="24" t="s">
        <v>81</v>
      </c>
      <c r="AE35" s="24" t="s">
        <v>7</v>
      </c>
      <c r="AF35" s="24" t="s">
        <v>166</v>
      </c>
      <c r="AG35" s="24" t="s">
        <v>7</v>
      </c>
      <c r="AH35" s="24" t="s">
        <v>7</v>
      </c>
    </row>
    <row r="36" spans="2:34" s="24" customFormat="1" x14ac:dyDescent="0.25">
      <c r="B36" s="24" t="s">
        <v>170</v>
      </c>
      <c r="C36" s="24" t="s">
        <v>170</v>
      </c>
      <c r="D36" s="24" t="s">
        <v>170</v>
      </c>
      <c r="G36" s="15" t="str">
        <f t="shared" ca="1" si="0"/>
        <v>67772</v>
      </c>
      <c r="H36" s="24">
        <v>67775</v>
      </c>
      <c r="I36" s="24" t="s">
        <v>84</v>
      </c>
      <c r="J36" s="24" t="s">
        <v>264</v>
      </c>
      <c r="K36" s="24" t="s">
        <v>2</v>
      </c>
      <c r="L36" s="24" t="s">
        <v>79</v>
      </c>
      <c r="M36" s="24" t="s">
        <v>259</v>
      </c>
      <c r="O36" s="25">
        <v>42242.703263888892</v>
      </c>
      <c r="P36" s="24" t="s">
        <v>20</v>
      </c>
      <c r="Q36" s="24" t="s">
        <v>79</v>
      </c>
      <c r="R36" s="25">
        <v>42241.741631944446</v>
      </c>
      <c r="S36" s="24" t="s">
        <v>22</v>
      </c>
      <c r="V36" s="24" t="s">
        <v>17</v>
      </c>
      <c r="W36" s="24" t="s">
        <v>30</v>
      </c>
      <c r="X36" s="24" t="s">
        <v>8</v>
      </c>
      <c r="Y36" s="24" t="s">
        <v>37</v>
      </c>
      <c r="AA36" s="24" t="s">
        <v>48</v>
      </c>
      <c r="AB36" s="24" t="s">
        <v>10</v>
      </c>
      <c r="AC36" s="24" t="s">
        <v>7</v>
      </c>
      <c r="AD36" s="24" t="s">
        <v>81</v>
      </c>
      <c r="AE36" s="24" t="s">
        <v>268</v>
      </c>
      <c r="AF36" s="24" t="s">
        <v>203</v>
      </c>
      <c r="AG36" s="24" t="s">
        <v>7</v>
      </c>
      <c r="AH36" s="24" t="s">
        <v>7</v>
      </c>
    </row>
    <row r="37" spans="2:34" s="24" customFormat="1" x14ac:dyDescent="0.25">
      <c r="B37" s="24" t="s">
        <v>170</v>
      </c>
      <c r="C37" s="24" t="s">
        <v>170</v>
      </c>
      <c r="D37" s="24" t="s">
        <v>170</v>
      </c>
      <c r="F37" s="24">
        <v>60559</v>
      </c>
      <c r="G37" s="15" t="str">
        <f t="shared" ca="1" si="0"/>
        <v>67816</v>
      </c>
      <c r="H37" s="24">
        <v>67847</v>
      </c>
      <c r="I37" s="24" t="s">
        <v>36</v>
      </c>
      <c r="J37" s="24" t="s">
        <v>266</v>
      </c>
      <c r="K37" s="24" t="s">
        <v>2</v>
      </c>
      <c r="L37" s="24" t="s">
        <v>79</v>
      </c>
      <c r="M37" s="24" t="s">
        <v>80</v>
      </c>
      <c r="O37" s="25">
        <v>42242.500844907408</v>
      </c>
      <c r="P37" s="24" t="s">
        <v>20</v>
      </c>
      <c r="Q37" s="24" t="s">
        <v>82</v>
      </c>
      <c r="R37" s="25">
        <v>42242.361608796295</v>
      </c>
      <c r="S37" s="24" t="s">
        <v>16</v>
      </c>
      <c r="V37" s="24" t="s">
        <v>17</v>
      </c>
      <c r="W37" s="24" t="s">
        <v>267</v>
      </c>
      <c r="X37" s="24" t="s">
        <v>24</v>
      </c>
      <c r="Y37" s="24" t="s">
        <v>45</v>
      </c>
      <c r="AA37" s="24" t="s">
        <v>48</v>
      </c>
      <c r="AB37" s="24" t="s">
        <v>10</v>
      </c>
      <c r="AC37" s="24" t="s">
        <v>43</v>
      </c>
      <c r="AD37" s="24" t="s">
        <v>81</v>
      </c>
      <c r="AE37" s="24" t="s">
        <v>7</v>
      </c>
      <c r="AF37" s="24" t="s">
        <v>166</v>
      </c>
      <c r="AG37" s="24" t="s">
        <v>7</v>
      </c>
      <c r="AH37" s="24" t="s">
        <v>7</v>
      </c>
    </row>
    <row r="38" spans="2:34" s="24" customFormat="1" x14ac:dyDescent="0.25">
      <c r="B38" s="24" t="s">
        <v>170</v>
      </c>
      <c r="C38" s="24" t="s">
        <v>170</v>
      </c>
      <c r="D38" s="24" t="s">
        <v>196</v>
      </c>
      <c r="F38" s="24" t="s">
        <v>271</v>
      </c>
      <c r="G38" s="15" t="str">
        <f t="shared" ca="1" si="0"/>
        <v>67873</v>
      </c>
      <c r="H38" s="24">
        <v>67891</v>
      </c>
      <c r="I38" s="24" t="s">
        <v>38</v>
      </c>
      <c r="J38" s="24" t="s">
        <v>269</v>
      </c>
      <c r="K38" s="24" t="s">
        <v>11</v>
      </c>
      <c r="L38" s="24" t="s">
        <v>79</v>
      </c>
      <c r="M38" s="24" t="s">
        <v>80</v>
      </c>
      <c r="O38" s="25">
        <v>42243.321423611109</v>
      </c>
      <c r="P38" s="24" t="s">
        <v>20</v>
      </c>
      <c r="Q38" s="24" t="s">
        <v>79</v>
      </c>
      <c r="R38" s="25">
        <v>42243.019571759258</v>
      </c>
      <c r="S38" s="24" t="s">
        <v>29</v>
      </c>
      <c r="V38" s="24" t="s">
        <v>12</v>
      </c>
      <c r="W38" s="24" t="s">
        <v>30</v>
      </c>
      <c r="X38" s="24" t="s">
        <v>13</v>
      </c>
      <c r="Y38" s="24" t="s">
        <v>19</v>
      </c>
      <c r="AA38" s="24" t="s">
        <v>48</v>
      </c>
      <c r="AB38" s="24" t="s">
        <v>10</v>
      </c>
      <c r="AC38" s="24" t="s">
        <v>7</v>
      </c>
      <c r="AD38" s="24" t="s">
        <v>81</v>
      </c>
      <c r="AE38" s="24" t="s">
        <v>7</v>
      </c>
      <c r="AF38" s="24" t="s">
        <v>167</v>
      </c>
      <c r="AG38" s="24" t="s">
        <v>7</v>
      </c>
      <c r="AH38" s="24" t="s">
        <v>7</v>
      </c>
    </row>
    <row r="39" spans="2:34" s="24" customFormat="1" x14ac:dyDescent="0.25">
      <c r="G39" s="15" t="str">
        <f t="shared" ca="1" si="0"/>
        <v/>
      </c>
      <c r="O39" s="25"/>
      <c r="R39" s="25"/>
    </row>
    <row r="40" spans="2:34" s="24" customFormat="1" x14ac:dyDescent="0.25">
      <c r="G40" s="15" t="str">
        <f t="shared" ca="1" si="0"/>
        <v/>
      </c>
      <c r="O40" s="25"/>
      <c r="R40" s="25"/>
    </row>
    <row r="41" spans="2:34" s="24" customFormat="1" x14ac:dyDescent="0.25">
      <c r="G41" s="15" t="str">
        <f t="shared" ca="1" si="0"/>
        <v/>
      </c>
      <c r="O41" s="25"/>
      <c r="R41" s="25"/>
    </row>
    <row r="42" spans="2:34" s="24" customFormat="1" x14ac:dyDescent="0.25">
      <c r="G42" s="15" t="str">
        <f t="shared" ca="1" si="0"/>
        <v/>
      </c>
      <c r="O42" s="25"/>
      <c r="R42" s="25"/>
    </row>
    <row r="43" spans="2:34" s="24" customFormat="1" x14ac:dyDescent="0.25">
      <c r="G43" s="15"/>
      <c r="O43" s="25"/>
      <c r="R43" s="25"/>
    </row>
    <row r="44" spans="2:34" x14ac:dyDescent="0.25">
      <c r="F44" s="24" t="s">
        <v>244</v>
      </c>
      <c r="H44" s="19">
        <v>62237</v>
      </c>
      <c r="I44" s="19" t="s">
        <v>242</v>
      </c>
      <c r="J44" s="19" t="s">
        <v>243</v>
      </c>
      <c r="K44" s="19" t="s">
        <v>2</v>
      </c>
      <c r="L44" s="19" t="s">
        <v>79</v>
      </c>
      <c r="M44" s="19" t="s">
        <v>80</v>
      </c>
      <c r="O44" s="19">
        <v>42226.325868055559</v>
      </c>
      <c r="P44" s="19" t="s">
        <v>144</v>
      </c>
      <c r="Q44" s="19" t="s">
        <v>79</v>
      </c>
      <c r="R44" s="19">
        <v>42136.381041666667</v>
      </c>
      <c r="S44" s="19" t="s">
        <v>5</v>
      </c>
      <c r="V44" s="19" t="s">
        <v>6</v>
      </c>
      <c r="W44" s="19" t="s">
        <v>30</v>
      </c>
      <c r="X44" s="19" t="s">
        <v>13</v>
      </c>
      <c r="Y44" s="19" t="s">
        <v>195</v>
      </c>
      <c r="AA44" s="19" t="s">
        <v>7</v>
      </c>
      <c r="AB44" s="19" t="s">
        <v>10</v>
      </c>
      <c r="AC44" s="19" t="s">
        <v>7</v>
      </c>
      <c r="AD44" s="19" t="s">
        <v>81</v>
      </c>
      <c r="AE44" s="19" t="s">
        <v>7</v>
      </c>
      <c r="AF44" s="19" t="s">
        <v>7</v>
      </c>
    </row>
    <row r="45" spans="2:34" x14ac:dyDescent="0.25">
      <c r="D45" s="19">
        <f>SUBTOTAL(3,C2:C42)</f>
        <v>37</v>
      </c>
      <c r="G45" s="19" t="s">
        <v>135</v>
      </c>
    </row>
    <row r="51" spans="1:32" x14ac:dyDescent="0.25">
      <c r="G51" s="24"/>
    </row>
    <row r="52" spans="1:32" x14ac:dyDescent="0.25">
      <c r="G52" s="24"/>
    </row>
    <row r="53" spans="1:32" x14ac:dyDescent="0.25">
      <c r="G53" s="24"/>
    </row>
    <row r="54" spans="1:32" x14ac:dyDescent="0.25">
      <c r="G54" s="24"/>
    </row>
    <row r="55" spans="1:32" x14ac:dyDescent="0.25">
      <c r="D55" s="19" t="s">
        <v>181</v>
      </c>
      <c r="G55" s="15" t="str">
        <f ca="1">HYPERLINK(CONCATENATE("https://bugzilla.houston.hp.com:1181/bugzilla/show_bug.cgi?id=",MID(INDIRECT($G$45&amp;ROW()),9,5)),MID(INDIRECT($G$45&amp;ROW()),9,5))</f>
        <v>58413</v>
      </c>
      <c r="H55" s="19">
        <v>61084</v>
      </c>
      <c r="I55" s="19" t="s">
        <v>171</v>
      </c>
      <c r="J55" s="19" t="s">
        <v>172</v>
      </c>
      <c r="K55" s="19" t="s">
        <v>173</v>
      </c>
      <c r="L55" s="19" t="s">
        <v>79</v>
      </c>
      <c r="M55" s="19" t="s">
        <v>174</v>
      </c>
      <c r="N55" s="19" t="s">
        <v>143</v>
      </c>
      <c r="O55" s="21">
        <v>3.9988425925925927E-2</v>
      </c>
      <c r="P55" s="19" t="s">
        <v>175</v>
      </c>
      <c r="Q55" s="19" t="s">
        <v>176</v>
      </c>
      <c r="R55" s="24" t="s">
        <v>177</v>
      </c>
      <c r="S55" s="21">
        <v>42116</v>
      </c>
      <c r="T55" s="19" t="s">
        <v>83</v>
      </c>
      <c r="W55" s="19" t="s">
        <v>6</v>
      </c>
      <c r="X55" s="19" t="s">
        <v>30</v>
      </c>
      <c r="Y55" s="19" t="s">
        <v>178</v>
      </c>
      <c r="Z55" s="19" t="s">
        <v>179</v>
      </c>
      <c r="AB55" s="19" t="s">
        <v>9</v>
      </c>
      <c r="AC55" s="19" t="s">
        <v>180</v>
      </c>
      <c r="AD55" s="19" t="s">
        <v>7</v>
      </c>
      <c r="AE55" s="19" t="s">
        <v>7</v>
      </c>
    </row>
    <row r="56" spans="1:32" x14ac:dyDescent="0.25">
      <c r="G56" s="24"/>
    </row>
    <row r="57" spans="1:32" x14ac:dyDescent="0.25">
      <c r="A57" s="23" t="s">
        <v>198</v>
      </c>
      <c r="B57" s="19" t="s">
        <v>170</v>
      </c>
      <c r="C57" s="19" t="s">
        <v>245</v>
      </c>
      <c r="D57" s="19" t="s">
        <v>170</v>
      </c>
      <c r="G57" s="15" t="str">
        <f ca="1">HYPERLINK(CONCATENATE("https://bugzilla.houston.hp.com:1181/bugzilla/show_bug.cgi?id=",MID(INDIRECT($G$45&amp;ROW()),9,5)),MID(INDIRECT($G$45&amp;ROW()),9,5))</f>
        <v>65347</v>
      </c>
      <c r="H57" s="19">
        <v>65366</v>
      </c>
      <c r="I57" s="19" t="s">
        <v>36</v>
      </c>
      <c r="J57" s="19" t="s">
        <v>190</v>
      </c>
      <c r="K57" s="19" t="s">
        <v>2</v>
      </c>
      <c r="L57" s="19" t="s">
        <v>79</v>
      </c>
      <c r="M57" s="19" t="s">
        <v>80</v>
      </c>
      <c r="O57" s="20">
        <v>42207.365208333336</v>
      </c>
      <c r="P57" s="19" t="s">
        <v>20</v>
      </c>
      <c r="Q57" s="19" t="s">
        <v>79</v>
      </c>
      <c r="R57" s="20">
        <v>42195.55641203704</v>
      </c>
      <c r="S57" s="19" t="s">
        <v>29</v>
      </c>
      <c r="V57" s="19" t="s">
        <v>6</v>
      </c>
      <c r="W57" s="19" t="s">
        <v>30</v>
      </c>
      <c r="X57" s="19" t="s">
        <v>24</v>
      </c>
      <c r="Y57" s="19" t="s">
        <v>46</v>
      </c>
      <c r="AA57" s="19" t="s">
        <v>54</v>
      </c>
      <c r="AB57" s="19" t="s">
        <v>10</v>
      </c>
      <c r="AC57" s="19" t="s">
        <v>7</v>
      </c>
      <c r="AD57" s="19" t="s">
        <v>81</v>
      </c>
      <c r="AE57" s="19" t="s">
        <v>7</v>
      </c>
      <c r="AF57" s="19" t="s">
        <v>166</v>
      </c>
    </row>
    <row r="58" spans="1:32" s="24" customFormat="1" x14ac:dyDescent="0.25">
      <c r="A58" s="27" t="s">
        <v>237</v>
      </c>
      <c r="C58" s="24" t="s">
        <v>245</v>
      </c>
      <c r="F58" s="24" t="s">
        <v>227</v>
      </c>
      <c r="G58" s="15" t="str">
        <f ca="1">HYPERLINK(CONCATENATE("https://bugzilla.houston.hp.com:1181/bugzilla/show_bug.cgi?id=",MID(INDIRECT($G$45&amp;ROW()),9,5)),MID(INDIRECT($G$45&amp;ROW()),9,5))</f>
        <v>63791</v>
      </c>
      <c r="H58" s="24">
        <v>63895</v>
      </c>
      <c r="I58" s="24" t="s">
        <v>204</v>
      </c>
      <c r="J58" s="24" t="s">
        <v>202</v>
      </c>
      <c r="K58" s="24" t="s">
        <v>11</v>
      </c>
      <c r="L58" s="24" t="s">
        <v>79</v>
      </c>
      <c r="M58" s="24" t="s">
        <v>80</v>
      </c>
      <c r="O58" s="25">
        <v>42220.336099537039</v>
      </c>
      <c r="P58" s="24" t="s">
        <v>144</v>
      </c>
      <c r="Q58" s="24" t="s">
        <v>79</v>
      </c>
      <c r="R58" s="25">
        <v>42166.297685185185</v>
      </c>
      <c r="S58" s="24" t="s">
        <v>5</v>
      </c>
      <c r="V58" s="24" t="s">
        <v>12</v>
      </c>
      <c r="W58" s="24" t="s">
        <v>30</v>
      </c>
      <c r="X58" s="24" t="s">
        <v>13</v>
      </c>
      <c r="Y58" s="24" t="s">
        <v>19</v>
      </c>
      <c r="AA58" s="24" t="s">
        <v>7</v>
      </c>
      <c r="AB58" s="24" t="s">
        <v>10</v>
      </c>
      <c r="AC58" s="24" t="s">
        <v>7</v>
      </c>
      <c r="AD58" s="24" t="s">
        <v>81</v>
      </c>
      <c r="AE58" s="24" t="s">
        <v>7</v>
      </c>
      <c r="AF58" s="24" t="s">
        <v>7</v>
      </c>
    </row>
    <row r="59" spans="1:32" x14ac:dyDescent="0.25">
      <c r="A59" s="19" t="s">
        <v>241</v>
      </c>
      <c r="C59" s="19" t="s">
        <v>245</v>
      </c>
      <c r="F59" s="24" t="s">
        <v>226</v>
      </c>
      <c r="G59" s="15" t="str">
        <f ca="1">HYPERLINK(CONCATENATE("https://bugzilla.houston.hp.com:1181/bugzilla/show_bug.cgi?id=",MID(INDIRECT($G$45&amp;ROW()),9,5)),MID(INDIRECT($G$45&amp;ROW()),9,5))</f>
        <v>63709</v>
      </c>
      <c r="H59" s="19">
        <v>63744</v>
      </c>
      <c r="I59" s="19" t="s">
        <v>41</v>
      </c>
      <c r="J59" s="19" t="s">
        <v>201</v>
      </c>
      <c r="K59" s="19" t="s">
        <v>2</v>
      </c>
      <c r="L59" s="19" t="s">
        <v>79</v>
      </c>
      <c r="M59" s="19" t="s">
        <v>80</v>
      </c>
      <c r="O59" s="20">
        <v>42215.95212962963</v>
      </c>
      <c r="P59" s="19" t="s">
        <v>144</v>
      </c>
      <c r="Q59" s="19" t="s">
        <v>79</v>
      </c>
      <c r="R59" s="20">
        <v>42164.017395833333</v>
      </c>
      <c r="S59" s="19" t="s">
        <v>22</v>
      </c>
      <c r="V59" s="19" t="s">
        <v>6</v>
      </c>
      <c r="W59" s="19" t="s">
        <v>30</v>
      </c>
      <c r="X59" s="19" t="s">
        <v>24</v>
      </c>
      <c r="Y59" s="19" t="s">
        <v>45</v>
      </c>
      <c r="AA59" s="19" t="s">
        <v>7</v>
      </c>
      <c r="AB59" s="19" t="s">
        <v>10</v>
      </c>
      <c r="AC59" s="19" t="s">
        <v>7</v>
      </c>
      <c r="AD59" s="19" t="s">
        <v>81</v>
      </c>
      <c r="AE59" s="19" t="s">
        <v>7</v>
      </c>
      <c r="AF59" s="19" t="s">
        <v>7</v>
      </c>
    </row>
    <row r="60" spans="1:32" x14ac:dyDescent="0.25">
      <c r="A60" s="19" t="s">
        <v>247</v>
      </c>
      <c r="C60" s="19" t="s">
        <v>246</v>
      </c>
      <c r="F60" s="24" t="s">
        <v>231</v>
      </c>
      <c r="G60" s="15" t="str">
        <f ca="1">HYPERLINK(CONCATENATE("https://bugzilla.houston.hp.com:1181/bugzilla/show_bug.cgi?id=",MID(INDIRECT($G$45&amp;ROW()),9,5)),MID(INDIRECT($G$45&amp;ROW()),9,5))</f>
        <v>66200</v>
      </c>
      <c r="H60" s="24">
        <v>66204</v>
      </c>
      <c r="I60" s="24" t="s">
        <v>33</v>
      </c>
      <c r="J60" s="24" t="s">
        <v>200</v>
      </c>
      <c r="K60" s="24" t="s">
        <v>2</v>
      </c>
      <c r="L60" s="24" t="s">
        <v>79</v>
      </c>
      <c r="M60" s="24" t="s">
        <v>80</v>
      </c>
      <c r="N60" s="24"/>
      <c r="O60" s="25">
        <v>42220.255902777775</v>
      </c>
      <c r="P60" s="24" t="s">
        <v>20</v>
      </c>
      <c r="Q60" s="24" t="s">
        <v>79</v>
      </c>
      <c r="R60" s="25">
        <v>42213.518622685187</v>
      </c>
      <c r="S60" s="24" t="s">
        <v>22</v>
      </c>
      <c r="T60" s="24"/>
      <c r="U60" s="24"/>
      <c r="V60" s="24" t="s">
        <v>12</v>
      </c>
      <c r="W60" s="24" t="s">
        <v>30</v>
      </c>
      <c r="X60" s="24" t="s">
        <v>8</v>
      </c>
      <c r="Y60" s="24" t="s">
        <v>37</v>
      </c>
      <c r="Z60" s="24"/>
      <c r="AA60" s="24" t="s">
        <v>9</v>
      </c>
      <c r="AB60" s="24" t="s">
        <v>10</v>
      </c>
      <c r="AC60" s="24" t="s">
        <v>7</v>
      </c>
      <c r="AD60" s="24" t="s">
        <v>81</v>
      </c>
      <c r="AE60" s="24" t="s">
        <v>199</v>
      </c>
      <c r="AF60" s="24" t="s">
        <v>203</v>
      </c>
    </row>
    <row r="61" spans="1:32" s="24" customFormat="1" x14ac:dyDescent="0.25">
      <c r="G61" s="15"/>
      <c r="O61" s="25"/>
      <c r="R61" s="25"/>
    </row>
    <row r="62" spans="1:32" s="24" customFormat="1" x14ac:dyDescent="0.25">
      <c r="G62" s="15"/>
      <c r="O62" s="25"/>
      <c r="R62" s="25"/>
    </row>
    <row r="63" spans="1:32" x14ac:dyDescent="0.25">
      <c r="G63" s="24"/>
    </row>
    <row r="64" spans="1:32" x14ac:dyDescent="0.25">
      <c r="G64" s="2" t="s">
        <v>207</v>
      </c>
    </row>
    <row r="65" spans="7:7" x14ac:dyDescent="0.25">
      <c r="G65" s="2" t="s">
        <v>208</v>
      </c>
    </row>
    <row r="66" spans="7:7" x14ac:dyDescent="0.25">
      <c r="G66" s="2" t="s">
        <v>209</v>
      </c>
    </row>
    <row r="67" spans="7:7" x14ac:dyDescent="0.25">
      <c r="G67" s="2" t="s">
        <v>210</v>
      </c>
    </row>
    <row r="68" spans="7:7" x14ac:dyDescent="0.25">
      <c r="G68" s="2" t="s">
        <v>211</v>
      </c>
    </row>
  </sheetData>
  <autoFilter ref="B1:AF42"/>
  <sortState ref="A2:AH42">
    <sortCondition ref="H2:H42"/>
  </sortState>
  <conditionalFormatting sqref="H2:H42">
    <cfRule type="expression" dxfId="7" priority="29">
      <formula>IF(AA2="---",IF(AE2="---",1,0),0)</formula>
    </cfRule>
    <cfRule type="expression" dxfId="6" priority="30">
      <formula>IF(FIND("Denied",AA2),1,0)</formula>
    </cfRule>
    <cfRule type="expression" dxfId="5" priority="31">
      <formula>IF(FIND("Request",AA2),1,0)</formula>
    </cfRule>
    <cfRule type="expression" dxfId="4" priority="32">
      <formula>IF(FIND("Approve",AA2),1,0)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11"/>
  <sheetViews>
    <sheetView workbookViewId="0">
      <selection activeCell="C13" sqref="C13"/>
    </sheetView>
  </sheetViews>
  <sheetFormatPr defaultRowHeight="15" x14ac:dyDescent="0.25"/>
  <cols>
    <col min="5" max="5" width="44.7109375" customWidth="1"/>
    <col min="10" max="10" width="15.7109375" bestFit="1" customWidth="1"/>
    <col min="13" max="13" width="15.7109375" bestFit="1" customWidth="1"/>
  </cols>
  <sheetData>
    <row r="1" spans="1:30" x14ac:dyDescent="0.25">
      <c r="A1" s="24" t="s">
        <v>109</v>
      </c>
      <c r="B1" s="1">
        <f ca="1">COUNTIF(INDIRECT(A209&amp;A201):INDIRECT(A209&amp;A200),INDIRECT("c"&amp;ROW()))</f>
        <v>173</v>
      </c>
      <c r="C1" s="24" t="s">
        <v>299</v>
      </c>
      <c r="D1" s="24" t="s">
        <v>356</v>
      </c>
      <c r="E1" s="24"/>
      <c r="F1" s="24"/>
      <c r="G1" s="24"/>
      <c r="H1" s="24"/>
      <c r="I1" s="24"/>
      <c r="J1" s="24"/>
      <c r="K1" s="24"/>
      <c r="L1" s="24"/>
      <c r="M1" s="24"/>
      <c r="N1" s="24"/>
      <c r="O1" s="24"/>
      <c r="P1" s="24"/>
      <c r="Q1" s="24"/>
      <c r="R1" s="24"/>
      <c r="S1" s="24"/>
      <c r="T1" s="24"/>
      <c r="U1" s="24"/>
      <c r="V1" s="24"/>
      <c r="W1" s="24"/>
      <c r="X1" s="24"/>
      <c r="Y1" s="24"/>
      <c r="Z1" s="24"/>
      <c r="AA1" s="24"/>
      <c r="AB1" s="24"/>
      <c r="AC1" s="24"/>
      <c r="AD1" s="24"/>
    </row>
    <row r="2" spans="1:30" x14ac:dyDescent="0.25">
      <c r="A2" s="24"/>
      <c r="B2" s="24"/>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row>
    <row r="3" spans="1:30" x14ac:dyDescent="0.25">
      <c r="A3" s="5" t="s">
        <v>58</v>
      </c>
      <c r="B3" s="24"/>
      <c r="C3" s="24"/>
      <c r="D3" s="5" t="s">
        <v>74</v>
      </c>
      <c r="E3" s="24"/>
      <c r="F3" s="24"/>
      <c r="G3" s="24"/>
      <c r="H3" s="24"/>
      <c r="I3" s="24"/>
      <c r="J3" s="24"/>
      <c r="K3" s="24"/>
      <c r="L3" s="24"/>
      <c r="M3" s="24"/>
      <c r="N3" s="24"/>
      <c r="O3" s="24"/>
      <c r="P3" s="24"/>
      <c r="Q3" s="24"/>
      <c r="R3" s="24"/>
      <c r="S3" s="24"/>
      <c r="T3" s="24"/>
      <c r="U3" s="24"/>
      <c r="V3" s="24"/>
      <c r="W3" s="24"/>
      <c r="X3" s="24"/>
      <c r="Y3" s="24"/>
      <c r="Z3" s="24"/>
      <c r="AA3" s="24"/>
      <c r="AB3" s="24"/>
      <c r="AC3" s="24"/>
      <c r="AD3" s="24"/>
    </row>
    <row r="4" spans="1:30" x14ac:dyDescent="0.25">
      <c r="A4" s="24" t="s">
        <v>11</v>
      </c>
      <c r="B4" s="24">
        <f ca="1">COUNTIF(INDIRECT(A202&amp;A201):INDIRECT(A202&amp;A200),INDIRECT("a"&amp;ROW()))</f>
        <v>117</v>
      </c>
      <c r="C4" s="24"/>
      <c r="D4" s="24" t="s">
        <v>105</v>
      </c>
      <c r="E4" s="2">
        <f ca="1">COUNTIF(INDIRECT(A205&amp;A201):INDIRECT(A205&amp;A200),"---")</f>
        <v>173</v>
      </c>
      <c r="F4" s="24"/>
      <c r="G4" s="24"/>
      <c r="H4" s="24"/>
      <c r="I4" s="24"/>
      <c r="J4" s="24"/>
      <c r="K4" s="24"/>
      <c r="L4" s="24"/>
      <c r="M4" s="24"/>
      <c r="N4" s="24"/>
      <c r="O4" s="24"/>
      <c r="P4" s="24"/>
      <c r="Q4" s="24"/>
      <c r="R4" s="24"/>
      <c r="S4" s="24"/>
      <c r="T4" s="24"/>
      <c r="U4" s="24"/>
      <c r="V4" s="24"/>
      <c r="W4" s="24"/>
      <c r="X4" s="24"/>
      <c r="Y4" s="24"/>
      <c r="Z4" s="24"/>
      <c r="AA4" s="24"/>
      <c r="AB4" s="24"/>
      <c r="AC4" s="24"/>
      <c r="AD4" s="24"/>
    </row>
    <row r="5" spans="1:30" x14ac:dyDescent="0.25">
      <c r="A5" s="24" t="s">
        <v>138</v>
      </c>
      <c r="B5" s="24">
        <f ca="1">COUNTIF(INDIRECT(A202&amp;A201):INDIRECT(A202&amp;A200),INDIRECT("a"&amp;ROW()))</f>
        <v>56</v>
      </c>
      <c r="C5" s="24"/>
      <c r="D5" s="24" t="s">
        <v>48</v>
      </c>
      <c r="E5" s="2">
        <f ca="1">COUNTIF(INDIRECT(A205&amp;A201):INDIRECT(A205&amp;A200),INDIRECT("d"&amp;ROW()))</f>
        <v>0</v>
      </c>
      <c r="F5" s="24"/>
      <c r="G5" s="24"/>
      <c r="H5" s="24"/>
      <c r="I5" s="24"/>
      <c r="J5" s="24"/>
      <c r="K5" s="24"/>
      <c r="L5" s="24"/>
      <c r="M5" s="24"/>
      <c r="N5" s="24"/>
      <c r="O5" s="24"/>
      <c r="P5" s="24"/>
      <c r="Q5" s="24"/>
      <c r="R5" s="24"/>
      <c r="S5" s="24"/>
      <c r="T5" s="24"/>
      <c r="U5" s="24"/>
      <c r="V5" s="24"/>
      <c r="W5" s="24"/>
      <c r="X5" s="24"/>
      <c r="Y5" s="24"/>
      <c r="Z5" s="24"/>
      <c r="AA5" s="24"/>
      <c r="AB5" s="24"/>
      <c r="AC5" s="24"/>
      <c r="AD5" s="24"/>
    </row>
    <row r="6" spans="1:30" x14ac:dyDescent="0.25">
      <c r="A6" s="24"/>
      <c r="B6" s="24">
        <f ca="1">COUNTIF(INDIRECT(A202&amp;A201):INDIRECT(A202&amp;A200),INDIRECT("a"&amp;ROW()))</f>
        <v>0</v>
      </c>
      <c r="C6" s="24"/>
      <c r="D6" s="24" t="s">
        <v>9</v>
      </c>
      <c r="E6" s="2">
        <f ca="1">COUNTIF(INDIRECT(A205&amp;A201):INDIRECT(A205&amp;A200),INDIRECT("d"&amp;ROW()))</f>
        <v>0</v>
      </c>
      <c r="F6" s="24"/>
      <c r="G6" s="24"/>
      <c r="H6" s="24"/>
      <c r="I6" s="24"/>
      <c r="J6" s="24"/>
      <c r="K6" s="24"/>
      <c r="L6" s="24"/>
      <c r="M6" s="24"/>
      <c r="N6" s="24"/>
      <c r="O6" s="24"/>
      <c r="P6" s="24"/>
      <c r="Q6" s="24"/>
      <c r="R6" s="24"/>
      <c r="S6" s="24"/>
      <c r="T6" s="24"/>
      <c r="U6" s="24"/>
      <c r="V6" s="24"/>
      <c r="W6" s="24"/>
      <c r="X6" s="24"/>
      <c r="Y6" s="24"/>
      <c r="Z6" s="24"/>
      <c r="AA6" s="24"/>
      <c r="AB6" s="24"/>
      <c r="AC6" s="24"/>
      <c r="AD6" s="24"/>
    </row>
    <row r="7" spans="1:30" x14ac:dyDescent="0.25">
      <c r="A7" s="5" t="s">
        <v>107</v>
      </c>
      <c r="B7" s="4">
        <f ca="1">COUNTIF(INDIRECT(A206&amp;A201):INDIRECT(A206&amp;A200),"&lt;2")</f>
        <v>0</v>
      </c>
      <c r="C7" s="24"/>
      <c r="D7" s="24" t="s">
        <v>54</v>
      </c>
      <c r="E7" s="2">
        <f ca="1">COUNTIF(INDIRECT(A205&amp;A201):INDIRECT(A205&amp;A200),INDIRECT("d"&amp;ROW()))</f>
        <v>0</v>
      </c>
      <c r="F7" s="24"/>
      <c r="G7" s="24"/>
      <c r="H7" s="24"/>
      <c r="I7" s="24"/>
      <c r="J7" s="24"/>
      <c r="K7" s="24"/>
      <c r="L7" s="24"/>
      <c r="M7" s="24"/>
      <c r="N7" s="24"/>
      <c r="O7" s="24"/>
      <c r="P7" s="24"/>
      <c r="Q7" s="24"/>
      <c r="R7" s="24"/>
      <c r="S7" s="24"/>
      <c r="T7" s="24"/>
      <c r="U7" s="24"/>
      <c r="V7" s="24"/>
      <c r="W7" s="24"/>
      <c r="X7" s="24"/>
      <c r="Y7" s="24"/>
      <c r="Z7" s="24"/>
      <c r="AA7" s="24"/>
      <c r="AB7" s="24"/>
      <c r="AC7" s="24"/>
      <c r="AD7" s="24"/>
    </row>
    <row r="8" spans="1:30" x14ac:dyDescent="0.25">
      <c r="A8" s="24" t="s">
        <v>108</v>
      </c>
      <c r="B8" s="24">
        <f ca="1">COUNTIF(INDIRECT(A207&amp;A201):INDIRECT(A207&amp;A200),"&gt;3")</f>
        <v>173</v>
      </c>
      <c r="C8" s="24"/>
      <c r="D8" s="5" t="s">
        <v>106</v>
      </c>
      <c r="E8" s="3">
        <f ca="1">COUNTIF(INDIRECT(A208&amp;A201):INDIRECT(A208&amp;A200),"Astra*")</f>
        <v>0</v>
      </c>
      <c r="F8" s="24"/>
      <c r="G8" s="24"/>
      <c r="H8" s="24"/>
      <c r="I8" s="24"/>
      <c r="J8" s="24"/>
      <c r="K8" s="24"/>
      <c r="L8" s="24"/>
      <c r="M8" s="24"/>
      <c r="N8" s="24"/>
      <c r="O8" s="24"/>
      <c r="P8" s="24"/>
      <c r="Q8" s="24"/>
      <c r="R8" s="24"/>
      <c r="S8" s="24"/>
      <c r="T8" s="24"/>
      <c r="U8" s="24"/>
      <c r="V8" s="24"/>
      <c r="W8" s="24"/>
      <c r="X8" s="24"/>
      <c r="Y8" s="24"/>
      <c r="Z8" s="24"/>
      <c r="AA8" s="24"/>
      <c r="AB8" s="24"/>
      <c r="AC8" s="24"/>
      <c r="AD8" s="24"/>
    </row>
    <row r="9" spans="1:30" x14ac:dyDescent="0.25">
      <c r="A9" s="24"/>
      <c r="B9" s="24"/>
      <c r="C9" s="24"/>
      <c r="D9" s="24"/>
      <c r="E9" s="24">
        <f ca="1">SUM(E4:E8)</f>
        <v>173</v>
      </c>
      <c r="F9" s="24"/>
      <c r="G9" s="24"/>
      <c r="H9" s="24"/>
      <c r="I9" s="24"/>
      <c r="J9" s="24"/>
      <c r="K9" s="24"/>
      <c r="L9" s="24"/>
      <c r="M9" s="24"/>
      <c r="N9" s="24"/>
      <c r="O9" s="24"/>
      <c r="P9" s="24"/>
      <c r="Q9" s="24"/>
      <c r="R9" s="24"/>
      <c r="S9" s="24"/>
      <c r="T9" s="24"/>
      <c r="U9" s="24"/>
      <c r="V9" s="24"/>
      <c r="W9" s="24"/>
      <c r="X9" s="24"/>
      <c r="Y9" s="24"/>
      <c r="Z9" s="24"/>
      <c r="AA9" s="24"/>
      <c r="AB9" s="24"/>
      <c r="AC9" s="24"/>
      <c r="AD9" s="24"/>
    </row>
    <row r="10" spans="1:30" x14ac:dyDescent="0.25">
      <c r="A10" s="5" t="s">
        <v>110</v>
      </c>
      <c r="B10" s="24"/>
      <c r="C10" s="24"/>
      <c r="D10" s="24" t="s">
        <v>13</v>
      </c>
      <c r="E10" s="2">
        <f ca="1">COUNTIF(INDIRECT(A203&amp;A201):INDIRECT(A203&amp;A200),INDIRECT("d"&amp;ROW()))</f>
        <v>89</v>
      </c>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row>
    <row r="11" spans="1:30" x14ac:dyDescent="0.25">
      <c r="A11" s="24" t="s">
        <v>79</v>
      </c>
      <c r="B11" s="24">
        <f ca="1">COUNTIF(INDIRECT(A204&amp;A201):INDIRECT(A204&amp;A200),INDIRECT("a"&amp;ROW()))</f>
        <v>37</v>
      </c>
      <c r="C11" s="24"/>
      <c r="D11" s="24" t="s">
        <v>8</v>
      </c>
      <c r="E11" s="2">
        <f ca="1">COUNTIF(INDIRECT(A203&amp;A201):INDIRECT(A203&amp;A200),INDIRECT("d"&amp;ROW()))</f>
        <v>50</v>
      </c>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row>
    <row r="12" spans="1:30" x14ac:dyDescent="0.25">
      <c r="A12" s="24" t="s">
        <v>82</v>
      </c>
      <c r="B12" s="24">
        <f ca="1">COUNTIF(INDIRECT(A204&amp;A201):INDIRECT(A204&amp;A200),"Astra-1.0.*")</f>
        <v>4</v>
      </c>
      <c r="C12" s="24"/>
      <c r="D12" s="24" t="s">
        <v>24</v>
      </c>
      <c r="E12" s="2">
        <f ca="1">COUNTIF(INDIRECT(A203&amp;A201):INDIRECT(A203&amp;A200),INDIRECT("d"&amp;ROW()))</f>
        <v>34</v>
      </c>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row>
    <row r="13" spans="1:30" x14ac:dyDescent="0.25">
      <c r="A13" s="24" t="s">
        <v>3</v>
      </c>
      <c r="B13" s="24">
        <f ca="1">COUNTIF(INDIRECT(A204&amp;A201):INDIRECT(A204&amp;A200),INDIRECT("a"&amp;ROW()))+COUNTIF(INDIRECT(A204&amp;A201):INDIRECT(A204&amp;A200),"Astra-P*")+COUNTIF(INDIRECT(A204&amp;A201):INDIRECT(A204&amp;A200),"Astra-IR*")</f>
        <v>85</v>
      </c>
      <c r="C13" s="24"/>
      <c r="D13" s="24"/>
      <c r="E13" s="24">
        <f ca="1">SUM(E10:E12)</f>
        <v>173</v>
      </c>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row>
    <row r="14" spans="1:30" x14ac:dyDescent="0.25">
      <c r="A14" s="24" t="s">
        <v>111</v>
      </c>
      <c r="B14" s="24">
        <f ca="1">COUNTIF(INDIRECT(A204&amp;A201):INDIRECT(A204&amp;A200),"6*")+COUNTIF(INDIRECT(A204&amp;A201):INDIRECT(A204&amp;A200),"Store*")+COUNTIF(INDIRECT(A204&amp;A201):INDIRECT(A204&amp;A200),"Halo")+COUNTIF(INDIRECT(A204&amp;A201):INDIRECT(A204&amp;A200),"3*")</f>
        <v>3</v>
      </c>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row>
    <row r="15" spans="1:30" x14ac:dyDescent="0.25">
      <c r="A15" s="24" t="s">
        <v>47</v>
      </c>
      <c r="B15" s="24">
        <f ca="1">COUNTIF(INDIRECT(A204&amp;A201):INDIRECT(A204&amp;A200),INDIRECT("a"&amp;ROW()))</f>
        <v>26</v>
      </c>
      <c r="C15" s="24"/>
      <c r="D15" s="24"/>
      <c r="E15" s="24">
        <f ca="1">SUM(B11:B15)</f>
        <v>155</v>
      </c>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row>
    <row r="16" spans="1:30" x14ac:dyDescent="0.25">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row>
    <row r="17" spans="1:31" x14ac:dyDescent="0.25">
      <c r="A17" s="24" t="s">
        <v>0</v>
      </c>
      <c r="B17" s="24" t="s">
        <v>1</v>
      </c>
      <c r="C17" s="30" t="s">
        <v>137</v>
      </c>
      <c r="D17" s="30" t="s">
        <v>56</v>
      </c>
      <c r="E17" s="30" t="s">
        <v>57</v>
      </c>
      <c r="F17" s="30" t="s">
        <v>58</v>
      </c>
      <c r="G17" s="30" t="s">
        <v>59</v>
      </c>
      <c r="H17" s="30" t="s">
        <v>60</v>
      </c>
      <c r="I17" s="30" t="s">
        <v>61</v>
      </c>
      <c r="J17" s="30" t="s">
        <v>62</v>
      </c>
      <c r="K17" s="30" t="s">
        <v>63</v>
      </c>
      <c r="L17" s="30" t="s">
        <v>64</v>
      </c>
      <c r="M17" s="30" t="s">
        <v>65</v>
      </c>
      <c r="N17" s="30" t="s">
        <v>66</v>
      </c>
      <c r="O17" s="30" t="s">
        <v>67</v>
      </c>
      <c r="P17" s="30" t="s">
        <v>68</v>
      </c>
      <c r="Q17" s="30" t="s">
        <v>69</v>
      </c>
      <c r="R17" s="30" t="s">
        <v>70</v>
      </c>
      <c r="S17" s="30" t="s">
        <v>71</v>
      </c>
      <c r="T17" s="30" t="s">
        <v>72</v>
      </c>
      <c r="U17" s="30" t="s">
        <v>73</v>
      </c>
      <c r="V17" s="30" t="s">
        <v>74</v>
      </c>
      <c r="W17" s="30" t="s">
        <v>75</v>
      </c>
      <c r="X17" s="30" t="s">
        <v>76</v>
      </c>
      <c r="Y17" s="30" t="s">
        <v>77</v>
      </c>
      <c r="Z17" s="30" t="s">
        <v>78</v>
      </c>
      <c r="AA17" s="30" t="s">
        <v>307</v>
      </c>
      <c r="AB17" s="30" t="s">
        <v>252</v>
      </c>
      <c r="AC17" s="30" t="s">
        <v>251</v>
      </c>
      <c r="AD17" s="30" t="s">
        <v>309</v>
      </c>
      <c r="AE17" s="30" t="s">
        <v>310</v>
      </c>
    </row>
    <row r="18" spans="1:31" x14ac:dyDescent="0.25">
      <c r="A18" s="24">
        <f ca="1">DAYS360(INDIRECT(A211&amp;ROW()),TODAY())</f>
        <v>1440</v>
      </c>
      <c r="B18" s="24">
        <f ca="1">DAYS360(INDIRECT(A210&amp;ROW()),TODAY())</f>
        <v>1460</v>
      </c>
      <c r="C18" s="30">
        <v>68530</v>
      </c>
      <c r="D18" s="30" t="s">
        <v>276</v>
      </c>
      <c r="E18" s="30" t="s">
        <v>321</v>
      </c>
      <c r="F18" s="30" t="s">
        <v>11</v>
      </c>
      <c r="G18" s="30" t="s">
        <v>299</v>
      </c>
      <c r="H18" s="30" t="s">
        <v>80</v>
      </c>
      <c r="I18" s="30"/>
      <c r="J18" s="31">
        <v>42271.676782407405</v>
      </c>
      <c r="K18" s="30" t="s">
        <v>20</v>
      </c>
      <c r="L18" s="30" t="s">
        <v>79</v>
      </c>
      <c r="M18" s="31">
        <v>42251.019826388889</v>
      </c>
      <c r="N18" s="30" t="s">
        <v>22</v>
      </c>
      <c r="O18" s="30"/>
      <c r="P18" s="30"/>
      <c r="Q18" s="30" t="s">
        <v>6</v>
      </c>
      <c r="R18" s="30" t="s">
        <v>30</v>
      </c>
      <c r="S18" s="30" t="s">
        <v>8</v>
      </c>
      <c r="T18" s="30" t="s">
        <v>37</v>
      </c>
      <c r="U18" s="30"/>
      <c r="V18" s="30" t="s">
        <v>7</v>
      </c>
      <c r="W18" s="30" t="s">
        <v>10</v>
      </c>
      <c r="X18" s="30" t="s">
        <v>7</v>
      </c>
      <c r="Y18" s="30" t="s">
        <v>112</v>
      </c>
      <c r="Z18" s="30" t="s">
        <v>7</v>
      </c>
      <c r="AA18" s="30" t="s">
        <v>7</v>
      </c>
      <c r="AB18" s="30" t="s">
        <v>7</v>
      </c>
      <c r="AC18" s="30" t="s">
        <v>7</v>
      </c>
      <c r="AD18" s="30" t="s">
        <v>7</v>
      </c>
      <c r="AE18" s="30" t="s">
        <v>7</v>
      </c>
    </row>
    <row r="19" spans="1:31" x14ac:dyDescent="0.25">
      <c r="A19" s="24">
        <f ca="1">DAYS360(INDIRECT(A211&amp;ROW()),TODAY())</f>
        <v>1277</v>
      </c>
      <c r="B19" s="24">
        <f ca="1">DAYS360(INDIRECT(A210&amp;ROW()),TODAY())</f>
        <v>1454</v>
      </c>
      <c r="C19" s="30">
        <v>68814</v>
      </c>
      <c r="D19" s="30" t="s">
        <v>285</v>
      </c>
      <c r="E19" s="30" t="s">
        <v>501</v>
      </c>
      <c r="F19" s="30" t="s">
        <v>11</v>
      </c>
      <c r="G19" s="30" t="s">
        <v>299</v>
      </c>
      <c r="H19" s="30" t="s">
        <v>80</v>
      </c>
      <c r="I19" s="30"/>
      <c r="J19" s="31">
        <v>42436.39203703704</v>
      </c>
      <c r="K19" s="30" t="s">
        <v>20</v>
      </c>
      <c r="L19" s="30" t="s">
        <v>79</v>
      </c>
      <c r="M19" s="31">
        <v>42257.014386574076</v>
      </c>
      <c r="N19" s="30" t="s">
        <v>55</v>
      </c>
      <c r="O19" s="30"/>
      <c r="P19" s="30"/>
      <c r="Q19" s="30" t="s">
        <v>6</v>
      </c>
      <c r="R19" s="30" t="s">
        <v>30</v>
      </c>
      <c r="S19" s="30" t="s">
        <v>13</v>
      </c>
      <c r="T19" s="30" t="s">
        <v>14</v>
      </c>
      <c r="U19" s="30"/>
      <c r="V19" s="30" t="s">
        <v>7</v>
      </c>
      <c r="W19" s="30" t="s">
        <v>10</v>
      </c>
      <c r="X19" s="30" t="s">
        <v>43</v>
      </c>
      <c r="Y19" s="30" t="s">
        <v>112</v>
      </c>
      <c r="Z19" s="30" t="s">
        <v>7</v>
      </c>
      <c r="AA19" s="30" t="s">
        <v>7</v>
      </c>
      <c r="AB19" s="30" t="s">
        <v>7</v>
      </c>
      <c r="AC19" s="30" t="s">
        <v>7</v>
      </c>
      <c r="AD19" s="30" t="s">
        <v>7</v>
      </c>
      <c r="AE19" s="30" t="s">
        <v>7</v>
      </c>
    </row>
    <row r="20" spans="1:31" x14ac:dyDescent="0.25">
      <c r="A20" s="24">
        <f ca="1">DAYS360(INDIRECT(A211&amp;ROW()),TODAY())</f>
        <v>1336</v>
      </c>
      <c r="B20" s="24">
        <f ca="1">DAYS360(INDIRECT(A210&amp;ROW()),TODAY())</f>
        <v>1454</v>
      </c>
      <c r="C20" s="30">
        <v>68851</v>
      </c>
      <c r="D20" s="30" t="s">
        <v>286</v>
      </c>
      <c r="E20" s="30" t="s">
        <v>502</v>
      </c>
      <c r="F20" s="30" t="s">
        <v>11</v>
      </c>
      <c r="G20" s="30" t="s">
        <v>299</v>
      </c>
      <c r="H20" s="30" t="s">
        <v>80</v>
      </c>
      <c r="I20" s="30"/>
      <c r="J20" s="31">
        <v>42377.462731481479</v>
      </c>
      <c r="K20" s="30" t="s">
        <v>20</v>
      </c>
      <c r="L20" s="30" t="s">
        <v>79</v>
      </c>
      <c r="M20" s="31">
        <v>42257.3278125</v>
      </c>
      <c r="N20" s="30" t="s">
        <v>55</v>
      </c>
      <c r="O20" s="30"/>
      <c r="P20" s="30"/>
      <c r="Q20" s="30" t="s">
        <v>6</v>
      </c>
      <c r="R20" s="30" t="s">
        <v>30</v>
      </c>
      <c r="S20" s="30" t="s">
        <v>8</v>
      </c>
      <c r="T20" s="30" t="s">
        <v>37</v>
      </c>
      <c r="U20" s="30"/>
      <c r="V20" s="30" t="s">
        <v>7</v>
      </c>
      <c r="W20" s="30" t="s">
        <v>10</v>
      </c>
      <c r="X20" s="30" t="s">
        <v>7</v>
      </c>
      <c r="Y20" s="30" t="s">
        <v>112</v>
      </c>
      <c r="Z20" s="30" t="s">
        <v>7</v>
      </c>
      <c r="AA20" s="30" t="s">
        <v>7</v>
      </c>
      <c r="AB20" s="30" t="s">
        <v>7</v>
      </c>
      <c r="AC20" s="30" t="s">
        <v>7</v>
      </c>
      <c r="AD20" s="30" t="s">
        <v>7</v>
      </c>
      <c r="AE20" s="30" t="s">
        <v>7</v>
      </c>
    </row>
    <row r="21" spans="1:31" x14ac:dyDescent="0.25">
      <c r="A21" s="24">
        <f ca="1">DAYS360(INDIRECT(A211&amp;ROW()),TODAY())</f>
        <v>1298</v>
      </c>
      <c r="B21" s="24">
        <f ca="1">DAYS360(INDIRECT(A210&amp;ROW()),TODAY())</f>
        <v>1454</v>
      </c>
      <c r="C21" s="30">
        <v>68861</v>
      </c>
      <c r="D21" s="30" t="s">
        <v>277</v>
      </c>
      <c r="E21" s="30" t="s">
        <v>322</v>
      </c>
      <c r="F21" s="30" t="s">
        <v>11</v>
      </c>
      <c r="G21" s="30" t="s">
        <v>299</v>
      </c>
      <c r="H21" s="30" t="s">
        <v>80</v>
      </c>
      <c r="I21" s="30" t="s">
        <v>323</v>
      </c>
      <c r="J21" s="31">
        <v>42416.596076388887</v>
      </c>
      <c r="K21" s="30" t="s">
        <v>20</v>
      </c>
      <c r="L21" s="30" t="s">
        <v>3</v>
      </c>
      <c r="M21" s="31">
        <v>42257.42087962963</v>
      </c>
      <c r="N21" s="30" t="s">
        <v>29</v>
      </c>
      <c r="O21" s="30"/>
      <c r="P21" s="30"/>
      <c r="Q21" s="30" t="s">
        <v>6</v>
      </c>
      <c r="R21" s="30" t="s">
        <v>30</v>
      </c>
      <c r="S21" s="30" t="s">
        <v>8</v>
      </c>
      <c r="T21" s="30" t="s">
        <v>116</v>
      </c>
      <c r="U21" s="30"/>
      <c r="V21" s="30" t="s">
        <v>7</v>
      </c>
      <c r="W21" s="30" t="s">
        <v>10</v>
      </c>
      <c r="X21" s="30" t="s">
        <v>7</v>
      </c>
      <c r="Y21" s="30" t="s">
        <v>112</v>
      </c>
      <c r="Z21" s="30" t="s">
        <v>7</v>
      </c>
      <c r="AA21" s="30" t="s">
        <v>7</v>
      </c>
      <c r="AB21" s="30" t="s">
        <v>7</v>
      </c>
      <c r="AC21" s="30" t="s">
        <v>7</v>
      </c>
      <c r="AD21" s="30" t="s">
        <v>7</v>
      </c>
      <c r="AE21" s="30" t="s">
        <v>7</v>
      </c>
    </row>
    <row r="22" spans="1:31" x14ac:dyDescent="0.25">
      <c r="A22" s="24">
        <f ca="1">DAYS360(INDIRECT(A211&amp;ROW()),TODAY())</f>
        <v>1372</v>
      </c>
      <c r="B22" s="24">
        <f ca="1">DAYS360(INDIRECT(A210&amp;ROW()),TODAY())</f>
        <v>1453</v>
      </c>
      <c r="C22" s="30">
        <v>68929</v>
      </c>
      <c r="D22" s="30" t="s">
        <v>286</v>
      </c>
      <c r="E22" s="30" t="s">
        <v>324</v>
      </c>
      <c r="F22" s="30" t="s">
        <v>11</v>
      </c>
      <c r="G22" s="30" t="s">
        <v>299</v>
      </c>
      <c r="H22" s="30" t="s">
        <v>80</v>
      </c>
      <c r="I22" s="30"/>
      <c r="J22" s="31">
        <v>42340.115428240744</v>
      </c>
      <c r="K22" s="30" t="s">
        <v>144</v>
      </c>
      <c r="L22" s="30" t="s">
        <v>79</v>
      </c>
      <c r="M22" s="31">
        <v>42258.549062500002</v>
      </c>
      <c r="N22" s="30" t="s">
        <v>55</v>
      </c>
      <c r="O22" s="30"/>
      <c r="P22" s="30"/>
      <c r="Q22" s="30" t="s">
        <v>6</v>
      </c>
      <c r="R22" s="30" t="s">
        <v>30</v>
      </c>
      <c r="S22" s="30" t="s">
        <v>13</v>
      </c>
      <c r="T22" s="30" t="s">
        <v>19</v>
      </c>
      <c r="U22" s="30"/>
      <c r="V22" s="30" t="s">
        <v>7</v>
      </c>
      <c r="W22" s="30" t="s">
        <v>10</v>
      </c>
      <c r="X22" s="30" t="s">
        <v>7</v>
      </c>
      <c r="Y22" s="30" t="s">
        <v>112</v>
      </c>
      <c r="Z22" s="30" t="s">
        <v>7</v>
      </c>
      <c r="AA22" s="30" t="s">
        <v>7</v>
      </c>
      <c r="AB22" s="30" t="s">
        <v>7</v>
      </c>
      <c r="AC22" s="30" t="s">
        <v>7</v>
      </c>
      <c r="AD22" s="30" t="s">
        <v>7</v>
      </c>
      <c r="AE22" s="30" t="s">
        <v>7</v>
      </c>
    </row>
    <row r="23" spans="1:31" x14ac:dyDescent="0.25">
      <c r="A23" s="24">
        <f ca="1">DAYS360(INDIRECT(A211&amp;ROW()),TODAY())</f>
        <v>1281</v>
      </c>
      <c r="B23" s="24">
        <f ca="1">DAYS360(INDIRECT(A210&amp;ROW()),TODAY())</f>
        <v>1449</v>
      </c>
      <c r="C23" s="30">
        <v>69064</v>
      </c>
      <c r="D23" s="30" t="s">
        <v>286</v>
      </c>
      <c r="E23" s="30" t="s">
        <v>325</v>
      </c>
      <c r="F23" s="30" t="s">
        <v>11</v>
      </c>
      <c r="G23" s="30" t="s">
        <v>299</v>
      </c>
      <c r="H23" s="30" t="s">
        <v>80</v>
      </c>
      <c r="I23" s="30"/>
      <c r="J23" s="31">
        <v>42432.616898148146</v>
      </c>
      <c r="K23" s="30" t="s">
        <v>20</v>
      </c>
      <c r="L23" s="30" t="s">
        <v>79</v>
      </c>
      <c r="M23" s="31">
        <v>42262.233020833337</v>
      </c>
      <c r="N23" s="30" t="s">
        <v>22</v>
      </c>
      <c r="O23" s="30"/>
      <c r="P23" s="30"/>
      <c r="Q23" s="30" t="s">
        <v>6</v>
      </c>
      <c r="R23" s="30" t="s">
        <v>30</v>
      </c>
      <c r="S23" s="30" t="s">
        <v>13</v>
      </c>
      <c r="T23" s="30" t="s">
        <v>19</v>
      </c>
      <c r="U23" s="30"/>
      <c r="V23" s="30" t="s">
        <v>7</v>
      </c>
      <c r="W23" s="30" t="s">
        <v>26</v>
      </c>
      <c r="X23" s="30" t="s">
        <v>7</v>
      </c>
      <c r="Y23" s="30" t="s">
        <v>112</v>
      </c>
      <c r="Z23" s="30" t="s">
        <v>7</v>
      </c>
      <c r="AA23" s="30" t="s">
        <v>7</v>
      </c>
      <c r="AB23" s="30" t="s">
        <v>7</v>
      </c>
      <c r="AC23" s="30" t="s">
        <v>7</v>
      </c>
      <c r="AD23" s="30" t="s">
        <v>7</v>
      </c>
      <c r="AE23" s="30" t="s">
        <v>7</v>
      </c>
    </row>
    <row r="24" spans="1:31" x14ac:dyDescent="0.25">
      <c r="A24" s="24">
        <f ca="1">DAYS360(INDIRECT(A211&amp;ROW()),TODAY())</f>
        <v>1442</v>
      </c>
      <c r="B24" s="24">
        <f ca="1">DAYS360(INDIRECT(A210&amp;ROW()),TODAY())</f>
        <v>1447</v>
      </c>
      <c r="C24" s="30">
        <v>69247</v>
      </c>
      <c r="D24" s="30" t="s">
        <v>273</v>
      </c>
      <c r="E24" s="30" t="s">
        <v>326</v>
      </c>
      <c r="F24" s="30" t="s">
        <v>138</v>
      </c>
      <c r="G24" s="30" t="s">
        <v>299</v>
      </c>
      <c r="H24" s="30" t="s">
        <v>80</v>
      </c>
      <c r="I24" s="30"/>
      <c r="J24" s="31">
        <v>42269.386180555557</v>
      </c>
      <c r="K24" s="30" t="s">
        <v>20</v>
      </c>
      <c r="L24" s="30" t="s">
        <v>47</v>
      </c>
      <c r="M24" s="31">
        <v>42264.520590277774</v>
      </c>
      <c r="N24" s="30" t="s">
        <v>49</v>
      </c>
      <c r="O24" s="30"/>
      <c r="P24" s="30"/>
      <c r="Q24" s="30" t="s">
        <v>17</v>
      </c>
      <c r="R24" s="30" t="s">
        <v>30</v>
      </c>
      <c r="S24" s="30" t="s">
        <v>24</v>
      </c>
      <c r="T24" s="30" t="s">
        <v>45</v>
      </c>
      <c r="U24" s="30"/>
      <c r="V24" s="30" t="s">
        <v>7</v>
      </c>
      <c r="W24" s="30" t="s">
        <v>10</v>
      </c>
      <c r="X24" s="30" t="s">
        <v>7</v>
      </c>
      <c r="Y24" s="30" t="s">
        <v>112</v>
      </c>
      <c r="Z24" s="30" t="s">
        <v>7</v>
      </c>
      <c r="AA24" s="30" t="s">
        <v>7</v>
      </c>
      <c r="AB24" s="30" t="s">
        <v>7</v>
      </c>
      <c r="AC24" s="30" t="s">
        <v>7</v>
      </c>
      <c r="AD24" s="30" t="s">
        <v>7</v>
      </c>
      <c r="AE24" s="30" t="s">
        <v>7</v>
      </c>
    </row>
    <row r="25" spans="1:31" x14ac:dyDescent="0.25">
      <c r="A25" s="24">
        <f ca="1">DAYS360(INDIRECT(A211&amp;ROW()),TODAY())</f>
        <v>1304</v>
      </c>
      <c r="B25" s="24">
        <f ca="1">DAYS360(INDIRECT(A210&amp;ROW()),TODAY())</f>
        <v>1441</v>
      </c>
      <c r="C25" s="30">
        <v>69630</v>
      </c>
      <c r="D25" s="30" t="s">
        <v>275</v>
      </c>
      <c r="E25" s="30" t="s">
        <v>327</v>
      </c>
      <c r="F25" s="30" t="s">
        <v>138</v>
      </c>
      <c r="G25" s="30" t="s">
        <v>299</v>
      </c>
      <c r="H25" s="30" t="s">
        <v>80</v>
      </c>
      <c r="I25" s="30"/>
      <c r="J25" s="31">
        <v>42410.578506944446</v>
      </c>
      <c r="K25" s="30" t="s">
        <v>20</v>
      </c>
      <c r="L25" s="30" t="s">
        <v>47</v>
      </c>
      <c r="M25" s="31">
        <v>42270.52034722222</v>
      </c>
      <c r="N25" s="30" t="s">
        <v>5</v>
      </c>
      <c r="O25" s="30"/>
      <c r="P25" s="30"/>
      <c r="Q25" s="30" t="s">
        <v>17</v>
      </c>
      <c r="R25" s="30" t="s">
        <v>30</v>
      </c>
      <c r="S25" s="30" t="s">
        <v>8</v>
      </c>
      <c r="T25" s="30" t="s">
        <v>37</v>
      </c>
      <c r="U25" s="30"/>
      <c r="V25" s="30" t="s">
        <v>7</v>
      </c>
      <c r="W25" s="30" t="s">
        <v>10</v>
      </c>
      <c r="X25" s="30" t="s">
        <v>7</v>
      </c>
      <c r="Y25" s="30" t="s">
        <v>112</v>
      </c>
      <c r="Z25" s="30" t="s">
        <v>7</v>
      </c>
      <c r="AA25" s="30" t="s">
        <v>7</v>
      </c>
      <c r="AB25" s="30" t="s">
        <v>7</v>
      </c>
      <c r="AC25" s="30" t="s">
        <v>7</v>
      </c>
      <c r="AD25" s="30" t="s">
        <v>7</v>
      </c>
      <c r="AE25" s="30" t="s">
        <v>7</v>
      </c>
    </row>
    <row r="26" spans="1:31" x14ac:dyDescent="0.25">
      <c r="A26" s="24">
        <f ca="1">DAYS360(INDIRECT(A211&amp;ROW()),TODAY())</f>
        <v>1440</v>
      </c>
      <c r="B26" s="24">
        <f ca="1">DAYS360(INDIRECT(A210&amp;ROW()),TODAY())</f>
        <v>1440</v>
      </c>
      <c r="C26" s="30">
        <v>69729</v>
      </c>
      <c r="D26" s="30" t="s">
        <v>273</v>
      </c>
      <c r="E26" s="30" t="s">
        <v>328</v>
      </c>
      <c r="F26" s="30" t="s">
        <v>11</v>
      </c>
      <c r="G26" s="30" t="s">
        <v>299</v>
      </c>
      <c r="H26" s="30" t="s">
        <v>80</v>
      </c>
      <c r="I26" s="30"/>
      <c r="J26" s="31">
        <v>42271.431446759256</v>
      </c>
      <c r="K26" s="30" t="s">
        <v>20</v>
      </c>
      <c r="L26" s="30" t="s">
        <v>47</v>
      </c>
      <c r="M26" s="31">
        <v>42271.431446759256</v>
      </c>
      <c r="N26" s="30" t="s">
        <v>258</v>
      </c>
      <c r="O26" s="30"/>
      <c r="P26" s="30"/>
      <c r="Q26" s="30" t="s">
        <v>6</v>
      </c>
      <c r="R26" s="30" t="s">
        <v>30</v>
      </c>
      <c r="S26" s="30" t="s">
        <v>24</v>
      </c>
      <c r="T26" s="30" t="s">
        <v>45</v>
      </c>
      <c r="U26" s="30"/>
      <c r="V26" s="30" t="s">
        <v>7</v>
      </c>
      <c r="W26" s="30" t="s">
        <v>10</v>
      </c>
      <c r="X26" s="30" t="s">
        <v>7</v>
      </c>
      <c r="Y26" s="30" t="s">
        <v>112</v>
      </c>
      <c r="Z26" s="30" t="s">
        <v>7</v>
      </c>
      <c r="AA26" s="30" t="s">
        <v>7</v>
      </c>
      <c r="AB26" s="30" t="s">
        <v>7</v>
      </c>
      <c r="AC26" s="30" t="s">
        <v>7</v>
      </c>
      <c r="AD26" s="30" t="s">
        <v>7</v>
      </c>
      <c r="AE26" s="30" t="s">
        <v>7</v>
      </c>
    </row>
    <row r="27" spans="1:31" x14ac:dyDescent="0.25">
      <c r="A27" s="24">
        <f ca="1">DAYS360(INDIRECT(A211&amp;ROW()),TODAY())</f>
        <v>1428</v>
      </c>
      <c r="B27" s="24">
        <f ca="1">DAYS360(INDIRECT(A210&amp;ROW()),TODAY())</f>
        <v>1428</v>
      </c>
      <c r="C27" s="30">
        <v>70319</v>
      </c>
      <c r="D27" s="30" t="s">
        <v>279</v>
      </c>
      <c r="E27" s="30" t="s">
        <v>329</v>
      </c>
      <c r="F27" s="30" t="s">
        <v>138</v>
      </c>
      <c r="G27" s="30" t="s">
        <v>299</v>
      </c>
      <c r="H27" s="30" t="s">
        <v>80</v>
      </c>
      <c r="I27" s="30"/>
      <c r="J27" s="31">
        <v>42283.020601851851</v>
      </c>
      <c r="K27" s="30" t="s">
        <v>20</v>
      </c>
      <c r="L27" s="30" t="s">
        <v>79</v>
      </c>
      <c r="M27" s="31">
        <v>42283.020601851851</v>
      </c>
      <c r="N27" s="30" t="s">
        <v>39</v>
      </c>
      <c r="O27" s="30"/>
      <c r="P27" s="30"/>
      <c r="Q27" s="30" t="s">
        <v>17</v>
      </c>
      <c r="R27" s="30" t="s">
        <v>30</v>
      </c>
      <c r="S27" s="30" t="s">
        <v>24</v>
      </c>
      <c r="T27" s="30" t="s">
        <v>46</v>
      </c>
      <c r="U27" s="30"/>
      <c r="V27" s="30" t="s">
        <v>7</v>
      </c>
      <c r="W27" s="30" t="s">
        <v>10</v>
      </c>
      <c r="X27" s="30" t="s">
        <v>7</v>
      </c>
      <c r="Y27" s="30" t="s">
        <v>112</v>
      </c>
      <c r="Z27" s="30" t="s">
        <v>7</v>
      </c>
      <c r="AA27" s="30" t="s">
        <v>7</v>
      </c>
      <c r="AB27" s="30" t="s">
        <v>7</v>
      </c>
      <c r="AC27" s="30" t="s">
        <v>7</v>
      </c>
      <c r="AD27" s="30" t="s">
        <v>7</v>
      </c>
      <c r="AE27" s="30" t="s">
        <v>7</v>
      </c>
    </row>
    <row r="28" spans="1:31" x14ac:dyDescent="0.25">
      <c r="A28" s="24">
        <f ca="1">DAYS360(INDIRECT(A211&amp;ROW()),TODAY())</f>
        <v>1310</v>
      </c>
      <c r="B28" s="24">
        <f ca="1">DAYS360(INDIRECT(A210&amp;ROW()),TODAY())</f>
        <v>1427</v>
      </c>
      <c r="C28" s="30">
        <v>70473</v>
      </c>
      <c r="D28" s="30" t="s">
        <v>273</v>
      </c>
      <c r="E28" s="30" t="s">
        <v>330</v>
      </c>
      <c r="F28" s="30" t="s">
        <v>11</v>
      </c>
      <c r="G28" s="30" t="s">
        <v>299</v>
      </c>
      <c r="H28" s="30" t="s">
        <v>80</v>
      </c>
      <c r="I28" s="30"/>
      <c r="J28" s="31">
        <v>42404.593217592592</v>
      </c>
      <c r="K28" s="30" t="s">
        <v>144</v>
      </c>
      <c r="L28" s="30" t="s">
        <v>79</v>
      </c>
      <c r="M28" s="31">
        <v>42284.522210648145</v>
      </c>
      <c r="N28" s="30" t="s">
        <v>5</v>
      </c>
      <c r="O28" s="30"/>
      <c r="P28" s="30"/>
      <c r="Q28" s="30" t="s">
        <v>6</v>
      </c>
      <c r="R28" s="30" t="s">
        <v>30</v>
      </c>
      <c r="S28" s="30" t="s">
        <v>24</v>
      </c>
      <c r="T28" s="30" t="s">
        <v>46</v>
      </c>
      <c r="U28" s="30"/>
      <c r="V28" s="30" t="s">
        <v>7</v>
      </c>
      <c r="W28" s="30" t="s">
        <v>10</v>
      </c>
      <c r="X28" s="30" t="s">
        <v>7</v>
      </c>
      <c r="Y28" s="30" t="s">
        <v>112</v>
      </c>
      <c r="Z28" s="30" t="s">
        <v>7</v>
      </c>
      <c r="AA28" s="30" t="s">
        <v>7</v>
      </c>
      <c r="AB28" s="30" t="s">
        <v>7</v>
      </c>
      <c r="AC28" s="30" t="s">
        <v>7</v>
      </c>
      <c r="AD28" s="30" t="s">
        <v>7</v>
      </c>
      <c r="AE28" s="30" t="s">
        <v>7</v>
      </c>
    </row>
    <row r="29" spans="1:31" x14ac:dyDescent="0.25">
      <c r="A29" s="24">
        <f ca="1">DAYS360(INDIRECT(A211&amp;ROW()),TODAY())</f>
        <v>1419</v>
      </c>
      <c r="B29" s="24">
        <f ca="1">DAYS360(INDIRECT(A210&amp;ROW()),TODAY())</f>
        <v>1419</v>
      </c>
      <c r="C29" s="30">
        <v>70932</v>
      </c>
      <c r="D29" s="30" t="s">
        <v>278</v>
      </c>
      <c r="E29" s="30" t="s">
        <v>331</v>
      </c>
      <c r="F29" s="30" t="s">
        <v>11</v>
      </c>
      <c r="G29" s="30" t="s">
        <v>299</v>
      </c>
      <c r="H29" s="30" t="s">
        <v>80</v>
      </c>
      <c r="I29" s="30"/>
      <c r="J29" s="31">
        <v>42292.337534722225</v>
      </c>
      <c r="K29" s="30" t="s">
        <v>20</v>
      </c>
      <c r="L29" s="30" t="s">
        <v>79</v>
      </c>
      <c r="M29" s="31">
        <v>42292.337534722225</v>
      </c>
      <c r="N29" s="30" t="s">
        <v>16</v>
      </c>
      <c r="O29" s="30"/>
      <c r="P29" s="30"/>
      <c r="Q29" s="30" t="s">
        <v>6</v>
      </c>
      <c r="R29" s="30" t="s">
        <v>30</v>
      </c>
      <c r="S29" s="30" t="s">
        <v>8</v>
      </c>
      <c r="T29" s="30" t="s">
        <v>140</v>
      </c>
      <c r="U29" s="30"/>
      <c r="V29" s="30" t="s">
        <v>7</v>
      </c>
      <c r="W29" s="30" t="s">
        <v>10</v>
      </c>
      <c r="X29" s="30" t="s">
        <v>7</v>
      </c>
      <c r="Y29" s="30" t="s">
        <v>112</v>
      </c>
      <c r="Z29" s="30" t="s">
        <v>7</v>
      </c>
      <c r="AA29" s="30" t="s">
        <v>7</v>
      </c>
      <c r="AB29" s="30" t="s">
        <v>7</v>
      </c>
      <c r="AC29" s="30" t="s">
        <v>7</v>
      </c>
      <c r="AD29" s="30" t="s">
        <v>7</v>
      </c>
      <c r="AE29" s="30" t="s">
        <v>7</v>
      </c>
    </row>
    <row r="30" spans="1:31" x14ac:dyDescent="0.25">
      <c r="A30" s="24">
        <f ca="1">DAYS360(INDIRECT(A211&amp;ROW()),TODAY())</f>
        <v>1284</v>
      </c>
      <c r="B30" s="24">
        <f ca="1">DAYS360(INDIRECT(A210&amp;ROW()),TODAY())</f>
        <v>1418</v>
      </c>
      <c r="C30" s="30">
        <v>71034</v>
      </c>
      <c r="D30" s="30" t="s">
        <v>275</v>
      </c>
      <c r="E30" s="30" t="s">
        <v>332</v>
      </c>
      <c r="F30" s="30" t="s">
        <v>138</v>
      </c>
      <c r="G30" s="30" t="s">
        <v>299</v>
      </c>
      <c r="H30" s="30" t="s">
        <v>80</v>
      </c>
      <c r="I30" s="30"/>
      <c r="J30" s="31">
        <v>42429.631319444445</v>
      </c>
      <c r="K30" s="30" t="s">
        <v>20</v>
      </c>
      <c r="L30" s="30" t="s">
        <v>47</v>
      </c>
      <c r="M30" s="31">
        <v>42293.521006944444</v>
      </c>
      <c r="N30" s="30" t="s">
        <v>83</v>
      </c>
      <c r="O30" s="30"/>
      <c r="P30" s="30"/>
      <c r="Q30" s="30" t="s">
        <v>17</v>
      </c>
      <c r="R30" s="30" t="s">
        <v>30</v>
      </c>
      <c r="S30" s="30" t="s">
        <v>13</v>
      </c>
      <c r="T30" s="30" t="s">
        <v>19</v>
      </c>
      <c r="U30" s="30"/>
      <c r="V30" s="30" t="s">
        <v>7</v>
      </c>
      <c r="W30" s="30" t="s">
        <v>10</v>
      </c>
      <c r="X30" s="30" t="s">
        <v>7</v>
      </c>
      <c r="Y30" s="30" t="s">
        <v>112</v>
      </c>
      <c r="Z30" s="30" t="s">
        <v>7</v>
      </c>
      <c r="AA30" s="30" t="s">
        <v>7</v>
      </c>
      <c r="AB30" s="30" t="s">
        <v>7</v>
      </c>
      <c r="AC30" s="30" t="s">
        <v>7</v>
      </c>
      <c r="AD30" s="30" t="s">
        <v>7</v>
      </c>
      <c r="AE30" s="30" t="s">
        <v>7</v>
      </c>
    </row>
    <row r="31" spans="1:31" x14ac:dyDescent="0.25">
      <c r="A31" s="24">
        <f ca="1">DAYS360(INDIRECT(A211&amp;ROW()),TODAY())</f>
        <v>1336</v>
      </c>
      <c r="B31" s="24">
        <f ca="1">DAYS360(INDIRECT(A210&amp;ROW()),TODAY())</f>
        <v>1414</v>
      </c>
      <c r="C31" s="30">
        <v>71221</v>
      </c>
      <c r="D31" s="30" t="s">
        <v>279</v>
      </c>
      <c r="E31" s="30" t="s">
        <v>333</v>
      </c>
      <c r="F31" s="30" t="s">
        <v>138</v>
      </c>
      <c r="G31" s="30" t="s">
        <v>299</v>
      </c>
      <c r="H31" s="30" t="s">
        <v>80</v>
      </c>
      <c r="I31" s="30"/>
      <c r="J31" s="31">
        <v>42377.458865740744</v>
      </c>
      <c r="K31" s="30" t="s">
        <v>20</v>
      </c>
      <c r="L31" s="30" t="s">
        <v>47</v>
      </c>
      <c r="M31" s="31">
        <v>42297.021203703705</v>
      </c>
      <c r="N31" s="30" t="s">
        <v>42</v>
      </c>
      <c r="O31" s="30"/>
      <c r="P31" s="30"/>
      <c r="Q31" s="30" t="s">
        <v>17</v>
      </c>
      <c r="R31" s="30" t="s">
        <v>30</v>
      </c>
      <c r="S31" s="30" t="s">
        <v>24</v>
      </c>
      <c r="T31" s="30" t="s">
        <v>45</v>
      </c>
      <c r="U31" s="30"/>
      <c r="V31" s="30" t="s">
        <v>7</v>
      </c>
      <c r="W31" s="30" t="s">
        <v>10</v>
      </c>
      <c r="X31" s="30" t="s">
        <v>7</v>
      </c>
      <c r="Y31" s="30" t="s">
        <v>112</v>
      </c>
      <c r="Z31" s="30" t="s">
        <v>7</v>
      </c>
      <c r="AA31" s="30" t="s">
        <v>7</v>
      </c>
      <c r="AB31" s="30" t="s">
        <v>7</v>
      </c>
      <c r="AC31" s="30" t="s">
        <v>7</v>
      </c>
      <c r="AD31" s="30" t="s">
        <v>7</v>
      </c>
      <c r="AE31" s="30" t="s">
        <v>7</v>
      </c>
    </row>
    <row r="32" spans="1:31" x14ac:dyDescent="0.25">
      <c r="A32" s="24">
        <f ca="1">DAYS360(INDIRECT(A211&amp;ROW()),TODAY())</f>
        <v>1289</v>
      </c>
      <c r="B32" s="24">
        <f ca="1">DAYS360(INDIRECT(A210&amp;ROW()),TODAY())</f>
        <v>1405</v>
      </c>
      <c r="C32" s="30">
        <v>71817</v>
      </c>
      <c r="D32" s="30" t="s">
        <v>272</v>
      </c>
      <c r="E32" s="30" t="s">
        <v>334</v>
      </c>
      <c r="F32" s="30" t="s">
        <v>11</v>
      </c>
      <c r="G32" s="30" t="s">
        <v>299</v>
      </c>
      <c r="H32" s="30" t="s">
        <v>80</v>
      </c>
      <c r="I32" s="30"/>
      <c r="J32" s="31">
        <v>42425.394097222219</v>
      </c>
      <c r="K32" s="30" t="s">
        <v>20</v>
      </c>
      <c r="L32" s="30" t="s">
        <v>47</v>
      </c>
      <c r="M32" s="31">
        <v>42306.521180555559</v>
      </c>
      <c r="N32" s="30" t="s">
        <v>5</v>
      </c>
      <c r="O32" s="30"/>
      <c r="P32" s="30"/>
      <c r="Q32" s="30" t="s">
        <v>6</v>
      </c>
      <c r="R32" s="30" t="s">
        <v>30</v>
      </c>
      <c r="S32" s="30" t="s">
        <v>13</v>
      </c>
      <c r="T32" s="30" t="s">
        <v>19</v>
      </c>
      <c r="U32" s="30"/>
      <c r="V32" s="30" t="s">
        <v>7</v>
      </c>
      <c r="W32" s="30" t="s">
        <v>10</v>
      </c>
      <c r="X32" s="30" t="s">
        <v>7</v>
      </c>
      <c r="Y32" s="30" t="s">
        <v>112</v>
      </c>
      <c r="Z32" s="30" t="s">
        <v>7</v>
      </c>
      <c r="AA32" s="30" t="s">
        <v>7</v>
      </c>
      <c r="AB32" s="30" t="s">
        <v>7</v>
      </c>
      <c r="AC32" s="30" t="s">
        <v>7</v>
      </c>
      <c r="AD32" s="30" t="s">
        <v>7</v>
      </c>
      <c r="AE32" s="30" t="s">
        <v>7</v>
      </c>
    </row>
    <row r="33" spans="1:31" x14ac:dyDescent="0.25">
      <c r="A33" s="24">
        <f ca="1">DAYS360(INDIRECT(A211&amp;ROW()),TODAY())</f>
        <v>1304</v>
      </c>
      <c r="B33" s="24">
        <f ca="1">DAYS360(INDIRECT(A210&amp;ROW()),TODAY())</f>
        <v>1404</v>
      </c>
      <c r="C33" s="30">
        <v>71841</v>
      </c>
      <c r="D33" s="30" t="s">
        <v>273</v>
      </c>
      <c r="E33" s="30" t="s">
        <v>335</v>
      </c>
      <c r="F33" s="30" t="s">
        <v>11</v>
      </c>
      <c r="G33" s="30" t="s">
        <v>299</v>
      </c>
      <c r="H33" s="30" t="s">
        <v>80</v>
      </c>
      <c r="I33" s="30"/>
      <c r="J33" s="31">
        <v>42410.467268518521</v>
      </c>
      <c r="K33" s="30" t="s">
        <v>20</v>
      </c>
      <c r="L33" s="30" t="s">
        <v>47</v>
      </c>
      <c r="M33" s="31">
        <v>42307.021319444444</v>
      </c>
      <c r="N33" s="30" t="s">
        <v>5</v>
      </c>
      <c r="O33" s="30"/>
      <c r="P33" s="30"/>
      <c r="Q33" s="30" t="s">
        <v>6</v>
      </c>
      <c r="R33" s="30" t="s">
        <v>30</v>
      </c>
      <c r="S33" s="30" t="s">
        <v>24</v>
      </c>
      <c r="T33" s="30" t="s">
        <v>46</v>
      </c>
      <c r="U33" s="30"/>
      <c r="V33" s="30" t="s">
        <v>7</v>
      </c>
      <c r="W33" s="30" t="s">
        <v>10</v>
      </c>
      <c r="X33" s="30" t="s">
        <v>7</v>
      </c>
      <c r="Y33" s="30" t="s">
        <v>112</v>
      </c>
      <c r="Z33" s="30" t="s">
        <v>7</v>
      </c>
      <c r="AA33" s="30" t="s">
        <v>7</v>
      </c>
      <c r="AB33" s="30" t="s">
        <v>7</v>
      </c>
      <c r="AC33" s="30" t="s">
        <v>7</v>
      </c>
      <c r="AD33" s="30" t="s">
        <v>7</v>
      </c>
      <c r="AE33" s="30" t="s">
        <v>7</v>
      </c>
    </row>
    <row r="34" spans="1:31" x14ac:dyDescent="0.25">
      <c r="A34" s="24">
        <f ca="1">DAYS360(INDIRECT(A211&amp;ROW()),TODAY())</f>
        <v>1262</v>
      </c>
      <c r="B34" s="24">
        <f ca="1">DAYS360(INDIRECT(A210&amp;ROW()),TODAY())</f>
        <v>1394</v>
      </c>
      <c r="C34" s="30">
        <v>72428</v>
      </c>
      <c r="D34" s="30" t="s">
        <v>304</v>
      </c>
      <c r="E34" s="30" t="s">
        <v>336</v>
      </c>
      <c r="F34" s="30" t="s">
        <v>11</v>
      </c>
      <c r="G34" s="30" t="s">
        <v>299</v>
      </c>
      <c r="H34" s="30" t="s">
        <v>80</v>
      </c>
      <c r="I34" s="30"/>
      <c r="J34" s="31">
        <v>42451.091238425928</v>
      </c>
      <c r="K34" s="30" t="s">
        <v>20</v>
      </c>
      <c r="L34" s="30" t="s">
        <v>47</v>
      </c>
      <c r="M34" s="31">
        <v>42318.521377314813</v>
      </c>
      <c r="N34" s="30" t="s">
        <v>49</v>
      </c>
      <c r="O34" s="30"/>
      <c r="P34" s="30"/>
      <c r="Q34" s="30" t="s">
        <v>6</v>
      </c>
      <c r="R34" s="30" t="s">
        <v>30</v>
      </c>
      <c r="S34" s="30" t="s">
        <v>13</v>
      </c>
      <c r="T34" s="30" t="s">
        <v>19</v>
      </c>
      <c r="U34" s="30"/>
      <c r="V34" s="30" t="s">
        <v>7</v>
      </c>
      <c r="W34" s="30" t="s">
        <v>10</v>
      </c>
      <c r="X34" s="30" t="s">
        <v>7</v>
      </c>
      <c r="Y34" s="30" t="s">
        <v>112</v>
      </c>
      <c r="Z34" s="30" t="s">
        <v>7</v>
      </c>
      <c r="AA34" s="30" t="s">
        <v>7</v>
      </c>
      <c r="AB34" s="30" t="s">
        <v>7</v>
      </c>
      <c r="AC34" s="30" t="s">
        <v>7</v>
      </c>
      <c r="AD34" s="30" t="s">
        <v>7</v>
      </c>
      <c r="AE34" s="30" t="s">
        <v>7</v>
      </c>
    </row>
    <row r="35" spans="1:31" x14ac:dyDescent="0.25">
      <c r="A35" s="24">
        <f ca="1">DAYS360(INDIRECT(A211&amp;ROW()),TODAY())</f>
        <v>1385</v>
      </c>
      <c r="B35" s="24">
        <f ca="1">DAYS360(INDIRECT(A210&amp;ROW()),TODAY())</f>
        <v>1392</v>
      </c>
      <c r="C35" s="30">
        <v>72598</v>
      </c>
      <c r="D35" s="30" t="s">
        <v>286</v>
      </c>
      <c r="E35" s="30" t="s">
        <v>337</v>
      </c>
      <c r="F35" s="30" t="s">
        <v>11</v>
      </c>
      <c r="G35" s="30" t="s">
        <v>299</v>
      </c>
      <c r="H35" s="30" t="s">
        <v>80</v>
      </c>
      <c r="I35" s="30"/>
      <c r="J35" s="31">
        <v>42327.473229166666</v>
      </c>
      <c r="K35" s="30" t="s">
        <v>20</v>
      </c>
      <c r="L35" s="30" t="s">
        <v>47</v>
      </c>
      <c r="M35" s="31">
        <v>42320.521365740744</v>
      </c>
      <c r="N35" s="30" t="s">
        <v>55</v>
      </c>
      <c r="O35" s="30"/>
      <c r="P35" s="30"/>
      <c r="Q35" s="30" t="s">
        <v>6</v>
      </c>
      <c r="R35" s="30" t="s">
        <v>30</v>
      </c>
      <c r="S35" s="30" t="s">
        <v>13</v>
      </c>
      <c r="T35" s="30" t="s">
        <v>19</v>
      </c>
      <c r="U35" s="30"/>
      <c r="V35" s="30" t="s">
        <v>7</v>
      </c>
      <c r="W35" s="30" t="s">
        <v>10</v>
      </c>
      <c r="X35" s="30" t="s">
        <v>7</v>
      </c>
      <c r="Y35" s="30" t="s">
        <v>112</v>
      </c>
      <c r="Z35" s="30" t="s">
        <v>7</v>
      </c>
      <c r="AA35" s="30" t="s">
        <v>7</v>
      </c>
      <c r="AB35" s="30" t="s">
        <v>7</v>
      </c>
      <c r="AC35" s="30" t="s">
        <v>7</v>
      </c>
      <c r="AD35" s="30" t="s">
        <v>7</v>
      </c>
      <c r="AE35" s="30" t="s">
        <v>7</v>
      </c>
    </row>
    <row r="36" spans="1:31" x14ac:dyDescent="0.25">
      <c r="A36" s="24">
        <f ca="1">DAYS360(INDIRECT(A211&amp;ROW()),TODAY())</f>
        <v>1387</v>
      </c>
      <c r="B36" s="24">
        <f ca="1">DAYS360(INDIRECT(A210&amp;ROW()),TODAY())</f>
        <v>1387</v>
      </c>
      <c r="C36" s="30">
        <v>72857</v>
      </c>
      <c r="D36" s="30" t="s">
        <v>273</v>
      </c>
      <c r="E36" s="30" t="s">
        <v>338</v>
      </c>
      <c r="F36" s="30" t="s">
        <v>11</v>
      </c>
      <c r="G36" s="30" t="s">
        <v>299</v>
      </c>
      <c r="H36" s="30" t="s">
        <v>80</v>
      </c>
      <c r="I36" s="30"/>
      <c r="J36" s="31">
        <v>42325.658101851855</v>
      </c>
      <c r="K36" s="30" t="s">
        <v>20</v>
      </c>
      <c r="L36" s="30" t="s">
        <v>299</v>
      </c>
      <c r="M36" s="31">
        <v>42325.522847222222</v>
      </c>
      <c r="N36" s="30" t="s">
        <v>5</v>
      </c>
      <c r="O36" s="30"/>
      <c r="P36" s="30" t="s">
        <v>52</v>
      </c>
      <c r="Q36" s="30" t="s">
        <v>6</v>
      </c>
      <c r="R36" s="30" t="s">
        <v>30</v>
      </c>
      <c r="S36" s="30" t="s">
        <v>24</v>
      </c>
      <c r="T36" s="30" t="s">
        <v>45</v>
      </c>
      <c r="U36" s="30"/>
      <c r="V36" s="30" t="s">
        <v>7</v>
      </c>
      <c r="W36" s="30" t="s">
        <v>10</v>
      </c>
      <c r="X36" s="30" t="s">
        <v>7</v>
      </c>
      <c r="Y36" s="30" t="s">
        <v>112</v>
      </c>
      <c r="Z36" s="30" t="s">
        <v>7</v>
      </c>
      <c r="AA36" s="30" t="s">
        <v>7</v>
      </c>
      <c r="AB36" s="30" t="s">
        <v>7</v>
      </c>
      <c r="AC36" s="30" t="s">
        <v>253</v>
      </c>
      <c r="AD36" s="30" t="s">
        <v>7</v>
      </c>
      <c r="AE36" s="30" t="s">
        <v>7</v>
      </c>
    </row>
    <row r="37" spans="1:31" x14ac:dyDescent="0.25">
      <c r="A37" s="24">
        <f ca="1">DAYS360(INDIRECT(A211&amp;ROW()),TODAY())</f>
        <v>1283</v>
      </c>
      <c r="B37" s="24">
        <f ca="1">DAYS360(INDIRECT(A210&amp;ROW()),TODAY())</f>
        <v>1385</v>
      </c>
      <c r="C37" s="30">
        <v>73028</v>
      </c>
      <c r="D37" s="30" t="s">
        <v>272</v>
      </c>
      <c r="E37" s="30" t="s">
        <v>339</v>
      </c>
      <c r="F37" s="30" t="s">
        <v>11</v>
      </c>
      <c r="G37" s="30" t="s">
        <v>299</v>
      </c>
      <c r="H37" s="30" t="s">
        <v>80</v>
      </c>
      <c r="I37" s="30"/>
      <c r="J37" s="31">
        <v>42430.566828703704</v>
      </c>
      <c r="K37" s="30" t="s">
        <v>20</v>
      </c>
      <c r="L37" s="30" t="s">
        <v>152</v>
      </c>
      <c r="M37" s="31">
        <v>42327.679976851854</v>
      </c>
      <c r="N37" s="30" t="s">
        <v>100</v>
      </c>
      <c r="O37" s="30"/>
      <c r="P37" s="30"/>
      <c r="Q37" s="30" t="s">
        <v>6</v>
      </c>
      <c r="R37" s="30" t="s">
        <v>30</v>
      </c>
      <c r="S37" s="30" t="s">
        <v>13</v>
      </c>
      <c r="T37" s="30" t="s">
        <v>19</v>
      </c>
      <c r="U37" s="30"/>
      <c r="V37" s="30" t="s">
        <v>7</v>
      </c>
      <c r="W37" s="30" t="s">
        <v>10</v>
      </c>
      <c r="X37" s="30" t="s">
        <v>7</v>
      </c>
      <c r="Y37" s="30" t="s">
        <v>112</v>
      </c>
      <c r="Z37" s="30" t="s">
        <v>7</v>
      </c>
      <c r="AA37" s="30" t="s">
        <v>7</v>
      </c>
      <c r="AB37" s="30" t="s">
        <v>7</v>
      </c>
      <c r="AC37" s="30" t="s">
        <v>7</v>
      </c>
      <c r="AD37" s="30" t="s">
        <v>7</v>
      </c>
      <c r="AE37" s="30" t="s">
        <v>311</v>
      </c>
    </row>
    <row r="38" spans="1:31" x14ac:dyDescent="0.25">
      <c r="A38" s="24">
        <f ca="1">DAYS360(INDIRECT(A211&amp;ROW()),TODAY())</f>
        <v>1289</v>
      </c>
      <c r="B38" s="24">
        <f ca="1">DAYS360(INDIRECT(A210&amp;ROW()),TODAY())</f>
        <v>1384</v>
      </c>
      <c r="C38" s="30">
        <v>73074</v>
      </c>
      <c r="D38" s="30" t="s">
        <v>273</v>
      </c>
      <c r="E38" s="30" t="s">
        <v>340</v>
      </c>
      <c r="F38" s="30" t="s">
        <v>11</v>
      </c>
      <c r="G38" s="30" t="s">
        <v>299</v>
      </c>
      <c r="H38" s="30" t="s">
        <v>80</v>
      </c>
      <c r="I38" s="30"/>
      <c r="J38" s="31">
        <v>42425.403831018521</v>
      </c>
      <c r="K38" s="30" t="s">
        <v>20</v>
      </c>
      <c r="L38" s="30" t="s">
        <v>299</v>
      </c>
      <c r="M38" s="31">
        <v>42328.521550925929</v>
      </c>
      <c r="N38" s="30" t="s">
        <v>5</v>
      </c>
      <c r="O38" s="30"/>
      <c r="P38" s="30" t="s">
        <v>52</v>
      </c>
      <c r="Q38" s="30" t="s">
        <v>6</v>
      </c>
      <c r="R38" s="30" t="s">
        <v>30</v>
      </c>
      <c r="S38" s="30" t="s">
        <v>13</v>
      </c>
      <c r="T38" s="30" t="s">
        <v>19</v>
      </c>
      <c r="U38" s="30"/>
      <c r="V38" s="30" t="s">
        <v>7</v>
      </c>
      <c r="W38" s="30" t="s">
        <v>10</v>
      </c>
      <c r="X38" s="30" t="s">
        <v>7</v>
      </c>
      <c r="Y38" s="30" t="s">
        <v>112</v>
      </c>
      <c r="Z38" s="30" t="s">
        <v>7</v>
      </c>
      <c r="AA38" s="30" t="s">
        <v>7</v>
      </c>
      <c r="AB38" s="30" t="s">
        <v>7</v>
      </c>
      <c r="AC38" s="30" t="s">
        <v>317</v>
      </c>
      <c r="AD38" s="30" t="s">
        <v>7</v>
      </c>
      <c r="AE38" s="30" t="s">
        <v>7</v>
      </c>
    </row>
    <row r="39" spans="1:31" x14ac:dyDescent="0.25">
      <c r="A39" s="24">
        <f ca="1">DAYS360(INDIRECT(A211&amp;ROW()),TODAY())</f>
        <v>1283</v>
      </c>
      <c r="B39" s="24">
        <f ca="1">DAYS360(INDIRECT(A210&amp;ROW()),TODAY())</f>
        <v>1384</v>
      </c>
      <c r="C39" s="30">
        <v>73081</v>
      </c>
      <c r="D39" s="30" t="s">
        <v>286</v>
      </c>
      <c r="E39" s="30" t="s">
        <v>369</v>
      </c>
      <c r="F39" s="30" t="s">
        <v>11</v>
      </c>
      <c r="G39" s="30" t="s">
        <v>299</v>
      </c>
      <c r="H39" s="30" t="s">
        <v>80</v>
      </c>
      <c r="I39" s="30"/>
      <c r="J39" s="31">
        <v>42430.602835648147</v>
      </c>
      <c r="K39" s="30" t="s">
        <v>20</v>
      </c>
      <c r="L39" s="30" t="s">
        <v>3</v>
      </c>
      <c r="M39" s="31">
        <v>42328.522245370368</v>
      </c>
      <c r="N39" s="30" t="s">
        <v>100</v>
      </c>
      <c r="O39" s="30"/>
      <c r="P39" s="30" t="s">
        <v>280</v>
      </c>
      <c r="Q39" s="30" t="s">
        <v>6</v>
      </c>
      <c r="R39" s="30" t="s">
        <v>30</v>
      </c>
      <c r="S39" s="30" t="s">
        <v>13</v>
      </c>
      <c r="T39" s="30" t="s">
        <v>19</v>
      </c>
      <c r="U39" s="30"/>
      <c r="V39" s="30" t="s">
        <v>7</v>
      </c>
      <c r="W39" s="30" t="s">
        <v>10</v>
      </c>
      <c r="X39" s="30" t="s">
        <v>7</v>
      </c>
      <c r="Y39" s="30" t="s">
        <v>112</v>
      </c>
      <c r="Z39" s="30" t="s">
        <v>7</v>
      </c>
      <c r="AA39" s="30" t="s">
        <v>7</v>
      </c>
      <c r="AB39" s="30" t="s">
        <v>7</v>
      </c>
      <c r="AC39" s="30" t="s">
        <v>253</v>
      </c>
      <c r="AD39" s="30" t="s">
        <v>7</v>
      </c>
      <c r="AE39" s="30" t="s">
        <v>7</v>
      </c>
    </row>
    <row r="40" spans="1:31" x14ac:dyDescent="0.25">
      <c r="A40" s="24">
        <f ca="1">DAYS360(INDIRECT(A211&amp;ROW()),TODAY())</f>
        <v>1365</v>
      </c>
      <c r="B40" s="24">
        <f ca="1">DAYS360(INDIRECT(A210&amp;ROW()),TODAY())</f>
        <v>1381</v>
      </c>
      <c r="C40" s="30">
        <v>73109</v>
      </c>
      <c r="D40" s="30" t="s">
        <v>273</v>
      </c>
      <c r="E40" s="30" t="s">
        <v>341</v>
      </c>
      <c r="F40" s="30" t="s">
        <v>11</v>
      </c>
      <c r="G40" s="30" t="s">
        <v>299</v>
      </c>
      <c r="H40" s="30" t="s">
        <v>80</v>
      </c>
      <c r="I40" s="30"/>
      <c r="J40" s="31">
        <v>42347.32953703704</v>
      </c>
      <c r="K40" s="30" t="s">
        <v>20</v>
      </c>
      <c r="L40" s="30" t="s">
        <v>47</v>
      </c>
      <c r="M40" s="31">
        <v>42331.021678240744</v>
      </c>
      <c r="N40" s="30" t="s">
        <v>49</v>
      </c>
      <c r="O40" s="30"/>
      <c r="P40" s="30"/>
      <c r="Q40" s="30" t="s">
        <v>6</v>
      </c>
      <c r="R40" s="30" t="s">
        <v>30</v>
      </c>
      <c r="S40" s="30" t="s">
        <v>24</v>
      </c>
      <c r="T40" s="30" t="s">
        <v>46</v>
      </c>
      <c r="U40" s="30"/>
      <c r="V40" s="30" t="s">
        <v>7</v>
      </c>
      <c r="W40" s="30" t="s">
        <v>10</v>
      </c>
      <c r="X40" s="30" t="s">
        <v>7</v>
      </c>
      <c r="Y40" s="30" t="s">
        <v>112</v>
      </c>
      <c r="Z40" s="30" t="s">
        <v>7</v>
      </c>
      <c r="AA40" s="30" t="s">
        <v>7</v>
      </c>
      <c r="AB40" s="30" t="s">
        <v>7</v>
      </c>
      <c r="AC40" s="30" t="s">
        <v>7</v>
      </c>
      <c r="AD40" s="30" t="s">
        <v>7</v>
      </c>
      <c r="AE40" s="30" t="s">
        <v>7</v>
      </c>
    </row>
    <row r="41" spans="1:31" x14ac:dyDescent="0.25">
      <c r="A41" s="24">
        <f ca="1">DAYS360(INDIRECT(A211&amp;ROW()),TODAY())</f>
        <v>1283</v>
      </c>
      <c r="B41" s="24">
        <f ca="1">DAYS360(INDIRECT(A210&amp;ROW()),TODAY())</f>
        <v>1381</v>
      </c>
      <c r="C41" s="30">
        <v>73112</v>
      </c>
      <c r="D41" s="30" t="s">
        <v>273</v>
      </c>
      <c r="E41" s="30" t="s">
        <v>318</v>
      </c>
      <c r="F41" s="30" t="s">
        <v>11</v>
      </c>
      <c r="G41" s="30" t="s">
        <v>299</v>
      </c>
      <c r="H41" s="30" t="s">
        <v>80</v>
      </c>
      <c r="I41" s="30"/>
      <c r="J41" s="31">
        <v>42430.425196759257</v>
      </c>
      <c r="K41" s="30" t="s">
        <v>20</v>
      </c>
      <c r="L41" s="30" t="s">
        <v>47</v>
      </c>
      <c r="M41" s="31">
        <v>42331.022083333337</v>
      </c>
      <c r="N41" s="30" t="s">
        <v>306</v>
      </c>
      <c r="O41" s="30"/>
      <c r="P41" s="30"/>
      <c r="Q41" s="30" t="s">
        <v>6</v>
      </c>
      <c r="R41" s="30" t="s">
        <v>30</v>
      </c>
      <c r="S41" s="30" t="s">
        <v>24</v>
      </c>
      <c r="T41" s="30" t="s">
        <v>46</v>
      </c>
      <c r="U41" s="30"/>
      <c r="V41" s="30" t="s">
        <v>7</v>
      </c>
      <c r="W41" s="30" t="s">
        <v>10</v>
      </c>
      <c r="X41" s="30" t="s">
        <v>43</v>
      </c>
      <c r="Y41" s="30" t="s">
        <v>112</v>
      </c>
      <c r="Z41" s="30" t="s">
        <v>7</v>
      </c>
      <c r="AA41" s="30" t="s">
        <v>7</v>
      </c>
      <c r="AB41" s="30" t="s">
        <v>7</v>
      </c>
      <c r="AC41" s="30" t="s">
        <v>7</v>
      </c>
      <c r="AD41" s="30" t="s">
        <v>7</v>
      </c>
      <c r="AE41" s="30" t="s">
        <v>7</v>
      </c>
    </row>
    <row r="42" spans="1:31" x14ac:dyDescent="0.25">
      <c r="A42" s="24">
        <f ca="1">DAYS360(INDIRECT(A211&amp;ROW()),TODAY())</f>
        <v>1310</v>
      </c>
      <c r="B42" s="24">
        <f ca="1">DAYS360(INDIRECT(A210&amp;ROW()),TODAY())</f>
        <v>1379</v>
      </c>
      <c r="C42" s="30">
        <v>73298</v>
      </c>
      <c r="D42" s="30" t="s">
        <v>286</v>
      </c>
      <c r="E42" s="30" t="s">
        <v>342</v>
      </c>
      <c r="F42" s="30" t="s">
        <v>138</v>
      </c>
      <c r="G42" s="30" t="s">
        <v>299</v>
      </c>
      <c r="H42" s="30" t="s">
        <v>80</v>
      </c>
      <c r="I42" s="30"/>
      <c r="J42" s="31">
        <v>42404.55097222222</v>
      </c>
      <c r="K42" s="30" t="s">
        <v>20</v>
      </c>
      <c r="L42" s="30" t="s">
        <v>299</v>
      </c>
      <c r="M42" s="31">
        <v>42333.521724537037</v>
      </c>
      <c r="N42" s="30" t="s">
        <v>83</v>
      </c>
      <c r="O42" s="30"/>
      <c r="P42" s="30"/>
      <c r="Q42" s="30" t="s">
        <v>12</v>
      </c>
      <c r="R42" s="30" t="s">
        <v>30</v>
      </c>
      <c r="S42" s="30" t="s">
        <v>8</v>
      </c>
      <c r="T42" s="30" t="s">
        <v>140</v>
      </c>
      <c r="U42" s="30"/>
      <c r="V42" s="30" t="s">
        <v>7</v>
      </c>
      <c r="W42" s="30" t="s">
        <v>10</v>
      </c>
      <c r="X42" s="30" t="s">
        <v>7</v>
      </c>
      <c r="Y42" s="30" t="s">
        <v>112</v>
      </c>
      <c r="Z42" s="30" t="s">
        <v>7</v>
      </c>
      <c r="AA42" s="30" t="s">
        <v>7</v>
      </c>
      <c r="AB42" s="30" t="s">
        <v>7</v>
      </c>
      <c r="AC42" s="30" t="s">
        <v>253</v>
      </c>
      <c r="AD42" s="30" t="s">
        <v>7</v>
      </c>
      <c r="AE42" s="30" t="s">
        <v>7</v>
      </c>
    </row>
    <row r="43" spans="1:31" x14ac:dyDescent="0.25">
      <c r="A43" s="24">
        <f ca="1">DAYS360(INDIRECT(A211&amp;ROW()),TODAY())</f>
        <v>1275</v>
      </c>
      <c r="B43" s="24">
        <f ca="1">DAYS360(INDIRECT(A210&amp;ROW()),TODAY())</f>
        <v>1372</v>
      </c>
      <c r="C43" s="30">
        <v>73571</v>
      </c>
      <c r="D43" s="30" t="s">
        <v>517</v>
      </c>
      <c r="E43" s="30" t="s">
        <v>518</v>
      </c>
      <c r="F43" s="30" t="s">
        <v>11</v>
      </c>
      <c r="G43" s="30" t="s">
        <v>299</v>
      </c>
      <c r="H43" s="30" t="s">
        <v>80</v>
      </c>
      <c r="I43" s="30"/>
      <c r="J43" s="31">
        <v>42438.237766203703</v>
      </c>
      <c r="K43" s="30" t="s">
        <v>20</v>
      </c>
      <c r="L43" s="30" t="s">
        <v>47</v>
      </c>
      <c r="M43" s="31">
        <v>42340.522465277776</v>
      </c>
      <c r="N43" s="30" t="s">
        <v>83</v>
      </c>
      <c r="O43" s="30"/>
      <c r="P43" s="30" t="s">
        <v>496</v>
      </c>
      <c r="Q43" s="30" t="s">
        <v>6</v>
      </c>
      <c r="R43" s="30" t="s">
        <v>30</v>
      </c>
      <c r="S43" s="30" t="s">
        <v>13</v>
      </c>
      <c r="T43" s="30" t="s">
        <v>19</v>
      </c>
      <c r="U43" s="30"/>
      <c r="V43" s="30" t="s">
        <v>7</v>
      </c>
      <c r="W43" s="30" t="s">
        <v>10</v>
      </c>
      <c r="X43" s="30" t="s">
        <v>7</v>
      </c>
      <c r="Y43" s="30" t="s">
        <v>112</v>
      </c>
      <c r="Z43" s="30" t="s">
        <v>7</v>
      </c>
      <c r="AA43" s="30" t="s">
        <v>7</v>
      </c>
      <c r="AB43" s="30" t="s">
        <v>7</v>
      </c>
      <c r="AC43" s="30" t="s">
        <v>7</v>
      </c>
      <c r="AD43" s="30" t="s">
        <v>7</v>
      </c>
      <c r="AE43" s="30" t="s">
        <v>7</v>
      </c>
    </row>
    <row r="44" spans="1:31" x14ac:dyDescent="0.25">
      <c r="A44" s="24">
        <f ca="1">DAYS360(INDIRECT(A211&amp;ROW()),TODAY())</f>
        <v>1365</v>
      </c>
      <c r="B44" s="24">
        <f ca="1">DAYS360(INDIRECT(A210&amp;ROW()),TODAY())</f>
        <v>1365</v>
      </c>
      <c r="C44" s="30">
        <v>73893</v>
      </c>
      <c r="D44" s="30" t="s">
        <v>273</v>
      </c>
      <c r="E44" s="30" t="s">
        <v>343</v>
      </c>
      <c r="F44" s="30" t="s">
        <v>11</v>
      </c>
      <c r="G44" s="30" t="s">
        <v>299</v>
      </c>
      <c r="H44" s="30" t="s">
        <v>80</v>
      </c>
      <c r="I44" s="30"/>
      <c r="J44" s="31">
        <v>42347.593761574077</v>
      </c>
      <c r="K44" s="30" t="s">
        <v>20</v>
      </c>
      <c r="L44" s="30" t="s">
        <v>47</v>
      </c>
      <c r="M44" s="31">
        <v>42347.022800925923</v>
      </c>
      <c r="N44" s="30" t="s">
        <v>306</v>
      </c>
      <c r="O44" s="30"/>
      <c r="P44" s="30"/>
      <c r="Q44" s="30" t="s">
        <v>6</v>
      </c>
      <c r="R44" s="30" t="s">
        <v>30</v>
      </c>
      <c r="S44" s="30" t="s">
        <v>24</v>
      </c>
      <c r="T44" s="30" t="s">
        <v>45</v>
      </c>
      <c r="U44" s="30"/>
      <c r="V44" s="30" t="s">
        <v>7</v>
      </c>
      <c r="W44" s="30" t="s">
        <v>10</v>
      </c>
      <c r="X44" s="30" t="s">
        <v>7</v>
      </c>
      <c r="Y44" s="30" t="s">
        <v>112</v>
      </c>
      <c r="Z44" s="30" t="s">
        <v>7</v>
      </c>
      <c r="AA44" s="30" t="s">
        <v>7</v>
      </c>
      <c r="AB44" s="30" t="s">
        <v>7</v>
      </c>
      <c r="AC44" s="30" t="s">
        <v>7</v>
      </c>
      <c r="AD44" s="30" t="s">
        <v>7</v>
      </c>
      <c r="AE44" s="30" t="s">
        <v>7</v>
      </c>
    </row>
    <row r="45" spans="1:31" x14ac:dyDescent="0.25">
      <c r="A45" s="24">
        <f ca="1">DAYS360(INDIRECT(A211&amp;ROW()),TODAY())</f>
        <v>1275</v>
      </c>
      <c r="B45" s="24">
        <f ca="1">DAYS360(INDIRECT(A210&amp;ROW()),TODAY())</f>
        <v>1363</v>
      </c>
      <c r="C45" s="30">
        <v>74020</v>
      </c>
      <c r="D45" s="30" t="s">
        <v>272</v>
      </c>
      <c r="E45" s="30" t="s">
        <v>495</v>
      </c>
      <c r="F45" s="30" t="s">
        <v>11</v>
      </c>
      <c r="G45" s="30" t="s">
        <v>299</v>
      </c>
      <c r="H45" s="30" t="s">
        <v>80</v>
      </c>
      <c r="I45" s="30"/>
      <c r="J45" s="31">
        <v>42438.567743055559</v>
      </c>
      <c r="K45" s="30" t="s">
        <v>20</v>
      </c>
      <c r="L45" s="30" t="s">
        <v>299</v>
      </c>
      <c r="M45" s="31">
        <v>42349.022430555553</v>
      </c>
      <c r="N45" s="30" t="s">
        <v>115</v>
      </c>
      <c r="O45" s="30"/>
      <c r="P45" s="30" t="s">
        <v>358</v>
      </c>
      <c r="Q45" s="30" t="s">
        <v>6</v>
      </c>
      <c r="R45" s="30" t="s">
        <v>30</v>
      </c>
      <c r="S45" s="30" t="s">
        <v>13</v>
      </c>
      <c r="T45" s="30" t="s">
        <v>302</v>
      </c>
      <c r="U45" s="30"/>
      <c r="V45" s="30" t="s">
        <v>7</v>
      </c>
      <c r="W45" s="30" t="s">
        <v>10</v>
      </c>
      <c r="X45" s="30" t="s">
        <v>7</v>
      </c>
      <c r="Y45" s="30" t="s">
        <v>112</v>
      </c>
      <c r="Z45" s="30" t="s">
        <v>7</v>
      </c>
      <c r="AA45" s="30" t="s">
        <v>7</v>
      </c>
      <c r="AB45" s="30" t="s">
        <v>7</v>
      </c>
      <c r="AC45" s="30" t="s">
        <v>253</v>
      </c>
      <c r="AD45" s="30" t="s">
        <v>7</v>
      </c>
      <c r="AE45" s="30" t="s">
        <v>7</v>
      </c>
    </row>
    <row r="46" spans="1:31" x14ac:dyDescent="0.25">
      <c r="A46" s="24">
        <f ca="1">DAYS360(INDIRECT(A211&amp;ROW()),TODAY())</f>
        <v>1281</v>
      </c>
      <c r="B46" s="24">
        <f ca="1">DAYS360(INDIRECT(A210&amp;ROW()),TODAY())</f>
        <v>1346</v>
      </c>
      <c r="C46" s="30">
        <v>74655</v>
      </c>
      <c r="D46" s="30" t="s">
        <v>286</v>
      </c>
      <c r="E46" s="30" t="s">
        <v>345</v>
      </c>
      <c r="F46" s="30" t="s">
        <v>11</v>
      </c>
      <c r="G46" s="30" t="s">
        <v>299</v>
      </c>
      <c r="H46" s="30" t="s">
        <v>80</v>
      </c>
      <c r="I46" s="30"/>
      <c r="J46" s="31">
        <v>42432.583657407406</v>
      </c>
      <c r="K46" s="30" t="s">
        <v>20</v>
      </c>
      <c r="L46" s="30" t="s">
        <v>47</v>
      </c>
      <c r="M46" s="31">
        <v>42366.522685185184</v>
      </c>
      <c r="N46" s="30" t="s">
        <v>312</v>
      </c>
      <c r="O46" s="30"/>
      <c r="P46" s="30"/>
      <c r="Q46" s="30" t="s">
        <v>6</v>
      </c>
      <c r="R46" s="30" t="s">
        <v>30</v>
      </c>
      <c r="S46" s="30" t="s">
        <v>13</v>
      </c>
      <c r="T46" s="30" t="s">
        <v>19</v>
      </c>
      <c r="U46" s="30"/>
      <c r="V46" s="30" t="s">
        <v>7</v>
      </c>
      <c r="W46" s="30" t="s">
        <v>10</v>
      </c>
      <c r="X46" s="30" t="s">
        <v>7</v>
      </c>
      <c r="Y46" s="30" t="s">
        <v>112</v>
      </c>
      <c r="Z46" s="30" t="s">
        <v>7</v>
      </c>
      <c r="AA46" s="30" t="s">
        <v>7</v>
      </c>
      <c r="AB46" s="30" t="s">
        <v>7</v>
      </c>
      <c r="AC46" s="30" t="s">
        <v>7</v>
      </c>
      <c r="AD46" s="30" t="s">
        <v>7</v>
      </c>
      <c r="AE46" s="30" t="s">
        <v>7</v>
      </c>
    </row>
    <row r="47" spans="1:31" x14ac:dyDescent="0.25">
      <c r="A47" s="24">
        <f ca="1">DAYS360(INDIRECT(A211&amp;ROW()),TODAY())</f>
        <v>1289</v>
      </c>
      <c r="B47" s="24">
        <f ca="1">DAYS360(INDIRECT(A210&amp;ROW()),TODAY())</f>
        <v>1333</v>
      </c>
      <c r="C47" s="30">
        <v>75032</v>
      </c>
      <c r="D47" s="30" t="s">
        <v>275</v>
      </c>
      <c r="E47" s="30" t="s">
        <v>370</v>
      </c>
      <c r="F47" s="30" t="s">
        <v>11</v>
      </c>
      <c r="G47" s="30" t="s">
        <v>299</v>
      </c>
      <c r="H47" s="30" t="s">
        <v>80</v>
      </c>
      <c r="I47" s="30"/>
      <c r="J47" s="31">
        <v>42425.397824074076</v>
      </c>
      <c r="K47" s="30" t="s">
        <v>20</v>
      </c>
      <c r="L47" s="30" t="s">
        <v>47</v>
      </c>
      <c r="M47" s="31">
        <v>42380.523229166669</v>
      </c>
      <c r="N47" s="30" t="s">
        <v>5</v>
      </c>
      <c r="O47" s="30"/>
      <c r="P47" s="30" t="s">
        <v>280</v>
      </c>
      <c r="Q47" s="30" t="s">
        <v>6</v>
      </c>
      <c r="R47" s="30" t="s">
        <v>30</v>
      </c>
      <c r="S47" s="30" t="s">
        <v>13</v>
      </c>
      <c r="T47" s="30" t="s">
        <v>35</v>
      </c>
      <c r="U47" s="30"/>
      <c r="V47" s="30" t="s">
        <v>7</v>
      </c>
      <c r="W47" s="30" t="s">
        <v>10</v>
      </c>
      <c r="X47" s="30" t="s">
        <v>7</v>
      </c>
      <c r="Y47" s="30" t="s">
        <v>112</v>
      </c>
      <c r="Z47" s="30" t="s">
        <v>7</v>
      </c>
      <c r="AA47" s="30" t="s">
        <v>7</v>
      </c>
      <c r="AB47" s="30" t="s">
        <v>7</v>
      </c>
      <c r="AC47" s="30" t="s">
        <v>7</v>
      </c>
      <c r="AD47" s="30" t="s">
        <v>7</v>
      </c>
      <c r="AE47" s="30" t="s">
        <v>7</v>
      </c>
    </row>
    <row r="48" spans="1:31" x14ac:dyDescent="0.25">
      <c r="A48" s="24">
        <f ca="1">DAYS360(INDIRECT(A211&amp;ROW()),TODAY())</f>
        <v>1317</v>
      </c>
      <c r="B48" s="24">
        <f ca="1">DAYS360(INDIRECT(A210&amp;ROW()),TODAY())</f>
        <v>1330</v>
      </c>
      <c r="C48" s="30">
        <v>75154</v>
      </c>
      <c r="D48" s="30" t="s">
        <v>286</v>
      </c>
      <c r="E48" s="30" t="s">
        <v>371</v>
      </c>
      <c r="F48" s="30" t="s">
        <v>11</v>
      </c>
      <c r="G48" s="30" t="s">
        <v>299</v>
      </c>
      <c r="H48" s="30" t="s">
        <v>80</v>
      </c>
      <c r="I48" s="30"/>
      <c r="J48" s="31">
        <v>42396.498668981483</v>
      </c>
      <c r="K48" s="30" t="s">
        <v>20</v>
      </c>
      <c r="L48" s="30" t="s">
        <v>47</v>
      </c>
      <c r="M48" s="31">
        <v>42383.023032407407</v>
      </c>
      <c r="N48" s="30" t="s">
        <v>313</v>
      </c>
      <c r="O48" s="30"/>
      <c r="P48" s="30"/>
      <c r="Q48" s="30" t="s">
        <v>6</v>
      </c>
      <c r="R48" s="30" t="s">
        <v>30</v>
      </c>
      <c r="S48" s="30" t="s">
        <v>8</v>
      </c>
      <c r="T48" s="30" t="s">
        <v>140</v>
      </c>
      <c r="U48" s="30"/>
      <c r="V48" s="30" t="s">
        <v>7</v>
      </c>
      <c r="W48" s="30" t="s">
        <v>10</v>
      </c>
      <c r="X48" s="30" t="s">
        <v>7</v>
      </c>
      <c r="Y48" s="30" t="s">
        <v>112</v>
      </c>
      <c r="Z48" s="30" t="s">
        <v>7</v>
      </c>
      <c r="AA48" s="30" t="s">
        <v>7</v>
      </c>
      <c r="AB48" s="30" t="s">
        <v>7</v>
      </c>
      <c r="AC48" s="30" t="s">
        <v>7</v>
      </c>
      <c r="AD48" s="30" t="s">
        <v>7</v>
      </c>
      <c r="AE48" s="30" t="s">
        <v>7</v>
      </c>
    </row>
    <row r="49" spans="1:31" x14ac:dyDescent="0.25">
      <c r="A49" s="24">
        <f ca="1">DAYS360(INDIRECT(A211&amp;ROW()),TODAY())</f>
        <v>1324</v>
      </c>
      <c r="B49" s="24">
        <f ca="1">DAYS360(INDIRECT(A210&amp;ROW()),TODAY())</f>
        <v>1330</v>
      </c>
      <c r="C49" s="30">
        <v>75177</v>
      </c>
      <c r="D49" s="30" t="s">
        <v>287</v>
      </c>
      <c r="E49" s="30" t="s">
        <v>347</v>
      </c>
      <c r="F49" s="30" t="s">
        <v>11</v>
      </c>
      <c r="G49" s="30" t="s">
        <v>299</v>
      </c>
      <c r="H49" s="30" t="s">
        <v>80</v>
      </c>
      <c r="I49" s="30"/>
      <c r="J49" s="31">
        <v>42389.394513888888</v>
      </c>
      <c r="K49" s="30" t="s">
        <v>20</v>
      </c>
      <c r="L49" s="30" t="s">
        <v>3</v>
      </c>
      <c r="M49" s="31">
        <v>42383.38863425926</v>
      </c>
      <c r="N49" s="30" t="s">
        <v>16</v>
      </c>
      <c r="O49" s="30"/>
      <c r="P49" s="30"/>
      <c r="Q49" s="30" t="s">
        <v>6</v>
      </c>
      <c r="R49" s="30" t="s">
        <v>30</v>
      </c>
      <c r="S49" s="30" t="s">
        <v>13</v>
      </c>
      <c r="T49" s="30" t="s">
        <v>19</v>
      </c>
      <c r="U49" s="30"/>
      <c r="V49" s="30" t="s">
        <v>7</v>
      </c>
      <c r="W49" s="30" t="s">
        <v>10</v>
      </c>
      <c r="X49" s="30" t="s">
        <v>7</v>
      </c>
      <c r="Y49" s="30" t="s">
        <v>112</v>
      </c>
      <c r="Z49" s="30" t="s">
        <v>7</v>
      </c>
      <c r="AA49" s="30" t="s">
        <v>7</v>
      </c>
      <c r="AB49" s="30" t="s">
        <v>7</v>
      </c>
      <c r="AC49" s="30" t="s">
        <v>7</v>
      </c>
      <c r="AD49" s="30" t="s">
        <v>7</v>
      </c>
      <c r="AE49" s="30" t="s">
        <v>7</v>
      </c>
    </row>
    <row r="50" spans="1:31" x14ac:dyDescent="0.25">
      <c r="A50" s="24">
        <f ca="1">DAYS360(INDIRECT(A211&amp;ROW()),TODAY())</f>
        <v>1298</v>
      </c>
      <c r="B50" s="24">
        <f ca="1">DAYS360(INDIRECT(A210&amp;ROW()),TODAY())</f>
        <v>1329</v>
      </c>
      <c r="C50" s="30">
        <v>75233</v>
      </c>
      <c r="D50" s="30" t="s">
        <v>286</v>
      </c>
      <c r="E50" s="30" t="s">
        <v>348</v>
      </c>
      <c r="F50" s="30" t="s">
        <v>11</v>
      </c>
      <c r="G50" s="30" t="s">
        <v>299</v>
      </c>
      <c r="H50" s="30" t="s">
        <v>80</v>
      </c>
      <c r="I50" s="30"/>
      <c r="J50" s="31">
        <v>42416.736076388886</v>
      </c>
      <c r="K50" s="30" t="s">
        <v>20</v>
      </c>
      <c r="L50" s="30" t="s">
        <v>47</v>
      </c>
      <c r="M50" s="31">
        <v>42384.523148148146</v>
      </c>
      <c r="N50" s="30" t="s">
        <v>313</v>
      </c>
      <c r="O50" s="30"/>
      <c r="P50" s="30"/>
      <c r="Q50" s="30" t="s">
        <v>6</v>
      </c>
      <c r="R50" s="30" t="s">
        <v>30</v>
      </c>
      <c r="S50" s="30" t="s">
        <v>13</v>
      </c>
      <c r="T50" s="30" t="s">
        <v>19</v>
      </c>
      <c r="U50" s="30"/>
      <c r="V50" s="30" t="s">
        <v>7</v>
      </c>
      <c r="W50" s="30" t="s">
        <v>10</v>
      </c>
      <c r="X50" s="30" t="s">
        <v>7</v>
      </c>
      <c r="Y50" s="30" t="s">
        <v>112</v>
      </c>
      <c r="Z50" s="30" t="s">
        <v>7</v>
      </c>
      <c r="AA50" s="30" t="s">
        <v>7</v>
      </c>
      <c r="AB50" s="30" t="s">
        <v>7</v>
      </c>
      <c r="AC50" s="30" t="s">
        <v>7</v>
      </c>
      <c r="AD50" s="30" t="s">
        <v>7</v>
      </c>
      <c r="AE50" s="30" t="s">
        <v>7</v>
      </c>
    </row>
    <row r="51" spans="1:31" x14ac:dyDescent="0.25">
      <c r="A51" s="24">
        <f ca="1">DAYS360(INDIRECT(A211&amp;ROW()),TODAY())</f>
        <v>1317</v>
      </c>
      <c r="B51" s="24">
        <f ca="1">DAYS360(INDIRECT(A210&amp;ROW()),TODAY())</f>
        <v>1328</v>
      </c>
      <c r="C51" s="30">
        <v>75248</v>
      </c>
      <c r="D51" s="30" t="s">
        <v>361</v>
      </c>
      <c r="E51" s="30" t="s">
        <v>349</v>
      </c>
      <c r="F51" s="30" t="s">
        <v>11</v>
      </c>
      <c r="G51" s="30" t="s">
        <v>299</v>
      </c>
      <c r="H51" s="30" t="s">
        <v>80</v>
      </c>
      <c r="I51" s="30"/>
      <c r="J51" s="31">
        <v>42396.322569444441</v>
      </c>
      <c r="K51" s="30" t="s">
        <v>20</v>
      </c>
      <c r="L51" s="30" t="s">
        <v>79</v>
      </c>
      <c r="M51" s="31">
        <v>42385.023194444446</v>
      </c>
      <c r="N51" s="30" t="s">
        <v>49</v>
      </c>
      <c r="O51" s="30"/>
      <c r="P51" s="30"/>
      <c r="Q51" s="30" t="s">
        <v>6</v>
      </c>
      <c r="R51" s="30" t="s">
        <v>30</v>
      </c>
      <c r="S51" s="30" t="s">
        <v>8</v>
      </c>
      <c r="T51" s="30" t="s">
        <v>37</v>
      </c>
      <c r="U51" s="30"/>
      <c r="V51" s="30" t="s">
        <v>7</v>
      </c>
      <c r="W51" s="30" t="s">
        <v>10</v>
      </c>
      <c r="X51" s="30" t="s">
        <v>7</v>
      </c>
      <c r="Y51" s="30" t="s">
        <v>112</v>
      </c>
      <c r="Z51" s="30" t="s">
        <v>7</v>
      </c>
      <c r="AA51" s="30" t="s">
        <v>7</v>
      </c>
      <c r="AB51" s="30" t="s">
        <v>7</v>
      </c>
      <c r="AC51" s="30" t="s">
        <v>7</v>
      </c>
      <c r="AD51" s="30" t="s">
        <v>7</v>
      </c>
      <c r="AE51" s="30" t="s">
        <v>7</v>
      </c>
    </row>
    <row r="52" spans="1:31" x14ac:dyDescent="0.25">
      <c r="A52" s="24">
        <f ca="1">DAYS360(INDIRECT(A211&amp;ROW()),TODAY())</f>
        <v>1317</v>
      </c>
      <c r="B52" s="24">
        <f ca="1">DAYS360(INDIRECT(A210&amp;ROW()),TODAY())</f>
        <v>1328</v>
      </c>
      <c r="C52" s="30">
        <v>75263</v>
      </c>
      <c r="D52" s="30" t="s">
        <v>286</v>
      </c>
      <c r="E52" s="30" t="s">
        <v>372</v>
      </c>
      <c r="F52" s="30" t="s">
        <v>11</v>
      </c>
      <c r="G52" s="30" t="s">
        <v>299</v>
      </c>
      <c r="H52" s="30" t="s">
        <v>80</v>
      </c>
      <c r="I52" s="30"/>
      <c r="J52" s="31">
        <v>42396.494270833333</v>
      </c>
      <c r="K52" s="30" t="s">
        <v>20</v>
      </c>
      <c r="L52" s="30" t="s">
        <v>47</v>
      </c>
      <c r="M52" s="31">
        <v>42385.523194444446</v>
      </c>
      <c r="N52" s="30" t="s">
        <v>313</v>
      </c>
      <c r="O52" s="30"/>
      <c r="P52" s="30"/>
      <c r="Q52" s="30" t="s">
        <v>6</v>
      </c>
      <c r="R52" s="30" t="s">
        <v>30</v>
      </c>
      <c r="S52" s="30" t="s">
        <v>24</v>
      </c>
      <c r="T52" s="30" t="s">
        <v>373</v>
      </c>
      <c r="U52" s="30"/>
      <c r="V52" s="30" t="s">
        <v>7</v>
      </c>
      <c r="W52" s="30" t="s">
        <v>10</v>
      </c>
      <c r="X52" s="30" t="s">
        <v>7</v>
      </c>
      <c r="Y52" s="30" t="s">
        <v>112</v>
      </c>
      <c r="Z52" s="30" t="s">
        <v>7</v>
      </c>
      <c r="AA52" s="30" t="s">
        <v>7</v>
      </c>
      <c r="AB52" s="30" t="s">
        <v>7</v>
      </c>
      <c r="AC52" s="30" t="s">
        <v>7</v>
      </c>
      <c r="AD52" s="30" t="s">
        <v>7</v>
      </c>
      <c r="AE52" s="30" t="s">
        <v>7</v>
      </c>
    </row>
    <row r="53" spans="1:31" x14ac:dyDescent="0.25">
      <c r="A53" s="24">
        <f ca="1">DAYS360(INDIRECT(A211&amp;ROW()),TODAY())</f>
        <v>1298</v>
      </c>
      <c r="B53" s="24">
        <f ca="1">DAYS360(INDIRECT(A210&amp;ROW()),TODAY())</f>
        <v>1326</v>
      </c>
      <c r="C53" s="30">
        <v>75311</v>
      </c>
      <c r="D53" s="30" t="s">
        <v>286</v>
      </c>
      <c r="E53" s="30" t="s">
        <v>350</v>
      </c>
      <c r="F53" s="30" t="s">
        <v>138</v>
      </c>
      <c r="G53" s="30" t="s">
        <v>299</v>
      </c>
      <c r="H53" s="30" t="s">
        <v>80</v>
      </c>
      <c r="I53" s="30"/>
      <c r="J53" s="31">
        <v>42416.732766203706</v>
      </c>
      <c r="K53" s="30" t="s">
        <v>20</v>
      </c>
      <c r="L53" s="30" t="s">
        <v>3</v>
      </c>
      <c r="M53" s="31">
        <v>42387.523576388892</v>
      </c>
      <c r="N53" s="30" t="s">
        <v>197</v>
      </c>
      <c r="O53" s="30"/>
      <c r="P53" s="30"/>
      <c r="Q53" s="30" t="s">
        <v>17</v>
      </c>
      <c r="R53" s="30" t="s">
        <v>30</v>
      </c>
      <c r="S53" s="30" t="s">
        <v>8</v>
      </c>
      <c r="T53" s="30" t="s">
        <v>187</v>
      </c>
      <c r="U53" s="30"/>
      <c r="V53" s="30" t="s">
        <v>7</v>
      </c>
      <c r="W53" s="30" t="s">
        <v>10</v>
      </c>
      <c r="X53" s="30" t="s">
        <v>7</v>
      </c>
      <c r="Y53" s="30" t="s">
        <v>112</v>
      </c>
      <c r="Z53" s="30" t="s">
        <v>7</v>
      </c>
      <c r="AA53" s="30" t="s">
        <v>7</v>
      </c>
      <c r="AB53" s="30" t="s">
        <v>7</v>
      </c>
      <c r="AC53" s="30" t="s">
        <v>7</v>
      </c>
      <c r="AD53" s="30" t="s">
        <v>7</v>
      </c>
      <c r="AE53" s="30" t="s">
        <v>7</v>
      </c>
    </row>
    <row r="54" spans="1:31" x14ac:dyDescent="0.25">
      <c r="A54" s="24">
        <f ca="1">DAYS360(INDIRECT(A211&amp;ROW()),TODAY())</f>
        <v>1298</v>
      </c>
      <c r="B54" s="24">
        <f ca="1">DAYS360(INDIRECT(A210&amp;ROW()),TODAY())</f>
        <v>1322</v>
      </c>
      <c r="C54" s="30">
        <v>75742</v>
      </c>
      <c r="D54" s="30" t="s">
        <v>285</v>
      </c>
      <c r="E54" s="30" t="s">
        <v>351</v>
      </c>
      <c r="F54" s="30" t="s">
        <v>11</v>
      </c>
      <c r="G54" s="30" t="s">
        <v>299</v>
      </c>
      <c r="H54" s="30" t="s">
        <v>80</v>
      </c>
      <c r="I54" s="30"/>
      <c r="J54" s="31">
        <v>42416.607233796298</v>
      </c>
      <c r="K54" s="30" t="s">
        <v>20</v>
      </c>
      <c r="L54" s="30" t="s">
        <v>79</v>
      </c>
      <c r="M54" s="31">
        <v>42391.347048611111</v>
      </c>
      <c r="N54" s="30" t="s">
        <v>29</v>
      </c>
      <c r="O54" s="30"/>
      <c r="P54" s="30" t="s">
        <v>280</v>
      </c>
      <c r="Q54" s="30" t="s">
        <v>6</v>
      </c>
      <c r="R54" s="30" t="s">
        <v>30</v>
      </c>
      <c r="S54" s="30" t="s">
        <v>8</v>
      </c>
      <c r="T54" s="30" t="s">
        <v>140</v>
      </c>
      <c r="U54" s="30"/>
      <c r="V54" s="30" t="s">
        <v>7</v>
      </c>
      <c r="W54" s="30" t="s">
        <v>10</v>
      </c>
      <c r="X54" s="30" t="s">
        <v>7</v>
      </c>
      <c r="Y54" s="30" t="s">
        <v>112</v>
      </c>
      <c r="Z54" s="30" t="s">
        <v>7</v>
      </c>
      <c r="AA54" s="30" t="s">
        <v>7</v>
      </c>
      <c r="AB54" s="30" t="s">
        <v>7</v>
      </c>
      <c r="AC54" s="30" t="s">
        <v>7</v>
      </c>
      <c r="AD54" s="30" t="s">
        <v>7</v>
      </c>
      <c r="AE54" s="30" t="s">
        <v>7</v>
      </c>
    </row>
    <row r="55" spans="1:31" x14ac:dyDescent="0.25">
      <c r="A55" s="24">
        <f ca="1">DAYS360(INDIRECT(A211&amp;ROW()),TODAY())</f>
        <v>1322</v>
      </c>
      <c r="B55" s="24">
        <f ca="1">DAYS360(INDIRECT(A210&amp;ROW()),TODAY())</f>
        <v>1322</v>
      </c>
      <c r="C55" s="30">
        <v>75751</v>
      </c>
      <c r="D55" s="30" t="s">
        <v>276</v>
      </c>
      <c r="E55" s="30" t="s">
        <v>352</v>
      </c>
      <c r="F55" s="30" t="s">
        <v>11</v>
      </c>
      <c r="G55" s="30" t="s">
        <v>299</v>
      </c>
      <c r="H55" s="30" t="s">
        <v>80</v>
      </c>
      <c r="I55" s="30"/>
      <c r="J55" s="31">
        <v>42391.485150462962</v>
      </c>
      <c r="K55" s="30" t="s">
        <v>20</v>
      </c>
      <c r="L55" s="30" t="s">
        <v>3</v>
      </c>
      <c r="M55" s="31">
        <v>42391.485150462962</v>
      </c>
      <c r="N55" s="30" t="s">
        <v>39</v>
      </c>
      <c r="O55" s="30"/>
      <c r="P55" s="30"/>
      <c r="Q55" s="30" t="s">
        <v>6</v>
      </c>
      <c r="R55" s="30" t="s">
        <v>7</v>
      </c>
      <c r="S55" s="30" t="s">
        <v>8</v>
      </c>
      <c r="T55" s="30" t="s">
        <v>116</v>
      </c>
      <c r="U55" s="30"/>
      <c r="V55" s="30" t="s">
        <v>7</v>
      </c>
      <c r="W55" s="30" t="s">
        <v>10</v>
      </c>
      <c r="X55" s="30" t="s">
        <v>7</v>
      </c>
      <c r="Y55" s="30" t="s">
        <v>112</v>
      </c>
      <c r="Z55" s="30" t="s">
        <v>7</v>
      </c>
      <c r="AA55" s="30" t="s">
        <v>7</v>
      </c>
      <c r="AB55" s="30" t="s">
        <v>7</v>
      </c>
      <c r="AC55" s="30" t="s">
        <v>7</v>
      </c>
      <c r="AD55" s="30" t="s">
        <v>7</v>
      </c>
      <c r="AE55" s="30" t="s">
        <v>7</v>
      </c>
    </row>
    <row r="56" spans="1:31" x14ac:dyDescent="0.25">
      <c r="A56" s="24">
        <f ca="1">DAYS360(INDIRECT(A211&amp;ROW()),TODAY())</f>
        <v>1322</v>
      </c>
      <c r="B56" s="24">
        <f ca="1">DAYS360(INDIRECT(A210&amp;ROW()),TODAY())</f>
        <v>1322</v>
      </c>
      <c r="C56" s="30">
        <v>75752</v>
      </c>
      <c r="D56" s="30" t="s">
        <v>275</v>
      </c>
      <c r="E56" s="30" t="s">
        <v>353</v>
      </c>
      <c r="F56" s="30" t="s">
        <v>11</v>
      </c>
      <c r="G56" s="30" t="s">
        <v>299</v>
      </c>
      <c r="H56" s="30" t="s">
        <v>80</v>
      </c>
      <c r="I56" s="30"/>
      <c r="J56" s="31">
        <v>42391.485277777778</v>
      </c>
      <c r="K56" s="30" t="s">
        <v>20</v>
      </c>
      <c r="L56" s="30" t="s">
        <v>3</v>
      </c>
      <c r="M56" s="31">
        <v>42391.485277777778</v>
      </c>
      <c r="N56" s="30" t="s">
        <v>153</v>
      </c>
      <c r="O56" s="30"/>
      <c r="P56" s="30"/>
      <c r="Q56" s="30" t="s">
        <v>6</v>
      </c>
      <c r="R56" s="30" t="s">
        <v>7</v>
      </c>
      <c r="S56" s="30" t="s">
        <v>8</v>
      </c>
      <c r="T56" s="30" t="s">
        <v>116</v>
      </c>
      <c r="U56" s="30"/>
      <c r="V56" s="30" t="s">
        <v>7</v>
      </c>
      <c r="W56" s="30" t="s">
        <v>10</v>
      </c>
      <c r="X56" s="30" t="s">
        <v>7</v>
      </c>
      <c r="Y56" s="30" t="s">
        <v>112</v>
      </c>
      <c r="Z56" s="30" t="s">
        <v>7</v>
      </c>
      <c r="AA56" s="30" t="s">
        <v>7</v>
      </c>
      <c r="AB56" s="30" t="s">
        <v>7</v>
      </c>
      <c r="AC56" s="30" t="s">
        <v>7</v>
      </c>
      <c r="AD56" s="30" t="s">
        <v>7</v>
      </c>
      <c r="AE56" s="30" t="s">
        <v>7</v>
      </c>
    </row>
    <row r="57" spans="1:31" x14ac:dyDescent="0.25">
      <c r="A57" s="24">
        <f ca="1">DAYS360(INDIRECT(A211&amp;ROW()),TODAY())</f>
        <v>1281</v>
      </c>
      <c r="B57" s="24">
        <f ca="1">DAYS360(INDIRECT(A210&amp;ROW()),TODAY())</f>
        <v>1322</v>
      </c>
      <c r="C57" s="30">
        <v>75754</v>
      </c>
      <c r="D57" s="30" t="s">
        <v>274</v>
      </c>
      <c r="E57" s="30" t="s">
        <v>354</v>
      </c>
      <c r="F57" s="30" t="s">
        <v>11</v>
      </c>
      <c r="G57" s="30" t="s">
        <v>299</v>
      </c>
      <c r="H57" s="30" t="s">
        <v>80</v>
      </c>
      <c r="I57" s="30"/>
      <c r="J57" s="31">
        <v>42432.625011574077</v>
      </c>
      <c r="K57" s="30" t="s">
        <v>20</v>
      </c>
      <c r="L57" s="30" t="s">
        <v>3</v>
      </c>
      <c r="M57" s="31">
        <v>42391.485532407409</v>
      </c>
      <c r="N57" s="30" t="s">
        <v>39</v>
      </c>
      <c r="O57" s="30"/>
      <c r="P57" s="30"/>
      <c r="Q57" s="30" t="s">
        <v>6</v>
      </c>
      <c r="R57" s="30" t="s">
        <v>30</v>
      </c>
      <c r="S57" s="30" t="s">
        <v>13</v>
      </c>
      <c r="T57" s="30" t="s">
        <v>19</v>
      </c>
      <c r="U57" s="30"/>
      <c r="V57" s="30" t="s">
        <v>7</v>
      </c>
      <c r="W57" s="30" t="s">
        <v>10</v>
      </c>
      <c r="X57" s="30" t="s">
        <v>7</v>
      </c>
      <c r="Y57" s="30" t="s">
        <v>112</v>
      </c>
      <c r="Z57" s="30" t="s">
        <v>7</v>
      </c>
      <c r="AA57" s="30" t="s">
        <v>7</v>
      </c>
      <c r="AB57" s="30" t="s">
        <v>7</v>
      </c>
      <c r="AC57" s="30" t="s">
        <v>7</v>
      </c>
      <c r="AD57" s="30" t="s">
        <v>7</v>
      </c>
      <c r="AE57" s="30" t="s">
        <v>7</v>
      </c>
    </row>
    <row r="58" spans="1:31" x14ac:dyDescent="0.25">
      <c r="A58" s="24">
        <f ca="1">DAYS360(INDIRECT(A211&amp;ROW()),TODAY())</f>
        <v>1281</v>
      </c>
      <c r="B58" s="24">
        <f ca="1">DAYS360(INDIRECT(A210&amp;ROW()),TODAY())</f>
        <v>1322</v>
      </c>
      <c r="C58" s="30">
        <v>75755</v>
      </c>
      <c r="D58" s="30" t="s">
        <v>315</v>
      </c>
      <c r="E58" s="30" t="s">
        <v>355</v>
      </c>
      <c r="F58" s="30" t="s">
        <v>11</v>
      </c>
      <c r="G58" s="30" t="s">
        <v>299</v>
      </c>
      <c r="H58" s="30" t="s">
        <v>80</v>
      </c>
      <c r="I58" s="30" t="s">
        <v>319</v>
      </c>
      <c r="J58" s="31">
        <v>42432.619953703703</v>
      </c>
      <c r="K58" s="30" t="s">
        <v>20</v>
      </c>
      <c r="L58" s="30" t="s">
        <v>44</v>
      </c>
      <c r="M58" s="31">
        <v>42391.485775462963</v>
      </c>
      <c r="N58" s="30" t="s">
        <v>39</v>
      </c>
      <c r="O58" s="30"/>
      <c r="P58" s="30"/>
      <c r="Q58" s="30" t="s">
        <v>6</v>
      </c>
      <c r="R58" s="30" t="s">
        <v>30</v>
      </c>
      <c r="S58" s="30" t="s">
        <v>13</v>
      </c>
      <c r="T58" s="30" t="s">
        <v>19</v>
      </c>
      <c r="U58" s="30"/>
      <c r="V58" s="30" t="s">
        <v>7</v>
      </c>
      <c r="W58" s="30" t="s">
        <v>10</v>
      </c>
      <c r="X58" s="30" t="s">
        <v>7</v>
      </c>
      <c r="Y58" s="30" t="s">
        <v>112</v>
      </c>
      <c r="Z58" s="30" t="s">
        <v>7</v>
      </c>
      <c r="AA58" s="30" t="s">
        <v>7</v>
      </c>
      <c r="AB58" s="30" t="s">
        <v>7</v>
      </c>
      <c r="AC58" s="30" t="s">
        <v>7</v>
      </c>
      <c r="AD58" s="30" t="s">
        <v>7</v>
      </c>
      <c r="AE58" s="30" t="s">
        <v>7</v>
      </c>
    </row>
    <row r="59" spans="1:31" x14ac:dyDescent="0.25">
      <c r="A59" s="24">
        <f ca="1">DAYS360(INDIRECT(A211&amp;ROW()),TODAY())</f>
        <v>1281</v>
      </c>
      <c r="B59" s="24">
        <f ca="1">DAYS360(INDIRECT(A210&amp;ROW()),TODAY())</f>
        <v>1318</v>
      </c>
      <c r="C59" s="30">
        <v>75896</v>
      </c>
      <c r="D59" s="30" t="s">
        <v>286</v>
      </c>
      <c r="E59" s="30" t="s">
        <v>374</v>
      </c>
      <c r="F59" s="30" t="s">
        <v>11</v>
      </c>
      <c r="G59" s="30" t="s">
        <v>299</v>
      </c>
      <c r="H59" s="30" t="s">
        <v>80</v>
      </c>
      <c r="I59" s="30"/>
      <c r="J59" s="31">
        <v>42432.588622685187</v>
      </c>
      <c r="K59" s="30" t="s">
        <v>20</v>
      </c>
      <c r="L59" s="30" t="s">
        <v>47</v>
      </c>
      <c r="M59" s="31">
        <v>42395.299189814818</v>
      </c>
      <c r="N59" s="30" t="s">
        <v>313</v>
      </c>
      <c r="O59" s="30"/>
      <c r="P59" s="30"/>
      <c r="Q59" s="30" t="s">
        <v>6</v>
      </c>
      <c r="R59" s="30" t="s">
        <v>30</v>
      </c>
      <c r="S59" s="30" t="s">
        <v>13</v>
      </c>
      <c r="T59" s="30" t="s">
        <v>19</v>
      </c>
      <c r="U59" s="30"/>
      <c r="V59" s="30" t="s">
        <v>7</v>
      </c>
      <c r="W59" s="30" t="s">
        <v>10</v>
      </c>
      <c r="X59" s="30" t="s">
        <v>7</v>
      </c>
      <c r="Y59" s="30" t="s">
        <v>112</v>
      </c>
      <c r="Z59" s="30" t="s">
        <v>7</v>
      </c>
      <c r="AA59" s="30" t="s">
        <v>7</v>
      </c>
      <c r="AB59" s="30" t="s">
        <v>7</v>
      </c>
      <c r="AC59" s="30" t="s">
        <v>7</v>
      </c>
      <c r="AD59" s="30" t="s">
        <v>7</v>
      </c>
      <c r="AE59" s="30" t="s">
        <v>7</v>
      </c>
    </row>
    <row r="60" spans="1:31" x14ac:dyDescent="0.25">
      <c r="A60" s="24">
        <f ca="1">DAYS360(INDIRECT(A211&amp;ROW()),TODAY())</f>
        <v>1284</v>
      </c>
      <c r="B60" s="24">
        <f ca="1">DAYS360(INDIRECT(A210&amp;ROW()),TODAY())</f>
        <v>1317</v>
      </c>
      <c r="C60" s="30">
        <v>76037</v>
      </c>
      <c r="D60" s="30" t="s">
        <v>273</v>
      </c>
      <c r="E60" s="30" t="s">
        <v>375</v>
      </c>
      <c r="F60" s="30" t="s">
        <v>138</v>
      </c>
      <c r="G60" s="30" t="s">
        <v>299</v>
      </c>
      <c r="H60" s="30" t="s">
        <v>80</v>
      </c>
      <c r="I60" s="30"/>
      <c r="J60" s="31">
        <v>42429.626770833333</v>
      </c>
      <c r="K60" s="30" t="s">
        <v>20</v>
      </c>
      <c r="L60" s="30" t="s">
        <v>47</v>
      </c>
      <c r="M60" s="31">
        <v>42396.692870370367</v>
      </c>
      <c r="N60" s="30" t="s">
        <v>83</v>
      </c>
      <c r="O60" s="30"/>
      <c r="P60" s="30"/>
      <c r="Q60" s="30" t="s">
        <v>12</v>
      </c>
      <c r="R60" s="30" t="s">
        <v>30</v>
      </c>
      <c r="S60" s="30" t="s">
        <v>13</v>
      </c>
      <c r="T60" s="30" t="s">
        <v>19</v>
      </c>
      <c r="U60" s="30"/>
      <c r="V60" s="30" t="s">
        <v>7</v>
      </c>
      <c r="W60" s="30" t="s">
        <v>88</v>
      </c>
      <c r="X60" s="30" t="s">
        <v>7</v>
      </c>
      <c r="Y60" s="30" t="s">
        <v>112</v>
      </c>
      <c r="Z60" s="30" t="s">
        <v>7</v>
      </c>
      <c r="AA60" s="30" t="s">
        <v>7</v>
      </c>
      <c r="AB60" s="30" t="s">
        <v>7</v>
      </c>
      <c r="AC60" s="30" t="s">
        <v>7</v>
      </c>
      <c r="AD60" s="30" t="s">
        <v>7</v>
      </c>
      <c r="AE60" s="30" t="s">
        <v>7</v>
      </c>
    </row>
    <row r="61" spans="1:31" x14ac:dyDescent="0.25">
      <c r="A61" s="24">
        <f ca="1">DAYS360(INDIRECT(A211&amp;ROW()),TODAY())</f>
        <v>1317</v>
      </c>
      <c r="B61" s="24">
        <f ca="1">DAYS360(INDIRECT(A210&amp;ROW()),TODAY())</f>
        <v>1317</v>
      </c>
      <c r="C61" s="30">
        <v>76038</v>
      </c>
      <c r="D61" s="30" t="s">
        <v>276</v>
      </c>
      <c r="E61" s="30" t="s">
        <v>376</v>
      </c>
      <c r="F61" s="30" t="s">
        <v>138</v>
      </c>
      <c r="G61" s="30" t="s">
        <v>299</v>
      </c>
      <c r="H61" s="30" t="s">
        <v>80</v>
      </c>
      <c r="I61" s="30"/>
      <c r="J61" s="31">
        <v>42396.693159722221</v>
      </c>
      <c r="K61" s="30" t="s">
        <v>20</v>
      </c>
      <c r="L61" s="30" t="s">
        <v>79</v>
      </c>
      <c r="M61" s="31">
        <v>42396.693159722221</v>
      </c>
      <c r="N61" s="30" t="s">
        <v>115</v>
      </c>
      <c r="O61" s="30"/>
      <c r="P61" s="30"/>
      <c r="Q61" s="30" t="s">
        <v>12</v>
      </c>
      <c r="R61" s="30" t="s">
        <v>30</v>
      </c>
      <c r="S61" s="30" t="s">
        <v>8</v>
      </c>
      <c r="T61" s="30" t="s">
        <v>116</v>
      </c>
      <c r="U61" s="30"/>
      <c r="V61" s="30" t="s">
        <v>7</v>
      </c>
      <c r="W61" s="30" t="s">
        <v>10</v>
      </c>
      <c r="X61" s="30" t="s">
        <v>7</v>
      </c>
      <c r="Y61" s="30" t="s">
        <v>112</v>
      </c>
      <c r="Z61" s="30" t="s">
        <v>7</v>
      </c>
      <c r="AA61" s="30" t="s">
        <v>7</v>
      </c>
      <c r="AB61" s="30" t="s">
        <v>7</v>
      </c>
      <c r="AC61" s="30" t="s">
        <v>7</v>
      </c>
      <c r="AD61" s="30" t="s">
        <v>7</v>
      </c>
      <c r="AE61" s="30" t="s">
        <v>7</v>
      </c>
    </row>
    <row r="62" spans="1:31" x14ac:dyDescent="0.25">
      <c r="A62" s="24">
        <f ca="1">DAYS360(INDIRECT(A211&amp;ROW()),TODAY())</f>
        <v>1317</v>
      </c>
      <c r="B62" s="24">
        <f ca="1">DAYS360(INDIRECT(A210&amp;ROW()),TODAY())</f>
        <v>1317</v>
      </c>
      <c r="C62" s="30">
        <v>76039</v>
      </c>
      <c r="D62" s="30" t="s">
        <v>286</v>
      </c>
      <c r="E62" s="30" t="s">
        <v>377</v>
      </c>
      <c r="F62" s="30" t="s">
        <v>138</v>
      </c>
      <c r="G62" s="30" t="s">
        <v>299</v>
      </c>
      <c r="H62" s="30" t="s">
        <v>80</v>
      </c>
      <c r="I62" s="30"/>
      <c r="J62" s="31">
        <v>42396.69327546296</v>
      </c>
      <c r="K62" s="30" t="s">
        <v>20</v>
      </c>
      <c r="L62" s="30" t="s">
        <v>47</v>
      </c>
      <c r="M62" s="31">
        <v>42396.69327546296</v>
      </c>
      <c r="N62" s="30" t="s">
        <v>115</v>
      </c>
      <c r="O62" s="30"/>
      <c r="P62" s="30"/>
      <c r="Q62" s="30" t="s">
        <v>12</v>
      </c>
      <c r="R62" s="30" t="s">
        <v>30</v>
      </c>
      <c r="S62" s="30" t="s">
        <v>13</v>
      </c>
      <c r="T62" s="30" t="s">
        <v>19</v>
      </c>
      <c r="U62" s="30"/>
      <c r="V62" s="30" t="s">
        <v>7</v>
      </c>
      <c r="W62" s="30" t="s">
        <v>10</v>
      </c>
      <c r="X62" s="30" t="s">
        <v>7</v>
      </c>
      <c r="Y62" s="30" t="s">
        <v>112</v>
      </c>
      <c r="Z62" s="30" t="s">
        <v>7</v>
      </c>
      <c r="AA62" s="30" t="s">
        <v>7</v>
      </c>
      <c r="AB62" s="30" t="s">
        <v>7</v>
      </c>
      <c r="AC62" s="30" t="s">
        <v>7</v>
      </c>
      <c r="AD62" s="30" t="s">
        <v>7</v>
      </c>
      <c r="AE62" s="30" t="s">
        <v>7</v>
      </c>
    </row>
    <row r="63" spans="1:31" x14ac:dyDescent="0.25">
      <c r="A63" s="24">
        <f ca="1">DAYS360(INDIRECT(A211&amp;ROW()),TODAY())</f>
        <v>1304</v>
      </c>
      <c r="B63" s="24">
        <f ca="1">DAYS360(INDIRECT(A210&amp;ROW()),TODAY())</f>
        <v>1317</v>
      </c>
      <c r="C63" s="30">
        <v>76040</v>
      </c>
      <c r="D63" s="30" t="s">
        <v>272</v>
      </c>
      <c r="E63" s="30" t="s">
        <v>378</v>
      </c>
      <c r="F63" s="30" t="s">
        <v>138</v>
      </c>
      <c r="G63" s="30" t="s">
        <v>299</v>
      </c>
      <c r="H63" s="30" t="s">
        <v>80</v>
      </c>
      <c r="I63" s="30"/>
      <c r="J63" s="31">
        <v>42410.563113425924</v>
      </c>
      <c r="K63" s="30" t="s">
        <v>20</v>
      </c>
      <c r="L63" s="30" t="s">
        <v>3</v>
      </c>
      <c r="M63" s="31">
        <v>42396.693414351852</v>
      </c>
      <c r="N63" s="30" t="s">
        <v>5</v>
      </c>
      <c r="O63" s="30"/>
      <c r="P63" s="30"/>
      <c r="Q63" s="30" t="s">
        <v>12</v>
      </c>
      <c r="R63" s="30" t="s">
        <v>379</v>
      </c>
      <c r="S63" s="30" t="s">
        <v>13</v>
      </c>
      <c r="T63" s="30" t="s">
        <v>19</v>
      </c>
      <c r="U63" s="30"/>
      <c r="V63" s="30" t="s">
        <v>7</v>
      </c>
      <c r="W63" s="30" t="s">
        <v>10</v>
      </c>
      <c r="X63" s="30" t="s">
        <v>7</v>
      </c>
      <c r="Y63" s="30" t="s">
        <v>112</v>
      </c>
      <c r="Z63" s="30" t="s">
        <v>7</v>
      </c>
      <c r="AA63" s="30" t="s">
        <v>7</v>
      </c>
      <c r="AB63" s="30" t="s">
        <v>7</v>
      </c>
      <c r="AC63" s="30" t="s">
        <v>7</v>
      </c>
      <c r="AD63" s="30" t="s">
        <v>7</v>
      </c>
      <c r="AE63" s="30" t="s">
        <v>7</v>
      </c>
    </row>
    <row r="64" spans="1:31" x14ac:dyDescent="0.25">
      <c r="A64" s="24">
        <f ca="1">DAYS360(INDIRECT(A211&amp;ROW()),TODAY())</f>
        <v>1312</v>
      </c>
      <c r="B64" s="24">
        <f ca="1">DAYS360(INDIRECT(A210&amp;ROW()),TODAY())</f>
        <v>1317</v>
      </c>
      <c r="C64" s="30">
        <v>76041</v>
      </c>
      <c r="D64" s="30" t="s">
        <v>273</v>
      </c>
      <c r="E64" s="30" t="s">
        <v>380</v>
      </c>
      <c r="F64" s="30" t="s">
        <v>138</v>
      </c>
      <c r="G64" s="30" t="s">
        <v>299</v>
      </c>
      <c r="H64" s="30" t="s">
        <v>80</v>
      </c>
      <c r="I64" s="30"/>
      <c r="J64" s="31">
        <v>42402.62358796296</v>
      </c>
      <c r="K64" s="30" t="s">
        <v>20</v>
      </c>
      <c r="L64" s="30" t="s">
        <v>3</v>
      </c>
      <c r="M64" s="31">
        <v>42396.69358796296</v>
      </c>
      <c r="N64" s="30" t="s">
        <v>42</v>
      </c>
      <c r="O64" s="30"/>
      <c r="P64" s="30"/>
      <c r="Q64" s="30" t="s">
        <v>12</v>
      </c>
      <c r="R64" s="30" t="s">
        <v>7</v>
      </c>
      <c r="S64" s="30" t="s">
        <v>24</v>
      </c>
      <c r="T64" s="30" t="s">
        <v>31</v>
      </c>
      <c r="U64" s="30"/>
      <c r="V64" s="30" t="s">
        <v>7</v>
      </c>
      <c r="W64" s="30" t="s">
        <v>10</v>
      </c>
      <c r="X64" s="30" t="s">
        <v>7</v>
      </c>
      <c r="Y64" s="30" t="s">
        <v>112</v>
      </c>
      <c r="Z64" s="30" t="s">
        <v>7</v>
      </c>
      <c r="AA64" s="30" t="s">
        <v>7</v>
      </c>
      <c r="AB64" s="30" t="s">
        <v>7</v>
      </c>
      <c r="AC64" s="30" t="s">
        <v>7</v>
      </c>
      <c r="AD64" s="30" t="s">
        <v>7</v>
      </c>
      <c r="AE64" s="30" t="s">
        <v>7</v>
      </c>
    </row>
    <row r="65" spans="1:31" x14ac:dyDescent="0.25">
      <c r="A65" s="24">
        <f ca="1">DAYS360(INDIRECT(A211&amp;ROW()),TODAY())</f>
        <v>1289</v>
      </c>
      <c r="B65" s="24">
        <f ca="1">DAYS360(INDIRECT(A210&amp;ROW()),TODAY())</f>
        <v>1317</v>
      </c>
      <c r="C65" s="30">
        <v>76042</v>
      </c>
      <c r="D65" s="30" t="s">
        <v>288</v>
      </c>
      <c r="E65" s="30" t="s">
        <v>381</v>
      </c>
      <c r="F65" s="30" t="s">
        <v>138</v>
      </c>
      <c r="G65" s="30" t="s">
        <v>299</v>
      </c>
      <c r="H65" s="30" t="s">
        <v>80</v>
      </c>
      <c r="I65" s="30"/>
      <c r="J65" s="31">
        <v>42425.405949074076</v>
      </c>
      <c r="K65" s="30" t="s">
        <v>20</v>
      </c>
      <c r="L65" s="30" t="s">
        <v>3</v>
      </c>
      <c r="M65" s="31">
        <v>42396.693819444445</v>
      </c>
      <c r="N65" s="30" t="s">
        <v>5</v>
      </c>
      <c r="O65" s="30"/>
      <c r="P65" s="30"/>
      <c r="Q65" s="30" t="s">
        <v>12</v>
      </c>
      <c r="R65" s="30" t="s">
        <v>7</v>
      </c>
      <c r="S65" s="30" t="s">
        <v>13</v>
      </c>
      <c r="T65" s="30" t="s">
        <v>101</v>
      </c>
      <c r="U65" s="30"/>
      <c r="V65" s="30" t="s">
        <v>7</v>
      </c>
      <c r="W65" s="30" t="s">
        <v>26</v>
      </c>
      <c r="X65" s="30" t="s">
        <v>7</v>
      </c>
      <c r="Y65" s="30" t="s">
        <v>112</v>
      </c>
      <c r="Z65" s="30" t="s">
        <v>7</v>
      </c>
      <c r="AA65" s="30" t="s">
        <v>7</v>
      </c>
      <c r="AB65" s="30" t="s">
        <v>7</v>
      </c>
      <c r="AC65" s="30" t="s">
        <v>7</v>
      </c>
      <c r="AD65" s="30" t="s">
        <v>7</v>
      </c>
      <c r="AE65" s="30" t="s">
        <v>7</v>
      </c>
    </row>
    <row r="66" spans="1:31" x14ac:dyDescent="0.25">
      <c r="A66" s="24">
        <f ca="1">DAYS360(INDIRECT(A211&amp;ROW()),TODAY())</f>
        <v>1305</v>
      </c>
      <c r="B66" s="24">
        <f ca="1">DAYS360(INDIRECT(A210&amp;ROW()),TODAY())</f>
        <v>1317</v>
      </c>
      <c r="C66" s="30">
        <v>76043</v>
      </c>
      <c r="D66" s="30" t="s">
        <v>277</v>
      </c>
      <c r="E66" s="30" t="s">
        <v>382</v>
      </c>
      <c r="F66" s="30" t="s">
        <v>138</v>
      </c>
      <c r="G66" s="30" t="s">
        <v>299</v>
      </c>
      <c r="H66" s="30" t="s">
        <v>80</v>
      </c>
      <c r="I66" s="30"/>
      <c r="J66" s="31">
        <v>42409.360636574071</v>
      </c>
      <c r="K66" s="30" t="s">
        <v>20</v>
      </c>
      <c r="L66" s="30" t="s">
        <v>3</v>
      </c>
      <c r="M66" s="31">
        <v>42396.69394675926</v>
      </c>
      <c r="N66" s="30" t="s">
        <v>39</v>
      </c>
      <c r="O66" s="30"/>
      <c r="P66" s="30"/>
      <c r="Q66" s="30" t="s">
        <v>12</v>
      </c>
      <c r="R66" s="30" t="s">
        <v>7</v>
      </c>
      <c r="S66" s="30" t="s">
        <v>8</v>
      </c>
      <c r="T66" s="30" t="s">
        <v>293</v>
      </c>
      <c r="U66" s="30"/>
      <c r="V66" s="30" t="s">
        <v>7</v>
      </c>
      <c r="W66" s="30" t="s">
        <v>10</v>
      </c>
      <c r="X66" s="30" t="s">
        <v>7</v>
      </c>
      <c r="Y66" s="30" t="s">
        <v>112</v>
      </c>
      <c r="Z66" s="30" t="s">
        <v>7</v>
      </c>
      <c r="AA66" s="30" t="s">
        <v>7</v>
      </c>
      <c r="AB66" s="30" t="s">
        <v>7</v>
      </c>
      <c r="AC66" s="30" t="s">
        <v>7</v>
      </c>
      <c r="AD66" s="30" t="s">
        <v>7</v>
      </c>
      <c r="AE66" s="30" t="s">
        <v>7</v>
      </c>
    </row>
    <row r="67" spans="1:31" x14ac:dyDescent="0.25">
      <c r="A67" s="24">
        <f ca="1">DAYS360(INDIRECT(A211&amp;ROW()),TODAY())</f>
        <v>1289</v>
      </c>
      <c r="B67" s="24">
        <f ca="1">DAYS360(INDIRECT(A210&amp;ROW()),TODAY())</f>
        <v>1317</v>
      </c>
      <c r="C67" s="30">
        <v>76044</v>
      </c>
      <c r="D67" s="30" t="s">
        <v>286</v>
      </c>
      <c r="E67" s="30" t="s">
        <v>383</v>
      </c>
      <c r="F67" s="30" t="s">
        <v>138</v>
      </c>
      <c r="G67" s="30" t="s">
        <v>299</v>
      </c>
      <c r="H67" s="30" t="s">
        <v>80</v>
      </c>
      <c r="I67" s="30"/>
      <c r="J67" s="31">
        <v>42425.411122685182</v>
      </c>
      <c r="K67" s="30" t="s">
        <v>20</v>
      </c>
      <c r="L67" s="30" t="s">
        <v>3</v>
      </c>
      <c r="M67" s="31">
        <v>42396.694178240738</v>
      </c>
      <c r="N67" s="30" t="s">
        <v>29</v>
      </c>
      <c r="O67" s="30"/>
      <c r="P67" s="30"/>
      <c r="Q67" s="30" t="s">
        <v>12</v>
      </c>
      <c r="R67" s="30" t="s">
        <v>30</v>
      </c>
      <c r="S67" s="30" t="s">
        <v>13</v>
      </c>
      <c r="T67" s="30" t="s">
        <v>19</v>
      </c>
      <c r="U67" s="30"/>
      <c r="V67" s="30" t="s">
        <v>7</v>
      </c>
      <c r="W67" s="30" t="s">
        <v>10</v>
      </c>
      <c r="X67" s="30" t="s">
        <v>7</v>
      </c>
      <c r="Y67" s="30" t="s">
        <v>112</v>
      </c>
      <c r="Z67" s="30" t="s">
        <v>7</v>
      </c>
      <c r="AA67" s="30" t="s">
        <v>7</v>
      </c>
      <c r="AB67" s="30" t="s">
        <v>7</v>
      </c>
      <c r="AC67" s="30" t="s">
        <v>7</v>
      </c>
      <c r="AD67" s="30" t="s">
        <v>7</v>
      </c>
      <c r="AE67" s="30" t="s">
        <v>7</v>
      </c>
    </row>
    <row r="68" spans="1:31" x14ac:dyDescent="0.25">
      <c r="A68" s="24">
        <f ca="1">DAYS360(INDIRECT(A211&amp;ROW()),TODAY())</f>
        <v>1317</v>
      </c>
      <c r="B68" s="24">
        <f ca="1">DAYS360(INDIRECT(A210&amp;ROW()),TODAY())</f>
        <v>1317</v>
      </c>
      <c r="C68" s="30">
        <v>76045</v>
      </c>
      <c r="D68" s="30" t="s">
        <v>290</v>
      </c>
      <c r="E68" s="30" t="s">
        <v>384</v>
      </c>
      <c r="F68" s="30" t="s">
        <v>138</v>
      </c>
      <c r="G68" s="30" t="s">
        <v>299</v>
      </c>
      <c r="H68" s="30" t="s">
        <v>80</v>
      </c>
      <c r="I68" s="30"/>
      <c r="J68" s="31">
        <v>42396.729467592595</v>
      </c>
      <c r="K68" s="30" t="s">
        <v>20</v>
      </c>
      <c r="L68" s="30" t="s">
        <v>3</v>
      </c>
      <c r="M68" s="31">
        <v>42396.729467592595</v>
      </c>
      <c r="N68" s="30" t="s">
        <v>22</v>
      </c>
      <c r="O68" s="30"/>
      <c r="P68" s="30"/>
      <c r="Q68" s="30" t="s">
        <v>17</v>
      </c>
      <c r="R68" s="30" t="s">
        <v>30</v>
      </c>
      <c r="S68" s="30" t="s">
        <v>24</v>
      </c>
      <c r="T68" s="30" t="s">
        <v>291</v>
      </c>
      <c r="U68" s="30"/>
      <c r="V68" s="30" t="s">
        <v>7</v>
      </c>
      <c r="W68" s="30" t="s">
        <v>10</v>
      </c>
      <c r="X68" s="30" t="s">
        <v>7</v>
      </c>
      <c r="Y68" s="30" t="s">
        <v>112</v>
      </c>
      <c r="Z68" s="30" t="s">
        <v>7</v>
      </c>
      <c r="AA68" s="30" t="s">
        <v>7</v>
      </c>
      <c r="AB68" s="30" t="s">
        <v>7</v>
      </c>
      <c r="AC68" s="30" t="s">
        <v>7</v>
      </c>
      <c r="AD68" s="30" t="s">
        <v>7</v>
      </c>
      <c r="AE68" s="30" t="s">
        <v>7</v>
      </c>
    </row>
    <row r="69" spans="1:31" x14ac:dyDescent="0.25">
      <c r="A69" s="24">
        <f ca="1">DAYS360(INDIRECT(A211&amp;ROW()),TODAY())</f>
        <v>1317</v>
      </c>
      <c r="B69" s="24">
        <f ca="1">DAYS360(INDIRECT(A210&amp;ROW()),TODAY())</f>
        <v>1317</v>
      </c>
      <c r="C69" s="30">
        <v>76047</v>
      </c>
      <c r="D69" s="30" t="s">
        <v>273</v>
      </c>
      <c r="E69" s="30" t="s">
        <v>385</v>
      </c>
      <c r="F69" s="30" t="s">
        <v>138</v>
      </c>
      <c r="G69" s="30" t="s">
        <v>299</v>
      </c>
      <c r="H69" s="30" t="s">
        <v>80</v>
      </c>
      <c r="I69" s="30"/>
      <c r="J69" s="31">
        <v>42396.729861111111</v>
      </c>
      <c r="K69" s="30" t="s">
        <v>20</v>
      </c>
      <c r="L69" s="30" t="s">
        <v>79</v>
      </c>
      <c r="M69" s="31">
        <v>42396.729861111111</v>
      </c>
      <c r="N69" s="30" t="s">
        <v>55</v>
      </c>
      <c r="O69" s="30"/>
      <c r="P69" s="30"/>
      <c r="Q69" s="30" t="s">
        <v>17</v>
      </c>
      <c r="R69" s="30" t="s">
        <v>30</v>
      </c>
      <c r="S69" s="30" t="s">
        <v>24</v>
      </c>
      <c r="T69" s="30" t="s">
        <v>184</v>
      </c>
      <c r="U69" s="30"/>
      <c r="V69" s="30" t="s">
        <v>7</v>
      </c>
      <c r="W69" s="30" t="s">
        <v>10</v>
      </c>
      <c r="X69" s="30" t="s">
        <v>7</v>
      </c>
      <c r="Y69" s="30" t="s">
        <v>112</v>
      </c>
      <c r="Z69" s="30" t="s">
        <v>7</v>
      </c>
      <c r="AA69" s="30" t="s">
        <v>7</v>
      </c>
      <c r="AB69" s="30" t="s">
        <v>7</v>
      </c>
      <c r="AC69" s="30" t="s">
        <v>7</v>
      </c>
      <c r="AD69" s="30" t="s">
        <v>7</v>
      </c>
      <c r="AE69" s="30" t="s">
        <v>7</v>
      </c>
    </row>
    <row r="70" spans="1:31" x14ac:dyDescent="0.25">
      <c r="A70" s="24">
        <f ca="1">DAYS360(INDIRECT(A211&amp;ROW()),TODAY())</f>
        <v>1317</v>
      </c>
      <c r="B70" s="24">
        <f ca="1">DAYS360(INDIRECT(A210&amp;ROW()),TODAY())</f>
        <v>1317</v>
      </c>
      <c r="C70" s="30">
        <v>76048</v>
      </c>
      <c r="D70" s="30" t="s">
        <v>278</v>
      </c>
      <c r="E70" s="30" t="s">
        <v>386</v>
      </c>
      <c r="F70" s="30" t="s">
        <v>138</v>
      </c>
      <c r="G70" s="30" t="s">
        <v>299</v>
      </c>
      <c r="H70" s="30" t="s">
        <v>80</v>
      </c>
      <c r="I70" s="30"/>
      <c r="J70" s="31">
        <v>42396.730034722219</v>
      </c>
      <c r="K70" s="30" t="s">
        <v>20</v>
      </c>
      <c r="L70" s="30" t="s">
        <v>3</v>
      </c>
      <c r="M70" s="31">
        <v>42396.730034722219</v>
      </c>
      <c r="N70" s="30" t="s">
        <v>39</v>
      </c>
      <c r="O70" s="30"/>
      <c r="P70" s="30"/>
      <c r="Q70" s="30" t="s">
        <v>17</v>
      </c>
      <c r="R70" s="30" t="s">
        <v>30</v>
      </c>
      <c r="S70" s="30" t="s">
        <v>24</v>
      </c>
      <c r="T70" s="30" t="s">
        <v>184</v>
      </c>
      <c r="U70" s="30"/>
      <c r="V70" s="30" t="s">
        <v>7</v>
      </c>
      <c r="W70" s="30" t="s">
        <v>10</v>
      </c>
      <c r="X70" s="30" t="s">
        <v>7</v>
      </c>
      <c r="Y70" s="30" t="s">
        <v>112</v>
      </c>
      <c r="Z70" s="30" t="s">
        <v>7</v>
      </c>
      <c r="AA70" s="30" t="s">
        <v>7</v>
      </c>
      <c r="AB70" s="30" t="s">
        <v>7</v>
      </c>
      <c r="AC70" s="30" t="s">
        <v>7</v>
      </c>
      <c r="AD70" s="30" t="s">
        <v>7</v>
      </c>
      <c r="AE70" s="30" t="s">
        <v>7</v>
      </c>
    </row>
    <row r="71" spans="1:31" x14ac:dyDescent="0.25">
      <c r="A71" s="24">
        <f ca="1">DAYS360(INDIRECT(A211&amp;ROW()),TODAY())</f>
        <v>1317</v>
      </c>
      <c r="B71" s="24">
        <f ca="1">DAYS360(INDIRECT(A210&amp;ROW()),TODAY())</f>
        <v>1317</v>
      </c>
      <c r="C71" s="30">
        <v>76049</v>
      </c>
      <c r="D71" s="30" t="s">
        <v>286</v>
      </c>
      <c r="E71" s="30" t="s">
        <v>387</v>
      </c>
      <c r="F71" s="30" t="s">
        <v>138</v>
      </c>
      <c r="G71" s="30" t="s">
        <v>299</v>
      </c>
      <c r="H71" s="30" t="s">
        <v>80</v>
      </c>
      <c r="I71" s="30" t="s">
        <v>319</v>
      </c>
      <c r="J71" s="31">
        <v>42396.730150462965</v>
      </c>
      <c r="K71" s="30" t="s">
        <v>20</v>
      </c>
      <c r="L71" s="30" t="s">
        <v>3</v>
      </c>
      <c r="M71" s="31">
        <v>42396.730150462965</v>
      </c>
      <c r="N71" s="30" t="s">
        <v>114</v>
      </c>
      <c r="O71" s="30"/>
      <c r="P71" s="30"/>
      <c r="Q71" s="30" t="s">
        <v>17</v>
      </c>
      <c r="R71" s="30" t="s">
        <v>7</v>
      </c>
      <c r="S71" s="30" t="s">
        <v>13</v>
      </c>
      <c r="T71" s="30" t="s">
        <v>19</v>
      </c>
      <c r="U71" s="30"/>
      <c r="V71" s="30" t="s">
        <v>7</v>
      </c>
      <c r="W71" s="30" t="s">
        <v>26</v>
      </c>
      <c r="X71" s="30" t="s">
        <v>7</v>
      </c>
      <c r="Y71" s="30" t="s">
        <v>112</v>
      </c>
      <c r="Z71" s="30" t="s">
        <v>7</v>
      </c>
      <c r="AA71" s="30" t="s">
        <v>7</v>
      </c>
      <c r="AB71" s="30" t="s">
        <v>7</v>
      </c>
      <c r="AC71" s="30" t="s">
        <v>7</v>
      </c>
      <c r="AD71" s="30" t="s">
        <v>7</v>
      </c>
      <c r="AE71" s="30" t="s">
        <v>7</v>
      </c>
    </row>
    <row r="72" spans="1:31" x14ac:dyDescent="0.25">
      <c r="A72" s="24">
        <f ca="1">DAYS360(INDIRECT(A211&amp;ROW()),TODAY())</f>
        <v>1298</v>
      </c>
      <c r="B72" s="24">
        <f ca="1">DAYS360(INDIRECT(A210&amp;ROW()),TODAY())</f>
        <v>1317</v>
      </c>
      <c r="C72" s="30">
        <v>76050</v>
      </c>
      <c r="D72" s="30" t="s">
        <v>284</v>
      </c>
      <c r="E72" s="30" t="s">
        <v>388</v>
      </c>
      <c r="F72" s="30" t="s">
        <v>138</v>
      </c>
      <c r="G72" s="30" t="s">
        <v>299</v>
      </c>
      <c r="H72" s="30" t="s">
        <v>80</v>
      </c>
      <c r="I72" s="30"/>
      <c r="J72" s="31">
        <v>42416.621319444443</v>
      </c>
      <c r="K72" s="30" t="s">
        <v>20</v>
      </c>
      <c r="L72" s="30" t="s">
        <v>3</v>
      </c>
      <c r="M72" s="31">
        <v>42396.730358796296</v>
      </c>
      <c r="N72" s="30" t="s">
        <v>29</v>
      </c>
      <c r="O72" s="30"/>
      <c r="P72" s="30"/>
      <c r="Q72" s="30" t="s">
        <v>17</v>
      </c>
      <c r="R72" s="30" t="s">
        <v>30</v>
      </c>
      <c r="S72" s="30" t="s">
        <v>8</v>
      </c>
      <c r="T72" s="30" t="s">
        <v>37</v>
      </c>
      <c r="U72" s="30"/>
      <c r="V72" s="30" t="s">
        <v>7</v>
      </c>
      <c r="W72" s="30" t="s">
        <v>10</v>
      </c>
      <c r="X72" s="30" t="s">
        <v>7</v>
      </c>
      <c r="Y72" s="30" t="s">
        <v>112</v>
      </c>
      <c r="Z72" s="30" t="s">
        <v>7</v>
      </c>
      <c r="AA72" s="30" t="s">
        <v>7</v>
      </c>
      <c r="AB72" s="30" t="s">
        <v>7</v>
      </c>
      <c r="AC72" s="30" t="s">
        <v>7</v>
      </c>
      <c r="AD72" s="30" t="s">
        <v>7</v>
      </c>
      <c r="AE72" s="30" t="s">
        <v>7</v>
      </c>
    </row>
    <row r="73" spans="1:31" x14ac:dyDescent="0.25">
      <c r="A73" s="24">
        <f ca="1">DAYS360(INDIRECT(A211&amp;ROW()),TODAY())</f>
        <v>1317</v>
      </c>
      <c r="B73" s="24">
        <f ca="1">DAYS360(INDIRECT(A210&amp;ROW()),TODAY())</f>
        <v>1317</v>
      </c>
      <c r="C73" s="30">
        <v>76052</v>
      </c>
      <c r="D73" s="30" t="s">
        <v>389</v>
      </c>
      <c r="E73" s="30" t="s">
        <v>390</v>
      </c>
      <c r="F73" s="30" t="s">
        <v>138</v>
      </c>
      <c r="G73" s="30" t="s">
        <v>299</v>
      </c>
      <c r="H73" s="30" t="s">
        <v>80</v>
      </c>
      <c r="I73" s="30"/>
      <c r="J73" s="31">
        <v>42396.73065972222</v>
      </c>
      <c r="K73" s="30" t="s">
        <v>20</v>
      </c>
      <c r="L73" s="30" t="s">
        <v>3</v>
      </c>
      <c r="M73" s="31">
        <v>42396.73065972222</v>
      </c>
      <c r="N73" s="30" t="s">
        <v>294</v>
      </c>
      <c r="O73" s="30"/>
      <c r="P73" s="30"/>
      <c r="Q73" s="30" t="s">
        <v>17</v>
      </c>
      <c r="R73" s="30" t="s">
        <v>30</v>
      </c>
      <c r="S73" s="30" t="s">
        <v>24</v>
      </c>
      <c r="T73" s="30" t="s">
        <v>45</v>
      </c>
      <c r="U73" s="30"/>
      <c r="V73" s="30" t="s">
        <v>7</v>
      </c>
      <c r="W73" s="30" t="s">
        <v>10</v>
      </c>
      <c r="X73" s="30" t="s">
        <v>7</v>
      </c>
      <c r="Y73" s="30" t="s">
        <v>112</v>
      </c>
      <c r="Z73" s="30" t="s">
        <v>7</v>
      </c>
      <c r="AA73" s="30" t="s">
        <v>7</v>
      </c>
      <c r="AB73" s="30" t="s">
        <v>7</v>
      </c>
      <c r="AC73" s="30" t="s">
        <v>7</v>
      </c>
      <c r="AD73" s="30" t="s">
        <v>7</v>
      </c>
      <c r="AE73" s="30" t="s">
        <v>7</v>
      </c>
    </row>
    <row r="74" spans="1:31" x14ac:dyDescent="0.25">
      <c r="A74" s="24">
        <f ca="1">DAYS360(INDIRECT(A211&amp;ROW()),TODAY())</f>
        <v>1317</v>
      </c>
      <c r="B74" s="24">
        <f ca="1">DAYS360(INDIRECT(A210&amp;ROW()),TODAY())</f>
        <v>1317</v>
      </c>
      <c r="C74" s="30">
        <v>76053</v>
      </c>
      <c r="D74" s="30" t="s">
        <v>289</v>
      </c>
      <c r="E74" s="30" t="s">
        <v>391</v>
      </c>
      <c r="F74" s="30" t="s">
        <v>138</v>
      </c>
      <c r="G74" s="30" t="s">
        <v>299</v>
      </c>
      <c r="H74" s="30" t="s">
        <v>80</v>
      </c>
      <c r="I74" s="30"/>
      <c r="J74" s="31">
        <v>42396.730810185189</v>
      </c>
      <c r="K74" s="30" t="s">
        <v>20</v>
      </c>
      <c r="L74" s="30" t="s">
        <v>3</v>
      </c>
      <c r="M74" s="31">
        <v>42396.730810185189</v>
      </c>
      <c r="N74" s="30" t="s">
        <v>39</v>
      </c>
      <c r="O74" s="30"/>
      <c r="P74" s="30"/>
      <c r="Q74" s="30" t="s">
        <v>17</v>
      </c>
      <c r="R74" s="30" t="s">
        <v>7</v>
      </c>
      <c r="S74" s="30" t="s">
        <v>8</v>
      </c>
      <c r="T74" s="30" t="s">
        <v>37</v>
      </c>
      <c r="U74" s="30"/>
      <c r="V74" s="30" t="s">
        <v>7</v>
      </c>
      <c r="W74" s="30" t="s">
        <v>10</v>
      </c>
      <c r="X74" s="30" t="s">
        <v>7</v>
      </c>
      <c r="Y74" s="30" t="s">
        <v>112</v>
      </c>
      <c r="Z74" s="30" t="s">
        <v>7</v>
      </c>
      <c r="AA74" s="30" t="s">
        <v>7</v>
      </c>
      <c r="AB74" s="30" t="s">
        <v>7</v>
      </c>
      <c r="AC74" s="30" t="s">
        <v>7</v>
      </c>
      <c r="AD74" s="30" t="s">
        <v>7</v>
      </c>
      <c r="AE74" s="30" t="s">
        <v>7</v>
      </c>
    </row>
    <row r="75" spans="1:31" x14ac:dyDescent="0.25">
      <c r="A75" s="24">
        <f ca="1">DAYS360(INDIRECT(A211&amp;ROW()),TODAY())</f>
        <v>1284</v>
      </c>
      <c r="B75" s="24">
        <f ca="1">DAYS360(INDIRECT(A210&amp;ROW()),TODAY())</f>
        <v>1317</v>
      </c>
      <c r="C75" s="30">
        <v>76055</v>
      </c>
      <c r="D75" s="30" t="s">
        <v>274</v>
      </c>
      <c r="E75" s="30" t="s">
        <v>392</v>
      </c>
      <c r="F75" s="30" t="s">
        <v>138</v>
      </c>
      <c r="G75" s="30" t="s">
        <v>299</v>
      </c>
      <c r="H75" s="30" t="s">
        <v>80</v>
      </c>
      <c r="I75" s="30"/>
      <c r="J75" s="31">
        <v>42429.472060185188</v>
      </c>
      <c r="K75" s="30" t="s">
        <v>20</v>
      </c>
      <c r="L75" s="30" t="s">
        <v>79</v>
      </c>
      <c r="M75" s="31">
        <v>42396.731273148151</v>
      </c>
      <c r="N75" s="30" t="s">
        <v>503</v>
      </c>
      <c r="O75" s="30"/>
      <c r="P75" s="30"/>
      <c r="Q75" s="30" t="s">
        <v>17</v>
      </c>
      <c r="R75" s="30" t="s">
        <v>30</v>
      </c>
      <c r="S75" s="30" t="s">
        <v>13</v>
      </c>
      <c r="T75" s="30" t="s">
        <v>19</v>
      </c>
      <c r="U75" s="30"/>
      <c r="V75" s="30" t="s">
        <v>7</v>
      </c>
      <c r="W75" s="30" t="s">
        <v>10</v>
      </c>
      <c r="X75" s="30" t="s">
        <v>43</v>
      </c>
      <c r="Y75" s="30" t="s">
        <v>112</v>
      </c>
      <c r="Z75" s="30" t="s">
        <v>7</v>
      </c>
      <c r="AA75" s="30" t="s">
        <v>7</v>
      </c>
      <c r="AB75" s="30" t="s">
        <v>7</v>
      </c>
      <c r="AC75" s="30" t="s">
        <v>7</v>
      </c>
      <c r="AD75" s="30" t="s">
        <v>7</v>
      </c>
      <c r="AE75" s="30" t="s">
        <v>7</v>
      </c>
    </row>
    <row r="76" spans="1:31" x14ac:dyDescent="0.25">
      <c r="A76" s="24">
        <f ca="1">DAYS360(INDIRECT($A$211&amp;ROW()),TODAY())</f>
        <v>1289</v>
      </c>
      <c r="B76" s="24">
        <f ca="1">DAYS360(INDIRECT(A210&amp;ROW()),TODAY())</f>
        <v>1317</v>
      </c>
      <c r="C76" s="30">
        <v>76059</v>
      </c>
      <c r="D76" s="30" t="s">
        <v>274</v>
      </c>
      <c r="E76" s="30" t="s">
        <v>393</v>
      </c>
      <c r="F76" s="30" t="s">
        <v>138</v>
      </c>
      <c r="G76" s="30" t="s">
        <v>299</v>
      </c>
      <c r="H76" s="30" t="s">
        <v>80</v>
      </c>
      <c r="I76" s="30" t="s">
        <v>394</v>
      </c>
      <c r="J76" s="31">
        <v>42425.406481481485</v>
      </c>
      <c r="K76" s="30" t="s">
        <v>20</v>
      </c>
      <c r="L76" s="30" t="s">
        <v>79</v>
      </c>
      <c r="M76" s="31">
        <v>42396.731817129628</v>
      </c>
      <c r="N76" s="30" t="s">
        <v>5</v>
      </c>
      <c r="O76" s="30"/>
      <c r="P76" s="30"/>
      <c r="Q76" s="30" t="s">
        <v>17</v>
      </c>
      <c r="R76" s="30" t="s">
        <v>30</v>
      </c>
      <c r="S76" s="30" t="s">
        <v>13</v>
      </c>
      <c r="T76" s="30" t="s">
        <v>35</v>
      </c>
      <c r="U76" s="30"/>
      <c r="V76" s="30" t="s">
        <v>7</v>
      </c>
      <c r="W76" s="30" t="s">
        <v>10</v>
      </c>
      <c r="X76" s="30" t="s">
        <v>7</v>
      </c>
      <c r="Y76" s="30" t="s">
        <v>112</v>
      </c>
      <c r="Z76" s="30" t="s">
        <v>7</v>
      </c>
      <c r="AA76" s="30" t="s">
        <v>7</v>
      </c>
      <c r="AB76" s="30" t="s">
        <v>7</v>
      </c>
      <c r="AC76" s="30" t="s">
        <v>7</v>
      </c>
      <c r="AD76" s="30" t="s">
        <v>7</v>
      </c>
      <c r="AE76" s="30" t="s">
        <v>7</v>
      </c>
    </row>
    <row r="77" spans="1:31" x14ac:dyDescent="0.25">
      <c r="A77" s="24">
        <f ca="1">DAYS360(INDIRECT($A$211&amp;ROW()),TODAY())</f>
        <v>1275</v>
      </c>
      <c r="B77" s="24">
        <f ca="1">DAYS360(INDIRECT($A$210&amp;ROW()),TODAY())</f>
        <v>1317</v>
      </c>
      <c r="C77" s="30">
        <v>76060</v>
      </c>
      <c r="D77" s="30" t="s">
        <v>272</v>
      </c>
      <c r="E77" s="30" t="s">
        <v>395</v>
      </c>
      <c r="F77" s="30" t="s">
        <v>11</v>
      </c>
      <c r="G77" s="30" t="s">
        <v>299</v>
      </c>
      <c r="H77" s="30" t="s">
        <v>80</v>
      </c>
      <c r="I77" s="30"/>
      <c r="J77" s="31">
        <v>42438.600243055553</v>
      </c>
      <c r="K77" s="30" t="s">
        <v>20</v>
      </c>
      <c r="L77" s="30" t="s">
        <v>3</v>
      </c>
      <c r="M77" s="31">
        <v>42396.73196759259</v>
      </c>
      <c r="N77" s="30" t="s">
        <v>39</v>
      </c>
      <c r="O77" s="30"/>
      <c r="P77" s="30"/>
      <c r="Q77" s="30" t="s">
        <v>6</v>
      </c>
      <c r="R77" s="30" t="s">
        <v>7</v>
      </c>
      <c r="S77" s="30" t="s">
        <v>13</v>
      </c>
      <c r="T77" s="30" t="s">
        <v>19</v>
      </c>
      <c r="U77" s="30"/>
      <c r="V77" s="30" t="s">
        <v>7</v>
      </c>
      <c r="W77" s="30" t="s">
        <v>10</v>
      </c>
      <c r="X77" s="30" t="s">
        <v>7</v>
      </c>
      <c r="Y77" s="30" t="s">
        <v>112</v>
      </c>
      <c r="Z77" s="30" t="s">
        <v>7</v>
      </c>
      <c r="AA77" s="30" t="s">
        <v>7</v>
      </c>
      <c r="AB77" s="30" t="s">
        <v>7</v>
      </c>
      <c r="AC77" s="30" t="s">
        <v>7</v>
      </c>
      <c r="AD77" s="30" t="s">
        <v>7</v>
      </c>
      <c r="AE77" s="30" t="s">
        <v>7</v>
      </c>
    </row>
    <row r="78" spans="1:31" x14ac:dyDescent="0.25">
      <c r="A78" s="24">
        <f ca="1">DAYS360(INDIRECT($A$211&amp;ROW()),TODAY())</f>
        <v>1317</v>
      </c>
      <c r="B78" s="24">
        <f ca="1">DAYS360(INDIRECT($A$210&amp;ROW()),TODAY())</f>
        <v>1317</v>
      </c>
      <c r="C78" s="30">
        <v>76061</v>
      </c>
      <c r="D78" s="30" t="s">
        <v>289</v>
      </c>
      <c r="E78" s="30" t="s">
        <v>396</v>
      </c>
      <c r="F78" s="30" t="s">
        <v>138</v>
      </c>
      <c r="G78" s="30" t="s">
        <v>299</v>
      </c>
      <c r="H78" s="30" t="s">
        <v>80</v>
      </c>
      <c r="I78" s="30"/>
      <c r="J78" s="31">
        <v>42396.732129629629</v>
      </c>
      <c r="K78" s="30" t="s">
        <v>20</v>
      </c>
      <c r="L78" s="30" t="s">
        <v>3</v>
      </c>
      <c r="M78" s="31">
        <v>42396.732129629629</v>
      </c>
      <c r="N78" s="30" t="s">
        <v>39</v>
      </c>
      <c r="O78" s="30"/>
      <c r="P78" s="30"/>
      <c r="Q78" s="30" t="s">
        <v>17</v>
      </c>
      <c r="R78" s="30" t="s">
        <v>7</v>
      </c>
      <c r="S78" s="30" t="s">
        <v>8</v>
      </c>
      <c r="T78" s="30" t="s">
        <v>37</v>
      </c>
      <c r="U78" s="30"/>
      <c r="V78" s="30" t="s">
        <v>7</v>
      </c>
      <c r="W78" s="30" t="s">
        <v>10</v>
      </c>
      <c r="X78" s="30" t="s">
        <v>7</v>
      </c>
      <c r="Y78" s="30" t="s">
        <v>112</v>
      </c>
      <c r="Z78" s="30" t="s">
        <v>7</v>
      </c>
      <c r="AA78" s="30" t="s">
        <v>7</v>
      </c>
      <c r="AB78" s="30" t="s">
        <v>7</v>
      </c>
      <c r="AC78" s="30" t="s">
        <v>7</v>
      </c>
      <c r="AD78" s="30" t="s">
        <v>7</v>
      </c>
      <c r="AE78" s="30" t="s">
        <v>7</v>
      </c>
    </row>
    <row r="79" spans="1:31" x14ac:dyDescent="0.25">
      <c r="A79" s="24">
        <f t="shared" ref="A79:A142" ca="1" si="0">DAYS360(INDIRECT($A$211&amp;ROW()),TODAY())</f>
        <v>1313</v>
      </c>
      <c r="B79" s="24">
        <f t="shared" ref="B79:B142" ca="1" si="1">DAYS360(INDIRECT($A$210&amp;ROW()),TODAY())</f>
        <v>1317</v>
      </c>
      <c r="C79" s="30">
        <v>76062</v>
      </c>
      <c r="D79" s="30" t="s">
        <v>285</v>
      </c>
      <c r="E79" s="30" t="s">
        <v>397</v>
      </c>
      <c r="F79" s="30" t="s">
        <v>138</v>
      </c>
      <c r="G79" s="30" t="s">
        <v>299</v>
      </c>
      <c r="H79" s="30" t="s">
        <v>80</v>
      </c>
      <c r="I79" s="30"/>
      <c r="J79" s="31">
        <v>42401.301481481481</v>
      </c>
      <c r="K79" s="30" t="s">
        <v>20</v>
      </c>
      <c r="L79" s="30" t="s">
        <v>79</v>
      </c>
      <c r="M79" s="31">
        <v>42396.73238425926</v>
      </c>
      <c r="N79" s="30" t="s">
        <v>39</v>
      </c>
      <c r="O79" s="30"/>
      <c r="P79" s="30"/>
      <c r="Q79" s="30" t="s">
        <v>17</v>
      </c>
      <c r="R79" s="30" t="s">
        <v>30</v>
      </c>
      <c r="S79" s="30" t="s">
        <v>13</v>
      </c>
      <c r="T79" s="30" t="s">
        <v>19</v>
      </c>
      <c r="U79" s="30"/>
      <c r="V79" s="30" t="s">
        <v>7</v>
      </c>
      <c r="W79" s="30" t="s">
        <v>10</v>
      </c>
      <c r="X79" s="30" t="s">
        <v>7</v>
      </c>
      <c r="Y79" s="30" t="s">
        <v>112</v>
      </c>
      <c r="Z79" s="30" t="s">
        <v>7</v>
      </c>
      <c r="AA79" s="30" t="s">
        <v>7</v>
      </c>
      <c r="AB79" s="30" t="s">
        <v>7</v>
      </c>
      <c r="AC79" s="30" t="s">
        <v>7</v>
      </c>
      <c r="AD79" s="30" t="s">
        <v>7</v>
      </c>
      <c r="AE79" s="30" t="s">
        <v>7</v>
      </c>
    </row>
    <row r="80" spans="1:31" x14ac:dyDescent="0.25">
      <c r="A80" s="24">
        <f t="shared" ca="1" si="0"/>
        <v>1317</v>
      </c>
      <c r="B80" s="24">
        <f t="shared" ca="1" si="1"/>
        <v>1317</v>
      </c>
      <c r="C80" s="30">
        <v>76063</v>
      </c>
      <c r="D80" s="30" t="s">
        <v>278</v>
      </c>
      <c r="E80" s="30" t="s">
        <v>398</v>
      </c>
      <c r="F80" s="30" t="s">
        <v>138</v>
      </c>
      <c r="G80" s="30" t="s">
        <v>299</v>
      </c>
      <c r="H80" s="30" t="s">
        <v>80</v>
      </c>
      <c r="I80" s="30"/>
      <c r="J80" s="31">
        <v>42396.732546296298</v>
      </c>
      <c r="K80" s="30" t="s">
        <v>20</v>
      </c>
      <c r="L80" s="30" t="s">
        <v>3</v>
      </c>
      <c r="M80" s="31">
        <v>42396.732546296298</v>
      </c>
      <c r="N80" s="30" t="s">
        <v>114</v>
      </c>
      <c r="O80" s="30"/>
      <c r="P80" s="30"/>
      <c r="Q80" s="30" t="s">
        <v>17</v>
      </c>
      <c r="R80" s="30" t="s">
        <v>30</v>
      </c>
      <c r="S80" s="30" t="s">
        <v>24</v>
      </c>
      <c r="T80" s="30" t="s">
        <v>46</v>
      </c>
      <c r="U80" s="30"/>
      <c r="V80" s="30" t="s">
        <v>7</v>
      </c>
      <c r="W80" s="30" t="s">
        <v>10</v>
      </c>
      <c r="X80" s="30" t="s">
        <v>7</v>
      </c>
      <c r="Y80" s="30" t="s">
        <v>112</v>
      </c>
      <c r="Z80" s="30" t="s">
        <v>7</v>
      </c>
      <c r="AA80" s="30" t="s">
        <v>7</v>
      </c>
      <c r="AB80" s="30" t="s">
        <v>7</v>
      </c>
      <c r="AC80" s="30" t="s">
        <v>7</v>
      </c>
      <c r="AD80" s="30" t="s">
        <v>7</v>
      </c>
      <c r="AE80" s="30" t="s">
        <v>7</v>
      </c>
    </row>
    <row r="81" spans="1:31" x14ac:dyDescent="0.25">
      <c r="A81" s="24">
        <f t="shared" ca="1" si="0"/>
        <v>1275</v>
      </c>
      <c r="B81" s="24">
        <f t="shared" ca="1" si="1"/>
        <v>1317</v>
      </c>
      <c r="C81" s="30">
        <v>76066</v>
      </c>
      <c r="D81" s="30" t="s">
        <v>286</v>
      </c>
      <c r="E81" s="30" t="s">
        <v>399</v>
      </c>
      <c r="F81" s="30" t="s">
        <v>138</v>
      </c>
      <c r="G81" s="30" t="s">
        <v>299</v>
      </c>
      <c r="H81" s="30" t="s">
        <v>80</v>
      </c>
      <c r="I81" s="30"/>
      <c r="J81" s="31">
        <v>42438.604872685188</v>
      </c>
      <c r="K81" s="30" t="s">
        <v>20</v>
      </c>
      <c r="L81" s="30" t="s">
        <v>3</v>
      </c>
      <c r="M81" s="31">
        <v>42396.733113425929</v>
      </c>
      <c r="N81" s="30" t="s">
        <v>39</v>
      </c>
      <c r="O81" s="30"/>
      <c r="P81" s="30"/>
      <c r="Q81" s="30" t="s">
        <v>17</v>
      </c>
      <c r="R81" s="30" t="s">
        <v>30</v>
      </c>
      <c r="S81" s="30" t="s">
        <v>13</v>
      </c>
      <c r="T81" s="30" t="s">
        <v>19</v>
      </c>
      <c r="U81" s="30"/>
      <c r="V81" s="30" t="s">
        <v>7</v>
      </c>
      <c r="W81" s="30" t="s">
        <v>10</v>
      </c>
      <c r="X81" s="30" t="s">
        <v>7</v>
      </c>
      <c r="Y81" s="30" t="s">
        <v>112</v>
      </c>
      <c r="Z81" s="30" t="s">
        <v>7</v>
      </c>
      <c r="AA81" s="30" t="s">
        <v>7</v>
      </c>
      <c r="AB81" s="30" t="s">
        <v>7</v>
      </c>
      <c r="AC81" s="30" t="s">
        <v>7</v>
      </c>
      <c r="AD81" s="30" t="s">
        <v>7</v>
      </c>
      <c r="AE81" s="30" t="s">
        <v>7</v>
      </c>
    </row>
    <row r="82" spans="1:31" x14ac:dyDescent="0.25">
      <c r="A82" s="24">
        <f t="shared" ca="1" si="0"/>
        <v>1281</v>
      </c>
      <c r="B82" s="24">
        <f t="shared" ca="1" si="1"/>
        <v>1317</v>
      </c>
      <c r="C82" s="30">
        <v>76067</v>
      </c>
      <c r="D82" s="30" t="s">
        <v>286</v>
      </c>
      <c r="E82" s="30" t="s">
        <v>400</v>
      </c>
      <c r="F82" s="30" t="s">
        <v>138</v>
      </c>
      <c r="G82" s="30" t="s">
        <v>299</v>
      </c>
      <c r="H82" s="30" t="s">
        <v>80</v>
      </c>
      <c r="I82" s="30" t="s">
        <v>295</v>
      </c>
      <c r="J82" s="31">
        <v>42432.581620370373</v>
      </c>
      <c r="K82" s="30" t="s">
        <v>20</v>
      </c>
      <c r="L82" s="30" t="s">
        <v>3</v>
      </c>
      <c r="M82" s="31">
        <v>42396.733240740738</v>
      </c>
      <c r="N82" s="30" t="s">
        <v>296</v>
      </c>
      <c r="O82" s="30"/>
      <c r="P82" s="30"/>
      <c r="Q82" s="30" t="s">
        <v>17</v>
      </c>
      <c r="R82" s="30" t="s">
        <v>30</v>
      </c>
      <c r="S82" s="30" t="s">
        <v>13</v>
      </c>
      <c r="T82" s="30" t="s">
        <v>19</v>
      </c>
      <c r="U82" s="30"/>
      <c r="V82" s="30" t="s">
        <v>7</v>
      </c>
      <c r="W82" s="30" t="s">
        <v>10</v>
      </c>
      <c r="X82" s="30" t="s">
        <v>7</v>
      </c>
      <c r="Y82" s="30" t="s">
        <v>112</v>
      </c>
      <c r="Z82" s="30" t="s">
        <v>7</v>
      </c>
      <c r="AA82" s="30" t="s">
        <v>7</v>
      </c>
      <c r="AB82" s="30" t="s">
        <v>7</v>
      </c>
      <c r="AC82" s="30" t="s">
        <v>7</v>
      </c>
      <c r="AD82" s="30" t="s">
        <v>7</v>
      </c>
      <c r="AE82" s="30" t="s">
        <v>7</v>
      </c>
    </row>
    <row r="83" spans="1:31" x14ac:dyDescent="0.25">
      <c r="A83" s="24">
        <f t="shared" ca="1" si="0"/>
        <v>1317</v>
      </c>
      <c r="B83" s="24">
        <f t="shared" ca="1" si="1"/>
        <v>1317</v>
      </c>
      <c r="C83" s="30">
        <v>76068</v>
      </c>
      <c r="D83" s="30" t="s">
        <v>273</v>
      </c>
      <c r="E83" s="30" t="s">
        <v>401</v>
      </c>
      <c r="F83" s="30" t="s">
        <v>138</v>
      </c>
      <c r="G83" s="30" t="s">
        <v>299</v>
      </c>
      <c r="H83" s="30" t="s">
        <v>80</v>
      </c>
      <c r="I83" s="30"/>
      <c r="J83" s="31">
        <v>42396.733402777776</v>
      </c>
      <c r="K83" s="30" t="s">
        <v>20</v>
      </c>
      <c r="L83" s="30" t="s">
        <v>3</v>
      </c>
      <c r="M83" s="31">
        <v>42396.733402777776</v>
      </c>
      <c r="N83" s="30" t="s">
        <v>22</v>
      </c>
      <c r="O83" s="30"/>
      <c r="P83" s="30"/>
      <c r="Q83" s="30" t="s">
        <v>17</v>
      </c>
      <c r="R83" s="30" t="s">
        <v>30</v>
      </c>
      <c r="S83" s="30" t="s">
        <v>24</v>
      </c>
      <c r="T83" s="30" t="s">
        <v>291</v>
      </c>
      <c r="U83" s="30"/>
      <c r="V83" s="30" t="s">
        <v>7</v>
      </c>
      <c r="W83" s="30" t="s">
        <v>10</v>
      </c>
      <c r="X83" s="30" t="s">
        <v>7</v>
      </c>
      <c r="Y83" s="30" t="s">
        <v>112</v>
      </c>
      <c r="Z83" s="30" t="s">
        <v>7</v>
      </c>
      <c r="AA83" s="30" t="s">
        <v>7</v>
      </c>
      <c r="AB83" s="30" t="s">
        <v>7</v>
      </c>
      <c r="AC83" s="30" t="s">
        <v>7</v>
      </c>
      <c r="AD83" s="30" t="s">
        <v>7</v>
      </c>
      <c r="AE83" s="30" t="s">
        <v>7</v>
      </c>
    </row>
    <row r="84" spans="1:31" x14ac:dyDescent="0.25">
      <c r="A84" s="24">
        <f t="shared" ca="1" si="0"/>
        <v>1317</v>
      </c>
      <c r="B84" s="24">
        <f t="shared" ca="1" si="1"/>
        <v>1317</v>
      </c>
      <c r="C84" s="30">
        <v>76069</v>
      </c>
      <c r="D84" s="30" t="s">
        <v>286</v>
      </c>
      <c r="E84" s="30" t="s">
        <v>504</v>
      </c>
      <c r="F84" s="30" t="s">
        <v>138</v>
      </c>
      <c r="G84" s="30" t="s">
        <v>299</v>
      </c>
      <c r="H84" s="30" t="s">
        <v>80</v>
      </c>
      <c r="I84" s="30"/>
      <c r="J84" s="31">
        <v>42396.733553240738</v>
      </c>
      <c r="K84" s="30" t="s">
        <v>20</v>
      </c>
      <c r="L84" s="30" t="s">
        <v>3</v>
      </c>
      <c r="M84" s="31">
        <v>42396.733553240738</v>
      </c>
      <c r="N84" s="30" t="s">
        <v>39</v>
      </c>
      <c r="O84" s="30"/>
      <c r="P84" s="30"/>
      <c r="Q84" s="30" t="s">
        <v>17</v>
      </c>
      <c r="R84" s="30" t="s">
        <v>30</v>
      </c>
      <c r="S84" s="30" t="s">
        <v>13</v>
      </c>
      <c r="T84" s="30" t="s">
        <v>19</v>
      </c>
      <c r="U84" s="30"/>
      <c r="V84" s="30" t="s">
        <v>7</v>
      </c>
      <c r="W84" s="30" t="s">
        <v>10</v>
      </c>
      <c r="X84" s="30" t="s">
        <v>7</v>
      </c>
      <c r="Y84" s="30" t="s">
        <v>112</v>
      </c>
      <c r="Z84" s="30" t="s">
        <v>7</v>
      </c>
      <c r="AA84" s="30" t="s">
        <v>7</v>
      </c>
      <c r="AB84" s="30" t="s">
        <v>7</v>
      </c>
      <c r="AC84" s="30" t="s">
        <v>7</v>
      </c>
      <c r="AD84" s="30" t="s">
        <v>7</v>
      </c>
      <c r="AE84" s="30" t="s">
        <v>7</v>
      </c>
    </row>
    <row r="85" spans="1:31" x14ac:dyDescent="0.25">
      <c r="A85" s="24">
        <f t="shared" ca="1" si="0"/>
        <v>1317</v>
      </c>
      <c r="B85" s="24">
        <f t="shared" ca="1" si="1"/>
        <v>1317</v>
      </c>
      <c r="C85" s="30">
        <v>76070</v>
      </c>
      <c r="D85" s="30" t="s">
        <v>275</v>
      </c>
      <c r="E85" s="30" t="s">
        <v>402</v>
      </c>
      <c r="F85" s="30" t="s">
        <v>138</v>
      </c>
      <c r="G85" s="30" t="s">
        <v>299</v>
      </c>
      <c r="H85" s="30" t="s">
        <v>80</v>
      </c>
      <c r="I85" s="30"/>
      <c r="J85" s="31">
        <v>42396.733703703707</v>
      </c>
      <c r="K85" s="30" t="s">
        <v>20</v>
      </c>
      <c r="L85" s="30" t="s">
        <v>3</v>
      </c>
      <c r="M85" s="31">
        <v>42396.733703703707</v>
      </c>
      <c r="N85" s="30" t="s">
        <v>22</v>
      </c>
      <c r="O85" s="30"/>
      <c r="P85" s="30"/>
      <c r="Q85" s="30" t="s">
        <v>17</v>
      </c>
      <c r="R85" s="30" t="s">
        <v>30</v>
      </c>
      <c r="S85" s="30" t="s">
        <v>8</v>
      </c>
      <c r="T85" s="30" t="s">
        <v>116</v>
      </c>
      <c r="U85" s="30"/>
      <c r="V85" s="30" t="s">
        <v>7</v>
      </c>
      <c r="W85" s="30" t="s">
        <v>10</v>
      </c>
      <c r="X85" s="30" t="s">
        <v>7</v>
      </c>
      <c r="Y85" s="30" t="s">
        <v>346</v>
      </c>
      <c r="Z85" s="30" t="s">
        <v>7</v>
      </c>
      <c r="AA85" s="30" t="s">
        <v>7</v>
      </c>
      <c r="AB85" s="30" t="s">
        <v>7</v>
      </c>
      <c r="AC85" s="30" t="s">
        <v>7</v>
      </c>
      <c r="AD85" s="30" t="s">
        <v>7</v>
      </c>
      <c r="AE85" s="30" t="s">
        <v>7</v>
      </c>
    </row>
    <row r="86" spans="1:31" x14ac:dyDescent="0.25">
      <c r="A86" s="24">
        <f t="shared" ca="1" si="0"/>
        <v>1317</v>
      </c>
      <c r="B86" s="24">
        <f t="shared" ca="1" si="1"/>
        <v>1317</v>
      </c>
      <c r="C86" s="30">
        <v>76071</v>
      </c>
      <c r="D86" s="30" t="s">
        <v>286</v>
      </c>
      <c r="E86" s="30" t="s">
        <v>403</v>
      </c>
      <c r="F86" s="30" t="s">
        <v>138</v>
      </c>
      <c r="G86" s="30" t="s">
        <v>299</v>
      </c>
      <c r="H86" s="30" t="s">
        <v>80</v>
      </c>
      <c r="I86" s="30"/>
      <c r="J86" s="31">
        <v>42396.733842592592</v>
      </c>
      <c r="K86" s="30" t="s">
        <v>20</v>
      </c>
      <c r="L86" s="30" t="s">
        <v>47</v>
      </c>
      <c r="M86" s="31">
        <v>42396.733842592592</v>
      </c>
      <c r="N86" s="30" t="s">
        <v>114</v>
      </c>
      <c r="O86" s="30"/>
      <c r="P86" s="30"/>
      <c r="Q86" s="30" t="s">
        <v>17</v>
      </c>
      <c r="R86" s="30" t="s">
        <v>30</v>
      </c>
      <c r="S86" s="30" t="s">
        <v>13</v>
      </c>
      <c r="T86" s="30" t="s">
        <v>19</v>
      </c>
      <c r="U86" s="30"/>
      <c r="V86" s="30" t="s">
        <v>7</v>
      </c>
      <c r="W86" s="30" t="s">
        <v>10</v>
      </c>
      <c r="X86" s="30" t="s">
        <v>7</v>
      </c>
      <c r="Y86" s="30" t="s">
        <v>112</v>
      </c>
      <c r="Z86" s="30" t="s">
        <v>7</v>
      </c>
      <c r="AA86" s="30" t="s">
        <v>7</v>
      </c>
      <c r="AB86" s="30" t="s">
        <v>7</v>
      </c>
      <c r="AC86" s="30" t="s">
        <v>7</v>
      </c>
      <c r="AD86" s="30" t="s">
        <v>7</v>
      </c>
      <c r="AE86" s="30" t="s">
        <v>7</v>
      </c>
    </row>
    <row r="87" spans="1:31" x14ac:dyDescent="0.25">
      <c r="A87" s="24">
        <f t="shared" ca="1" si="0"/>
        <v>1290</v>
      </c>
      <c r="B87" s="24">
        <f t="shared" ca="1" si="1"/>
        <v>1317</v>
      </c>
      <c r="C87" s="30">
        <v>76072</v>
      </c>
      <c r="D87" s="30" t="s">
        <v>274</v>
      </c>
      <c r="E87" s="30" t="s">
        <v>404</v>
      </c>
      <c r="F87" s="30" t="s">
        <v>11</v>
      </c>
      <c r="G87" s="30" t="s">
        <v>299</v>
      </c>
      <c r="H87" s="30" t="s">
        <v>80</v>
      </c>
      <c r="I87" s="30"/>
      <c r="J87" s="31">
        <v>42424.708402777775</v>
      </c>
      <c r="K87" s="30" t="s">
        <v>20</v>
      </c>
      <c r="L87" s="30" t="s">
        <v>3</v>
      </c>
      <c r="M87" s="31">
        <v>42396.733981481484</v>
      </c>
      <c r="N87" s="30" t="s">
        <v>503</v>
      </c>
      <c r="O87" s="30"/>
      <c r="P87" s="30" t="s">
        <v>282</v>
      </c>
      <c r="Q87" s="30" t="s">
        <v>6</v>
      </c>
      <c r="R87" s="30" t="s">
        <v>30</v>
      </c>
      <c r="S87" s="30" t="s">
        <v>13</v>
      </c>
      <c r="T87" s="30" t="s">
        <v>19</v>
      </c>
      <c r="U87" s="30"/>
      <c r="V87" s="30" t="s">
        <v>7</v>
      </c>
      <c r="W87" s="30" t="s">
        <v>10</v>
      </c>
      <c r="X87" s="30" t="s">
        <v>7</v>
      </c>
      <c r="Y87" s="30" t="s">
        <v>112</v>
      </c>
      <c r="Z87" s="30" t="s">
        <v>7</v>
      </c>
      <c r="AA87" s="30" t="s">
        <v>7</v>
      </c>
      <c r="AB87" s="30" t="s">
        <v>7</v>
      </c>
      <c r="AC87" s="30" t="s">
        <v>7</v>
      </c>
      <c r="AD87" s="30" t="s">
        <v>7</v>
      </c>
      <c r="AE87" s="30" t="s">
        <v>7</v>
      </c>
    </row>
    <row r="88" spans="1:31" x14ac:dyDescent="0.25">
      <c r="A88" s="24">
        <f t="shared" ca="1" si="0"/>
        <v>1317</v>
      </c>
      <c r="B88" s="24">
        <f t="shared" ca="1" si="1"/>
        <v>1317</v>
      </c>
      <c r="C88" s="30">
        <v>76074</v>
      </c>
      <c r="D88" s="30" t="s">
        <v>277</v>
      </c>
      <c r="E88" s="30" t="s">
        <v>405</v>
      </c>
      <c r="F88" s="30" t="s">
        <v>138</v>
      </c>
      <c r="G88" s="30" t="s">
        <v>299</v>
      </c>
      <c r="H88" s="30" t="s">
        <v>80</v>
      </c>
      <c r="I88" s="30"/>
      <c r="J88" s="31">
        <v>42396.734270833331</v>
      </c>
      <c r="K88" s="30" t="s">
        <v>20</v>
      </c>
      <c r="L88" s="30" t="s">
        <v>3</v>
      </c>
      <c r="M88" s="31">
        <v>42396.734270833331</v>
      </c>
      <c r="N88" s="30" t="s">
        <v>39</v>
      </c>
      <c r="O88" s="30"/>
      <c r="P88" s="30"/>
      <c r="Q88" s="30" t="s">
        <v>17</v>
      </c>
      <c r="R88" s="30" t="s">
        <v>7</v>
      </c>
      <c r="S88" s="30" t="s">
        <v>24</v>
      </c>
      <c r="T88" s="30" t="s">
        <v>46</v>
      </c>
      <c r="U88" s="30"/>
      <c r="V88" s="30" t="s">
        <v>7</v>
      </c>
      <c r="W88" s="30" t="s">
        <v>26</v>
      </c>
      <c r="X88" s="30" t="s">
        <v>7</v>
      </c>
      <c r="Y88" s="30" t="s">
        <v>112</v>
      </c>
      <c r="Z88" s="30" t="s">
        <v>7</v>
      </c>
      <c r="AA88" s="30" t="s">
        <v>7</v>
      </c>
      <c r="AB88" s="30" t="s">
        <v>7</v>
      </c>
      <c r="AC88" s="30" t="s">
        <v>7</v>
      </c>
      <c r="AD88" s="30" t="s">
        <v>7</v>
      </c>
      <c r="AE88" s="30" t="s">
        <v>7</v>
      </c>
    </row>
    <row r="89" spans="1:31" x14ac:dyDescent="0.25">
      <c r="A89" s="24">
        <f t="shared" ca="1" si="0"/>
        <v>1317</v>
      </c>
      <c r="B89" s="24">
        <f t="shared" ca="1" si="1"/>
        <v>1317</v>
      </c>
      <c r="C89" s="30">
        <v>76075</v>
      </c>
      <c r="D89" s="30" t="s">
        <v>286</v>
      </c>
      <c r="E89" s="30" t="s">
        <v>406</v>
      </c>
      <c r="F89" s="30" t="s">
        <v>138</v>
      </c>
      <c r="G89" s="30" t="s">
        <v>299</v>
      </c>
      <c r="H89" s="30" t="s">
        <v>80</v>
      </c>
      <c r="I89" s="30"/>
      <c r="J89" s="31">
        <v>42396.7344212963</v>
      </c>
      <c r="K89" s="30" t="s">
        <v>20</v>
      </c>
      <c r="L89" s="30" t="s">
        <v>79</v>
      </c>
      <c r="M89" s="31">
        <v>42396.7344212963</v>
      </c>
      <c r="N89" s="30" t="s">
        <v>29</v>
      </c>
      <c r="O89" s="30"/>
      <c r="P89" s="30"/>
      <c r="Q89" s="30" t="s">
        <v>17</v>
      </c>
      <c r="R89" s="30" t="s">
        <v>30</v>
      </c>
      <c r="S89" s="30" t="s">
        <v>13</v>
      </c>
      <c r="T89" s="30" t="s">
        <v>19</v>
      </c>
      <c r="U89" s="30"/>
      <c r="V89" s="30" t="s">
        <v>7</v>
      </c>
      <c r="W89" s="30" t="s">
        <v>10</v>
      </c>
      <c r="X89" s="30" t="s">
        <v>7</v>
      </c>
      <c r="Y89" s="30" t="s">
        <v>112</v>
      </c>
      <c r="Z89" s="30" t="s">
        <v>7</v>
      </c>
      <c r="AA89" s="30" t="s">
        <v>7</v>
      </c>
      <c r="AB89" s="30" t="s">
        <v>7</v>
      </c>
      <c r="AC89" s="30" t="s">
        <v>7</v>
      </c>
      <c r="AD89" s="30" t="s">
        <v>7</v>
      </c>
      <c r="AE89" s="30" t="s">
        <v>7</v>
      </c>
    </row>
    <row r="90" spans="1:31" x14ac:dyDescent="0.25">
      <c r="A90" s="24">
        <f t="shared" ca="1" si="0"/>
        <v>1290</v>
      </c>
      <c r="B90" s="24">
        <f t="shared" ca="1" si="1"/>
        <v>1317</v>
      </c>
      <c r="C90" s="30">
        <v>76076</v>
      </c>
      <c r="D90" s="30" t="s">
        <v>272</v>
      </c>
      <c r="E90" s="30" t="s">
        <v>407</v>
      </c>
      <c r="F90" s="30" t="s">
        <v>11</v>
      </c>
      <c r="G90" s="30" t="s">
        <v>299</v>
      </c>
      <c r="H90" s="30" t="s">
        <v>80</v>
      </c>
      <c r="I90" s="30"/>
      <c r="J90" s="31">
        <v>42424.718043981484</v>
      </c>
      <c r="K90" s="30" t="s">
        <v>20</v>
      </c>
      <c r="L90" s="30" t="s">
        <v>3</v>
      </c>
      <c r="M90" s="31">
        <v>42396.734606481485</v>
      </c>
      <c r="N90" s="30" t="s">
        <v>42</v>
      </c>
      <c r="O90" s="30"/>
      <c r="P90" s="30"/>
      <c r="Q90" s="30" t="s">
        <v>6</v>
      </c>
      <c r="R90" s="30" t="s">
        <v>30</v>
      </c>
      <c r="S90" s="30" t="s">
        <v>13</v>
      </c>
      <c r="T90" s="30" t="s">
        <v>19</v>
      </c>
      <c r="U90" s="30"/>
      <c r="V90" s="30" t="s">
        <v>7</v>
      </c>
      <c r="W90" s="30" t="s">
        <v>10</v>
      </c>
      <c r="X90" s="30" t="s">
        <v>7</v>
      </c>
      <c r="Y90" s="30" t="s">
        <v>112</v>
      </c>
      <c r="Z90" s="30" t="s">
        <v>7</v>
      </c>
      <c r="AA90" s="30" t="s">
        <v>7</v>
      </c>
      <c r="AB90" s="30" t="s">
        <v>7</v>
      </c>
      <c r="AC90" s="30" t="s">
        <v>7</v>
      </c>
      <c r="AD90" s="30" t="s">
        <v>7</v>
      </c>
      <c r="AE90" s="30" t="s">
        <v>7</v>
      </c>
    </row>
    <row r="91" spans="1:31" x14ac:dyDescent="0.25">
      <c r="A91" s="24">
        <f t="shared" ca="1" si="0"/>
        <v>1317</v>
      </c>
      <c r="B91" s="24">
        <f t="shared" ca="1" si="1"/>
        <v>1317</v>
      </c>
      <c r="C91" s="30">
        <v>76077</v>
      </c>
      <c r="D91" s="30" t="s">
        <v>289</v>
      </c>
      <c r="E91" s="30" t="s">
        <v>408</v>
      </c>
      <c r="F91" s="30" t="s">
        <v>138</v>
      </c>
      <c r="G91" s="30" t="s">
        <v>299</v>
      </c>
      <c r="H91" s="30" t="s">
        <v>80</v>
      </c>
      <c r="I91" s="30"/>
      <c r="J91" s="31">
        <v>42396.734768518516</v>
      </c>
      <c r="K91" s="30" t="s">
        <v>20</v>
      </c>
      <c r="L91" s="30" t="s">
        <v>3</v>
      </c>
      <c r="M91" s="31">
        <v>42396.734768518516</v>
      </c>
      <c r="N91" s="30" t="s">
        <v>39</v>
      </c>
      <c r="O91" s="30"/>
      <c r="P91" s="30"/>
      <c r="Q91" s="30" t="s">
        <v>17</v>
      </c>
      <c r="R91" s="30" t="s">
        <v>7</v>
      </c>
      <c r="S91" s="30" t="s">
        <v>8</v>
      </c>
      <c r="T91" s="30" t="s">
        <v>37</v>
      </c>
      <c r="U91" s="30"/>
      <c r="V91" s="30" t="s">
        <v>7</v>
      </c>
      <c r="W91" s="30" t="s">
        <v>10</v>
      </c>
      <c r="X91" s="30" t="s">
        <v>7</v>
      </c>
      <c r="Y91" s="30" t="s">
        <v>112</v>
      </c>
      <c r="Z91" s="30" t="s">
        <v>7</v>
      </c>
      <c r="AA91" s="30" t="s">
        <v>7</v>
      </c>
      <c r="AB91" s="30" t="s">
        <v>7</v>
      </c>
      <c r="AC91" s="30" t="s">
        <v>7</v>
      </c>
      <c r="AD91" s="30" t="s">
        <v>7</v>
      </c>
      <c r="AE91" s="30" t="s">
        <v>7</v>
      </c>
    </row>
    <row r="92" spans="1:31" x14ac:dyDescent="0.25">
      <c r="A92" s="24">
        <f t="shared" ca="1" si="0"/>
        <v>1317</v>
      </c>
      <c r="B92" s="24">
        <f t="shared" ca="1" si="1"/>
        <v>1317</v>
      </c>
      <c r="C92" s="30">
        <v>76078</v>
      </c>
      <c r="D92" s="30" t="s">
        <v>286</v>
      </c>
      <c r="E92" s="30" t="s">
        <v>409</v>
      </c>
      <c r="F92" s="30" t="s">
        <v>138</v>
      </c>
      <c r="G92" s="30" t="s">
        <v>299</v>
      </c>
      <c r="H92" s="30" t="s">
        <v>80</v>
      </c>
      <c r="I92" s="30" t="s">
        <v>410</v>
      </c>
      <c r="J92" s="31">
        <v>42396.734861111108</v>
      </c>
      <c r="K92" s="30" t="s">
        <v>20</v>
      </c>
      <c r="L92" s="30" t="s">
        <v>3</v>
      </c>
      <c r="M92" s="31">
        <v>42396.734861111108</v>
      </c>
      <c r="N92" s="30" t="s">
        <v>39</v>
      </c>
      <c r="O92" s="30"/>
      <c r="P92" s="30"/>
      <c r="Q92" s="30" t="s">
        <v>17</v>
      </c>
      <c r="R92" s="30" t="s">
        <v>30</v>
      </c>
      <c r="S92" s="30" t="s">
        <v>13</v>
      </c>
      <c r="T92" s="30" t="s">
        <v>19</v>
      </c>
      <c r="U92" s="30"/>
      <c r="V92" s="30" t="s">
        <v>7</v>
      </c>
      <c r="W92" s="30" t="s">
        <v>26</v>
      </c>
      <c r="X92" s="30" t="s">
        <v>7</v>
      </c>
      <c r="Y92" s="30" t="s">
        <v>112</v>
      </c>
      <c r="Z92" s="30" t="s">
        <v>7</v>
      </c>
      <c r="AA92" s="30" t="s">
        <v>7</v>
      </c>
      <c r="AB92" s="30" t="s">
        <v>7</v>
      </c>
      <c r="AC92" s="30" t="s">
        <v>7</v>
      </c>
      <c r="AD92" s="30" t="s">
        <v>7</v>
      </c>
      <c r="AE92" s="30" t="s">
        <v>7</v>
      </c>
    </row>
    <row r="93" spans="1:31" x14ac:dyDescent="0.25">
      <c r="A93" s="24">
        <f t="shared" ca="1" si="0"/>
        <v>1317</v>
      </c>
      <c r="B93" s="24">
        <f t="shared" ca="1" si="1"/>
        <v>1317</v>
      </c>
      <c r="C93" s="30">
        <v>76079</v>
      </c>
      <c r="D93" s="30" t="s">
        <v>289</v>
      </c>
      <c r="E93" s="30" t="s">
        <v>411</v>
      </c>
      <c r="F93" s="30" t="s">
        <v>138</v>
      </c>
      <c r="G93" s="30" t="s">
        <v>299</v>
      </c>
      <c r="H93" s="30" t="s">
        <v>80</v>
      </c>
      <c r="I93" s="30"/>
      <c r="J93" s="31">
        <v>42396.735011574077</v>
      </c>
      <c r="K93" s="30" t="s">
        <v>20</v>
      </c>
      <c r="L93" s="30" t="s">
        <v>3</v>
      </c>
      <c r="M93" s="31">
        <v>42396.735011574077</v>
      </c>
      <c r="N93" s="30" t="s">
        <v>39</v>
      </c>
      <c r="O93" s="30"/>
      <c r="P93" s="30"/>
      <c r="Q93" s="30" t="s">
        <v>17</v>
      </c>
      <c r="R93" s="30" t="s">
        <v>7</v>
      </c>
      <c r="S93" s="30" t="s">
        <v>8</v>
      </c>
      <c r="T93" s="30" t="s">
        <v>37</v>
      </c>
      <c r="U93" s="30"/>
      <c r="V93" s="30" t="s">
        <v>7</v>
      </c>
      <c r="W93" s="30" t="s">
        <v>26</v>
      </c>
      <c r="X93" s="30" t="s">
        <v>7</v>
      </c>
      <c r="Y93" s="30" t="s">
        <v>112</v>
      </c>
      <c r="Z93" s="30" t="s">
        <v>7</v>
      </c>
      <c r="AA93" s="30" t="s">
        <v>7</v>
      </c>
      <c r="AB93" s="30" t="s">
        <v>7</v>
      </c>
      <c r="AC93" s="30" t="s">
        <v>7</v>
      </c>
      <c r="AD93" s="30" t="s">
        <v>7</v>
      </c>
      <c r="AE93" s="30" t="s">
        <v>7</v>
      </c>
    </row>
    <row r="94" spans="1:31" x14ac:dyDescent="0.25">
      <c r="A94" s="24">
        <f t="shared" ca="1" si="0"/>
        <v>1317</v>
      </c>
      <c r="B94" s="24">
        <f t="shared" ca="1" si="1"/>
        <v>1317</v>
      </c>
      <c r="C94" s="30">
        <v>76080</v>
      </c>
      <c r="D94" s="30" t="s">
        <v>51</v>
      </c>
      <c r="E94" s="30" t="s">
        <v>412</v>
      </c>
      <c r="F94" s="30" t="s">
        <v>138</v>
      </c>
      <c r="G94" s="30" t="s">
        <v>299</v>
      </c>
      <c r="H94" s="30" t="s">
        <v>80</v>
      </c>
      <c r="I94" s="30"/>
      <c r="J94" s="31">
        <v>42396.73510416667</v>
      </c>
      <c r="K94" s="30" t="s">
        <v>20</v>
      </c>
      <c r="L94" s="30" t="s">
        <v>3</v>
      </c>
      <c r="M94" s="31">
        <v>42396.73510416667</v>
      </c>
      <c r="N94" s="30" t="s">
        <v>39</v>
      </c>
      <c r="O94" s="30"/>
      <c r="P94" s="30"/>
      <c r="Q94" s="30" t="s">
        <v>17</v>
      </c>
      <c r="R94" s="30" t="s">
        <v>30</v>
      </c>
      <c r="S94" s="30" t="s">
        <v>13</v>
      </c>
      <c r="T94" s="30" t="s">
        <v>19</v>
      </c>
      <c r="U94" s="21">
        <v>41904</v>
      </c>
      <c r="V94" s="30" t="s">
        <v>7</v>
      </c>
      <c r="W94" s="30" t="s">
        <v>26</v>
      </c>
      <c r="X94" s="30" t="s">
        <v>7</v>
      </c>
      <c r="Y94" s="30" t="s">
        <v>112</v>
      </c>
      <c r="Z94" s="30" t="s">
        <v>7</v>
      </c>
      <c r="AA94" s="30" t="s">
        <v>7</v>
      </c>
      <c r="AB94" s="30" t="s">
        <v>7</v>
      </c>
      <c r="AC94" s="30" t="s">
        <v>7</v>
      </c>
      <c r="AD94" s="30" t="s">
        <v>7</v>
      </c>
      <c r="AE94" s="30" t="s">
        <v>7</v>
      </c>
    </row>
    <row r="95" spans="1:31" x14ac:dyDescent="0.25">
      <c r="A95" s="24">
        <f t="shared" ca="1" si="0"/>
        <v>1317</v>
      </c>
      <c r="B95" s="24">
        <f t="shared" ca="1" si="1"/>
        <v>1317</v>
      </c>
      <c r="C95" s="30">
        <v>76081</v>
      </c>
      <c r="D95" s="30" t="s">
        <v>275</v>
      </c>
      <c r="E95" s="30" t="s">
        <v>413</v>
      </c>
      <c r="F95" s="30" t="s">
        <v>138</v>
      </c>
      <c r="G95" s="30" t="s">
        <v>299</v>
      </c>
      <c r="H95" s="30" t="s">
        <v>80</v>
      </c>
      <c r="I95" s="30"/>
      <c r="J95" s="31">
        <v>42396.735312500001</v>
      </c>
      <c r="K95" s="30" t="s">
        <v>20</v>
      </c>
      <c r="L95" s="30" t="s">
        <v>3</v>
      </c>
      <c r="M95" s="31">
        <v>42396.735312500001</v>
      </c>
      <c r="N95" s="30" t="s">
        <v>39</v>
      </c>
      <c r="O95" s="30"/>
      <c r="P95" s="30"/>
      <c r="Q95" s="30" t="s">
        <v>17</v>
      </c>
      <c r="R95" s="30" t="s">
        <v>7</v>
      </c>
      <c r="S95" s="30" t="s">
        <v>13</v>
      </c>
      <c r="T95" s="30" t="s">
        <v>19</v>
      </c>
      <c r="U95" s="30"/>
      <c r="V95" s="30" t="s">
        <v>7</v>
      </c>
      <c r="W95" s="30" t="s">
        <v>10</v>
      </c>
      <c r="X95" s="30" t="s">
        <v>7</v>
      </c>
      <c r="Y95" s="30" t="s">
        <v>112</v>
      </c>
      <c r="Z95" s="30" t="s">
        <v>7</v>
      </c>
      <c r="AA95" s="30" t="s">
        <v>7</v>
      </c>
      <c r="AB95" s="30" t="s">
        <v>7</v>
      </c>
      <c r="AC95" s="30" t="s">
        <v>7</v>
      </c>
      <c r="AD95" s="30" t="s">
        <v>7</v>
      </c>
      <c r="AE95" s="30" t="s">
        <v>7</v>
      </c>
    </row>
    <row r="96" spans="1:31" x14ac:dyDescent="0.25">
      <c r="A96" s="24">
        <f t="shared" ca="1" si="0"/>
        <v>1317</v>
      </c>
      <c r="B96" s="24">
        <f t="shared" ca="1" si="1"/>
        <v>1317</v>
      </c>
      <c r="C96" s="30">
        <v>76082</v>
      </c>
      <c r="D96" s="30" t="s">
        <v>275</v>
      </c>
      <c r="E96" s="30" t="s">
        <v>414</v>
      </c>
      <c r="F96" s="30" t="s">
        <v>138</v>
      </c>
      <c r="G96" s="30" t="s">
        <v>299</v>
      </c>
      <c r="H96" s="30" t="s">
        <v>80</v>
      </c>
      <c r="I96" s="30"/>
      <c r="J96" s="31">
        <v>42396.735451388886</v>
      </c>
      <c r="K96" s="30" t="s">
        <v>20</v>
      </c>
      <c r="L96" s="30" t="s">
        <v>3</v>
      </c>
      <c r="M96" s="31">
        <v>42396.735451388886</v>
      </c>
      <c r="N96" s="30" t="s">
        <v>39</v>
      </c>
      <c r="O96" s="30"/>
      <c r="P96" s="30"/>
      <c r="Q96" s="30" t="s">
        <v>17</v>
      </c>
      <c r="R96" s="30" t="s">
        <v>7</v>
      </c>
      <c r="S96" s="30" t="s">
        <v>13</v>
      </c>
      <c r="T96" s="30" t="s">
        <v>19</v>
      </c>
      <c r="U96" s="30"/>
      <c r="V96" s="30" t="s">
        <v>7</v>
      </c>
      <c r="W96" s="30" t="s">
        <v>10</v>
      </c>
      <c r="X96" s="30" t="s">
        <v>7</v>
      </c>
      <c r="Y96" s="30" t="s">
        <v>112</v>
      </c>
      <c r="Z96" s="30" t="s">
        <v>7</v>
      </c>
      <c r="AA96" s="30" t="s">
        <v>7</v>
      </c>
      <c r="AB96" s="30" t="s">
        <v>7</v>
      </c>
      <c r="AC96" s="30" t="s">
        <v>7</v>
      </c>
      <c r="AD96" s="30" t="s">
        <v>7</v>
      </c>
      <c r="AE96" s="30" t="s">
        <v>7</v>
      </c>
    </row>
    <row r="97" spans="1:31" x14ac:dyDescent="0.25">
      <c r="A97" s="24">
        <f t="shared" ca="1" si="0"/>
        <v>1317</v>
      </c>
      <c r="B97" s="24">
        <f t="shared" ca="1" si="1"/>
        <v>1317</v>
      </c>
      <c r="C97" s="30">
        <v>76083</v>
      </c>
      <c r="D97" s="30" t="s">
        <v>288</v>
      </c>
      <c r="E97" s="30" t="s">
        <v>415</v>
      </c>
      <c r="F97" s="30" t="s">
        <v>11</v>
      </c>
      <c r="G97" s="30" t="s">
        <v>299</v>
      </c>
      <c r="H97" s="30" t="s">
        <v>80</v>
      </c>
      <c r="I97" s="30"/>
      <c r="J97" s="31">
        <v>42396.735601851855</v>
      </c>
      <c r="K97" s="30" t="s">
        <v>20</v>
      </c>
      <c r="L97" s="30" t="s">
        <v>3</v>
      </c>
      <c r="M97" s="31">
        <v>42396.735601851855</v>
      </c>
      <c r="N97" s="30" t="s">
        <v>141</v>
      </c>
      <c r="O97" s="30"/>
      <c r="P97" s="30"/>
      <c r="Q97" s="30" t="s">
        <v>6</v>
      </c>
      <c r="R97" s="30" t="s">
        <v>7</v>
      </c>
      <c r="S97" s="30" t="s">
        <v>8</v>
      </c>
      <c r="T97" s="30" t="s">
        <v>140</v>
      </c>
      <c r="U97" s="30"/>
      <c r="V97" s="30" t="s">
        <v>7</v>
      </c>
      <c r="W97" s="30" t="s">
        <v>26</v>
      </c>
      <c r="X97" s="30" t="s">
        <v>7</v>
      </c>
      <c r="Y97" s="30" t="s">
        <v>112</v>
      </c>
      <c r="Z97" s="30" t="s">
        <v>7</v>
      </c>
      <c r="AA97" s="30" t="s">
        <v>7</v>
      </c>
      <c r="AB97" s="30" t="s">
        <v>7</v>
      </c>
      <c r="AC97" s="30" t="s">
        <v>7</v>
      </c>
      <c r="AD97" s="30" t="s">
        <v>7</v>
      </c>
      <c r="AE97" s="30" t="s">
        <v>7</v>
      </c>
    </row>
    <row r="98" spans="1:31" x14ac:dyDescent="0.25">
      <c r="A98" s="24">
        <f t="shared" ca="1" si="0"/>
        <v>1317</v>
      </c>
      <c r="B98" s="24">
        <f t="shared" ca="1" si="1"/>
        <v>1317</v>
      </c>
      <c r="C98" s="30">
        <v>76084</v>
      </c>
      <c r="D98" s="30" t="s">
        <v>273</v>
      </c>
      <c r="E98" s="30" t="s">
        <v>416</v>
      </c>
      <c r="F98" s="30" t="s">
        <v>138</v>
      </c>
      <c r="G98" s="30" t="s">
        <v>299</v>
      </c>
      <c r="H98" s="30" t="s">
        <v>80</v>
      </c>
      <c r="I98" s="30"/>
      <c r="J98" s="31">
        <v>42396.735775462963</v>
      </c>
      <c r="K98" s="30" t="s">
        <v>20</v>
      </c>
      <c r="L98" s="30" t="s">
        <v>79</v>
      </c>
      <c r="M98" s="31">
        <v>42396.735775462963</v>
      </c>
      <c r="N98" s="30" t="s">
        <v>29</v>
      </c>
      <c r="O98" s="30"/>
      <c r="P98" s="30"/>
      <c r="Q98" s="30" t="s">
        <v>17</v>
      </c>
      <c r="R98" s="30" t="s">
        <v>30</v>
      </c>
      <c r="S98" s="30" t="s">
        <v>24</v>
      </c>
      <c r="T98" s="30" t="s">
        <v>45</v>
      </c>
      <c r="U98" s="30"/>
      <c r="V98" s="30" t="s">
        <v>7</v>
      </c>
      <c r="W98" s="30" t="s">
        <v>10</v>
      </c>
      <c r="X98" s="30" t="s">
        <v>7</v>
      </c>
      <c r="Y98" s="30" t="s">
        <v>112</v>
      </c>
      <c r="Z98" s="30" t="s">
        <v>7</v>
      </c>
      <c r="AA98" s="30" t="s">
        <v>7</v>
      </c>
      <c r="AB98" s="30" t="s">
        <v>7</v>
      </c>
      <c r="AC98" s="30" t="s">
        <v>7</v>
      </c>
      <c r="AD98" s="30" t="s">
        <v>7</v>
      </c>
      <c r="AE98" s="30" t="s">
        <v>7</v>
      </c>
    </row>
    <row r="99" spans="1:31" x14ac:dyDescent="0.25">
      <c r="A99" s="24">
        <f t="shared" ca="1" si="0"/>
        <v>1317</v>
      </c>
      <c r="B99" s="24">
        <f t="shared" ca="1" si="1"/>
        <v>1317</v>
      </c>
      <c r="C99" s="30">
        <v>76085</v>
      </c>
      <c r="D99" s="30" t="s">
        <v>274</v>
      </c>
      <c r="E99" s="30" t="s">
        <v>417</v>
      </c>
      <c r="F99" s="30" t="s">
        <v>138</v>
      </c>
      <c r="G99" s="30" t="s">
        <v>299</v>
      </c>
      <c r="H99" s="30" t="s">
        <v>80</v>
      </c>
      <c r="I99" s="30"/>
      <c r="J99" s="31">
        <v>42396.736006944448</v>
      </c>
      <c r="K99" s="30" t="s">
        <v>20</v>
      </c>
      <c r="L99" s="30" t="s">
        <v>3</v>
      </c>
      <c r="M99" s="31">
        <v>42396.736006944448</v>
      </c>
      <c r="N99" s="30" t="s">
        <v>114</v>
      </c>
      <c r="O99" s="30"/>
      <c r="P99" s="30"/>
      <c r="Q99" s="30" t="s">
        <v>17</v>
      </c>
      <c r="R99" s="30" t="s">
        <v>30</v>
      </c>
      <c r="S99" s="30" t="s">
        <v>13</v>
      </c>
      <c r="T99" s="30" t="s">
        <v>19</v>
      </c>
      <c r="U99" s="30"/>
      <c r="V99" s="30" t="s">
        <v>7</v>
      </c>
      <c r="W99" s="30" t="s">
        <v>10</v>
      </c>
      <c r="X99" s="30" t="s">
        <v>7</v>
      </c>
      <c r="Y99" s="30" t="s">
        <v>112</v>
      </c>
      <c r="Z99" s="30" t="s">
        <v>7</v>
      </c>
      <c r="AA99" s="30" t="s">
        <v>7</v>
      </c>
      <c r="AB99" s="30" t="s">
        <v>7</v>
      </c>
      <c r="AC99" s="30" t="s">
        <v>7</v>
      </c>
      <c r="AD99" s="30" t="s">
        <v>7</v>
      </c>
      <c r="AE99" s="30" t="s">
        <v>7</v>
      </c>
    </row>
    <row r="100" spans="1:31" x14ac:dyDescent="0.25">
      <c r="A100" s="24">
        <f t="shared" ca="1" si="0"/>
        <v>1317</v>
      </c>
      <c r="B100" s="24">
        <f t="shared" ca="1" si="1"/>
        <v>1317</v>
      </c>
      <c r="C100" s="30">
        <v>76087</v>
      </c>
      <c r="D100" s="30" t="s">
        <v>265</v>
      </c>
      <c r="E100" s="30" t="s">
        <v>418</v>
      </c>
      <c r="F100" s="30" t="s">
        <v>138</v>
      </c>
      <c r="G100" s="30" t="s">
        <v>299</v>
      </c>
      <c r="H100" s="30" t="s">
        <v>80</v>
      </c>
      <c r="I100" s="30"/>
      <c r="J100" s="31">
        <v>42396.736342592594</v>
      </c>
      <c r="K100" s="30" t="s">
        <v>20</v>
      </c>
      <c r="L100" s="30" t="s">
        <v>3</v>
      </c>
      <c r="M100" s="31">
        <v>42396.736342592594</v>
      </c>
      <c r="N100" s="30" t="s">
        <v>39</v>
      </c>
      <c r="O100" s="30"/>
      <c r="P100" s="30"/>
      <c r="Q100" s="30" t="s">
        <v>17</v>
      </c>
      <c r="R100" s="30" t="s">
        <v>30</v>
      </c>
      <c r="S100" s="30" t="s">
        <v>24</v>
      </c>
      <c r="T100" s="30" t="s">
        <v>31</v>
      </c>
      <c r="U100" s="30"/>
      <c r="V100" s="30" t="s">
        <v>7</v>
      </c>
      <c r="W100" s="30" t="s">
        <v>10</v>
      </c>
      <c r="X100" s="30" t="s">
        <v>7</v>
      </c>
      <c r="Y100" s="30" t="s">
        <v>112</v>
      </c>
      <c r="Z100" s="30" t="s">
        <v>7</v>
      </c>
      <c r="AA100" s="30" t="s">
        <v>7</v>
      </c>
      <c r="AB100" s="30" t="s">
        <v>7</v>
      </c>
      <c r="AC100" s="30" t="s">
        <v>7</v>
      </c>
      <c r="AD100" s="30" t="s">
        <v>7</v>
      </c>
      <c r="AE100" s="30" t="s">
        <v>7</v>
      </c>
    </row>
    <row r="101" spans="1:31" x14ac:dyDescent="0.25">
      <c r="A101" s="24">
        <f t="shared" ca="1" si="0"/>
        <v>1317</v>
      </c>
      <c r="B101" s="24">
        <f t="shared" ca="1" si="1"/>
        <v>1317</v>
      </c>
      <c r="C101" s="30">
        <v>76088</v>
      </c>
      <c r="D101" s="30" t="s">
        <v>289</v>
      </c>
      <c r="E101" s="30" t="s">
        <v>419</v>
      </c>
      <c r="F101" s="30" t="s">
        <v>138</v>
      </c>
      <c r="G101" s="30" t="s">
        <v>299</v>
      </c>
      <c r="H101" s="30" t="s">
        <v>80</v>
      </c>
      <c r="I101" s="30"/>
      <c r="J101" s="31">
        <v>42396.736516203702</v>
      </c>
      <c r="K101" s="30" t="s">
        <v>20</v>
      </c>
      <c r="L101" s="30" t="s">
        <v>3</v>
      </c>
      <c r="M101" s="31">
        <v>42396.736516203702</v>
      </c>
      <c r="N101" s="30" t="s">
        <v>39</v>
      </c>
      <c r="O101" s="30"/>
      <c r="P101" s="30"/>
      <c r="Q101" s="30" t="s">
        <v>17</v>
      </c>
      <c r="R101" s="30" t="s">
        <v>7</v>
      </c>
      <c r="S101" s="30" t="s">
        <v>8</v>
      </c>
      <c r="T101" s="30" t="s">
        <v>37</v>
      </c>
      <c r="U101" s="30"/>
      <c r="V101" s="30" t="s">
        <v>7</v>
      </c>
      <c r="W101" s="30" t="s">
        <v>26</v>
      </c>
      <c r="X101" s="30" t="s">
        <v>7</v>
      </c>
      <c r="Y101" s="30" t="s">
        <v>112</v>
      </c>
      <c r="Z101" s="30" t="s">
        <v>7</v>
      </c>
      <c r="AA101" s="30" t="s">
        <v>7</v>
      </c>
      <c r="AB101" s="30" t="s">
        <v>7</v>
      </c>
      <c r="AC101" s="30" t="s">
        <v>7</v>
      </c>
      <c r="AD101" s="30" t="s">
        <v>7</v>
      </c>
      <c r="AE101" s="30" t="s">
        <v>7</v>
      </c>
    </row>
    <row r="102" spans="1:31" x14ac:dyDescent="0.25">
      <c r="A102" s="24">
        <f t="shared" ca="1" si="0"/>
        <v>1298</v>
      </c>
      <c r="B102" s="24">
        <f t="shared" ca="1" si="1"/>
        <v>1317</v>
      </c>
      <c r="C102" s="30">
        <v>76089</v>
      </c>
      <c r="D102" s="30" t="s">
        <v>276</v>
      </c>
      <c r="E102" s="30" t="s">
        <v>420</v>
      </c>
      <c r="F102" s="30" t="s">
        <v>138</v>
      </c>
      <c r="G102" s="30" t="s">
        <v>299</v>
      </c>
      <c r="H102" s="30" t="s">
        <v>80</v>
      </c>
      <c r="I102" s="30"/>
      <c r="J102" s="31">
        <v>42416.624340277776</v>
      </c>
      <c r="K102" s="30" t="s">
        <v>20</v>
      </c>
      <c r="L102" s="30" t="s">
        <v>3</v>
      </c>
      <c r="M102" s="31">
        <v>42396.736655092594</v>
      </c>
      <c r="N102" s="30" t="s">
        <v>29</v>
      </c>
      <c r="O102" s="30"/>
      <c r="P102" s="30"/>
      <c r="Q102" s="30" t="s">
        <v>17</v>
      </c>
      <c r="R102" s="30" t="s">
        <v>30</v>
      </c>
      <c r="S102" s="30" t="s">
        <v>8</v>
      </c>
      <c r="T102" s="30" t="s">
        <v>140</v>
      </c>
      <c r="U102" s="30"/>
      <c r="V102" s="30" t="s">
        <v>7</v>
      </c>
      <c r="W102" s="30" t="s">
        <v>10</v>
      </c>
      <c r="X102" s="30" t="s">
        <v>7</v>
      </c>
      <c r="Y102" s="30" t="s">
        <v>112</v>
      </c>
      <c r="Z102" s="30" t="s">
        <v>7</v>
      </c>
      <c r="AA102" s="30" t="s">
        <v>7</v>
      </c>
      <c r="AB102" s="30" t="s">
        <v>7</v>
      </c>
      <c r="AC102" s="30" t="s">
        <v>7</v>
      </c>
      <c r="AD102" s="30" t="s">
        <v>7</v>
      </c>
      <c r="AE102" s="30" t="s">
        <v>7</v>
      </c>
    </row>
    <row r="103" spans="1:31" x14ac:dyDescent="0.25">
      <c r="A103" s="24">
        <f t="shared" ca="1" si="0"/>
        <v>1317</v>
      </c>
      <c r="B103" s="24">
        <f t="shared" ca="1" si="1"/>
        <v>1317</v>
      </c>
      <c r="C103" s="30">
        <v>76090</v>
      </c>
      <c r="D103" s="30" t="s">
        <v>286</v>
      </c>
      <c r="E103" s="30" t="s">
        <v>421</v>
      </c>
      <c r="F103" s="30" t="s">
        <v>138</v>
      </c>
      <c r="G103" s="30" t="s">
        <v>299</v>
      </c>
      <c r="H103" s="30" t="s">
        <v>80</v>
      </c>
      <c r="I103" s="30"/>
      <c r="J103" s="31">
        <v>42396.736793981479</v>
      </c>
      <c r="K103" s="30" t="s">
        <v>20</v>
      </c>
      <c r="L103" s="30" t="s">
        <v>3</v>
      </c>
      <c r="M103" s="31">
        <v>42396.736793981479</v>
      </c>
      <c r="N103" s="30" t="s">
        <v>39</v>
      </c>
      <c r="O103" s="30"/>
      <c r="P103" s="30"/>
      <c r="Q103" s="30" t="s">
        <v>17</v>
      </c>
      <c r="R103" s="30" t="s">
        <v>30</v>
      </c>
      <c r="S103" s="30" t="s">
        <v>13</v>
      </c>
      <c r="T103" s="30" t="s">
        <v>19</v>
      </c>
      <c r="U103" s="30"/>
      <c r="V103" s="30" t="s">
        <v>7</v>
      </c>
      <c r="W103" s="30" t="s">
        <v>26</v>
      </c>
      <c r="X103" s="30" t="s">
        <v>7</v>
      </c>
      <c r="Y103" s="30" t="s">
        <v>112</v>
      </c>
      <c r="Z103" s="30" t="s">
        <v>7</v>
      </c>
      <c r="AA103" s="30" t="s">
        <v>7</v>
      </c>
      <c r="AB103" s="30" t="s">
        <v>7</v>
      </c>
      <c r="AC103" s="30" t="s">
        <v>7</v>
      </c>
      <c r="AD103" s="30" t="s">
        <v>7</v>
      </c>
      <c r="AE103" s="30" t="s">
        <v>7</v>
      </c>
    </row>
    <row r="104" spans="1:31" x14ac:dyDescent="0.25">
      <c r="A104" s="24">
        <f t="shared" ca="1" si="0"/>
        <v>1317</v>
      </c>
      <c r="B104" s="24">
        <f t="shared" ca="1" si="1"/>
        <v>1317</v>
      </c>
      <c r="C104" s="30">
        <v>76092</v>
      </c>
      <c r="D104" s="30" t="s">
        <v>286</v>
      </c>
      <c r="E104" s="30" t="s">
        <v>422</v>
      </c>
      <c r="F104" s="30" t="s">
        <v>138</v>
      </c>
      <c r="G104" s="30" t="s">
        <v>299</v>
      </c>
      <c r="H104" s="30" t="s">
        <v>80</v>
      </c>
      <c r="I104" s="30"/>
      <c r="J104" s="31">
        <v>42396.73710648148</v>
      </c>
      <c r="K104" s="30" t="s">
        <v>20</v>
      </c>
      <c r="L104" s="30" t="s">
        <v>79</v>
      </c>
      <c r="M104" s="31">
        <v>42396.73710648148</v>
      </c>
      <c r="N104" s="30" t="s">
        <v>29</v>
      </c>
      <c r="O104" s="30"/>
      <c r="P104" s="30"/>
      <c r="Q104" s="30" t="s">
        <v>17</v>
      </c>
      <c r="R104" s="30" t="s">
        <v>30</v>
      </c>
      <c r="S104" s="30" t="s">
        <v>13</v>
      </c>
      <c r="T104" s="30" t="s">
        <v>19</v>
      </c>
      <c r="U104" s="30"/>
      <c r="V104" s="30" t="s">
        <v>7</v>
      </c>
      <c r="W104" s="30" t="s">
        <v>10</v>
      </c>
      <c r="X104" s="30" t="s">
        <v>7</v>
      </c>
      <c r="Y104" s="30" t="s">
        <v>112</v>
      </c>
      <c r="Z104" s="30" t="s">
        <v>7</v>
      </c>
      <c r="AA104" s="30" t="s">
        <v>7</v>
      </c>
      <c r="AB104" s="30" t="s">
        <v>7</v>
      </c>
      <c r="AC104" s="30" t="s">
        <v>7</v>
      </c>
      <c r="AD104" s="30" t="s">
        <v>7</v>
      </c>
      <c r="AE104" s="30" t="s">
        <v>7</v>
      </c>
    </row>
    <row r="105" spans="1:31" x14ac:dyDescent="0.25">
      <c r="A105" s="24">
        <f t="shared" ca="1" si="0"/>
        <v>1317</v>
      </c>
      <c r="B105" s="24">
        <f t="shared" ca="1" si="1"/>
        <v>1317</v>
      </c>
      <c r="C105" s="30">
        <v>76094</v>
      </c>
      <c r="D105" s="30" t="s">
        <v>273</v>
      </c>
      <c r="E105" s="30" t="s">
        <v>423</v>
      </c>
      <c r="F105" s="30" t="s">
        <v>11</v>
      </c>
      <c r="G105" s="30" t="s">
        <v>299</v>
      </c>
      <c r="H105" s="30" t="s">
        <v>80</v>
      </c>
      <c r="I105" s="30"/>
      <c r="J105" s="31">
        <v>42396.873437499999</v>
      </c>
      <c r="K105" s="30" t="s">
        <v>20</v>
      </c>
      <c r="L105" s="30" t="s">
        <v>79</v>
      </c>
      <c r="M105" s="31">
        <v>42396.873437499999</v>
      </c>
      <c r="N105" s="30" t="s">
        <v>55</v>
      </c>
      <c r="O105" s="30"/>
      <c r="P105" s="30"/>
      <c r="Q105" s="30" t="s">
        <v>6</v>
      </c>
      <c r="R105" s="30" t="s">
        <v>30</v>
      </c>
      <c r="S105" s="30" t="s">
        <v>24</v>
      </c>
      <c r="T105" s="30" t="s">
        <v>45</v>
      </c>
      <c r="U105" s="30"/>
      <c r="V105" s="30" t="s">
        <v>7</v>
      </c>
      <c r="W105" s="30" t="s">
        <v>10</v>
      </c>
      <c r="X105" s="30" t="s">
        <v>43</v>
      </c>
      <c r="Y105" s="30" t="s">
        <v>112</v>
      </c>
      <c r="Z105" s="30" t="s">
        <v>7</v>
      </c>
      <c r="AA105" s="30" t="s">
        <v>7</v>
      </c>
      <c r="AB105" s="30" t="s">
        <v>7</v>
      </c>
      <c r="AC105" s="30" t="s">
        <v>253</v>
      </c>
      <c r="AD105" s="30" t="s">
        <v>7</v>
      </c>
      <c r="AE105" s="30" t="s">
        <v>7</v>
      </c>
    </row>
    <row r="106" spans="1:31" x14ac:dyDescent="0.25">
      <c r="A106" s="24">
        <f t="shared" ca="1" si="0"/>
        <v>1317</v>
      </c>
      <c r="B106" s="24">
        <f t="shared" ca="1" si="1"/>
        <v>1317</v>
      </c>
      <c r="C106" s="30">
        <v>76095</v>
      </c>
      <c r="D106" s="30" t="s">
        <v>273</v>
      </c>
      <c r="E106" s="30" t="s">
        <v>424</v>
      </c>
      <c r="F106" s="30" t="s">
        <v>11</v>
      </c>
      <c r="G106" s="30" t="s">
        <v>299</v>
      </c>
      <c r="H106" s="30" t="s">
        <v>80</v>
      </c>
      <c r="I106" s="30"/>
      <c r="J106" s="31">
        <v>42396.873807870368</v>
      </c>
      <c r="K106" s="30" t="s">
        <v>20</v>
      </c>
      <c r="L106" s="30" t="s">
        <v>79</v>
      </c>
      <c r="M106" s="31">
        <v>42396.873807870368</v>
      </c>
      <c r="N106" s="30" t="s">
        <v>55</v>
      </c>
      <c r="O106" s="30"/>
      <c r="P106" s="30"/>
      <c r="Q106" s="30" t="s">
        <v>6</v>
      </c>
      <c r="R106" s="30" t="s">
        <v>30</v>
      </c>
      <c r="S106" s="30" t="s">
        <v>24</v>
      </c>
      <c r="T106" s="30" t="s">
        <v>45</v>
      </c>
      <c r="U106" s="30"/>
      <c r="V106" s="30" t="s">
        <v>7</v>
      </c>
      <c r="W106" s="30" t="s">
        <v>10</v>
      </c>
      <c r="X106" s="30" t="s">
        <v>7</v>
      </c>
      <c r="Y106" s="30" t="s">
        <v>112</v>
      </c>
      <c r="Z106" s="30" t="s">
        <v>7</v>
      </c>
      <c r="AA106" s="30" t="s">
        <v>7</v>
      </c>
      <c r="AB106" s="30" t="s">
        <v>7</v>
      </c>
      <c r="AC106" s="30" t="s">
        <v>7</v>
      </c>
      <c r="AD106" s="30" t="s">
        <v>7</v>
      </c>
      <c r="AE106" s="30" t="s">
        <v>7</v>
      </c>
    </row>
    <row r="107" spans="1:31" x14ac:dyDescent="0.25">
      <c r="A107" s="24">
        <f t="shared" ca="1" si="0"/>
        <v>1317</v>
      </c>
      <c r="B107" s="24">
        <f t="shared" ca="1" si="1"/>
        <v>1317</v>
      </c>
      <c r="C107" s="30">
        <v>76096</v>
      </c>
      <c r="D107" s="30" t="s">
        <v>275</v>
      </c>
      <c r="E107" s="30" t="s">
        <v>425</v>
      </c>
      <c r="F107" s="30" t="s">
        <v>11</v>
      </c>
      <c r="G107" s="30" t="s">
        <v>299</v>
      </c>
      <c r="H107" s="30" t="s">
        <v>80</v>
      </c>
      <c r="I107" s="30"/>
      <c r="J107" s="31">
        <v>42396.874074074076</v>
      </c>
      <c r="K107" s="30" t="s">
        <v>20</v>
      </c>
      <c r="L107" s="30" t="s">
        <v>79</v>
      </c>
      <c r="M107" s="31">
        <v>42396.874074074076</v>
      </c>
      <c r="N107" s="30" t="s">
        <v>258</v>
      </c>
      <c r="O107" s="30"/>
      <c r="P107" s="30"/>
      <c r="Q107" s="30" t="s">
        <v>6</v>
      </c>
      <c r="R107" s="30" t="s">
        <v>30</v>
      </c>
      <c r="S107" s="30" t="s">
        <v>8</v>
      </c>
      <c r="T107" s="30" t="s">
        <v>140</v>
      </c>
      <c r="U107" s="30"/>
      <c r="V107" s="30" t="s">
        <v>7</v>
      </c>
      <c r="W107" s="30" t="s">
        <v>10</v>
      </c>
      <c r="X107" s="30" t="s">
        <v>7</v>
      </c>
      <c r="Y107" s="30" t="s">
        <v>112</v>
      </c>
      <c r="Z107" s="30" t="s">
        <v>7</v>
      </c>
      <c r="AA107" s="30" t="s">
        <v>7</v>
      </c>
      <c r="AB107" s="30" t="s">
        <v>7</v>
      </c>
      <c r="AC107" s="30" t="s">
        <v>7</v>
      </c>
      <c r="AD107" s="30" t="s">
        <v>7</v>
      </c>
      <c r="AE107" s="30" t="s">
        <v>7</v>
      </c>
    </row>
    <row r="108" spans="1:31" x14ac:dyDescent="0.25">
      <c r="A108" s="24">
        <f t="shared" ca="1" si="0"/>
        <v>1313</v>
      </c>
      <c r="B108" s="24">
        <f t="shared" ca="1" si="1"/>
        <v>1317</v>
      </c>
      <c r="C108" s="30">
        <v>76097</v>
      </c>
      <c r="D108" s="30" t="s">
        <v>274</v>
      </c>
      <c r="E108" s="30" t="s">
        <v>426</v>
      </c>
      <c r="F108" s="30" t="s">
        <v>11</v>
      </c>
      <c r="G108" s="30" t="s">
        <v>299</v>
      </c>
      <c r="H108" s="30" t="s">
        <v>80</v>
      </c>
      <c r="I108" s="30"/>
      <c r="J108" s="31">
        <v>42401.30133101852</v>
      </c>
      <c r="K108" s="30" t="s">
        <v>20</v>
      </c>
      <c r="L108" s="30" t="s">
        <v>79</v>
      </c>
      <c r="M108" s="31">
        <v>42396.874351851853</v>
      </c>
      <c r="N108" s="30" t="s">
        <v>258</v>
      </c>
      <c r="O108" s="30"/>
      <c r="P108" s="30"/>
      <c r="Q108" s="30" t="s">
        <v>6</v>
      </c>
      <c r="R108" s="30" t="s">
        <v>30</v>
      </c>
      <c r="S108" s="30" t="s">
        <v>13</v>
      </c>
      <c r="T108" s="30" t="s">
        <v>19</v>
      </c>
      <c r="U108" s="30"/>
      <c r="V108" s="30" t="s">
        <v>7</v>
      </c>
      <c r="W108" s="30" t="s">
        <v>10</v>
      </c>
      <c r="X108" s="30" t="s">
        <v>7</v>
      </c>
      <c r="Y108" s="30" t="s">
        <v>112</v>
      </c>
      <c r="Z108" s="30" t="s">
        <v>7</v>
      </c>
      <c r="AA108" s="30" t="s">
        <v>7</v>
      </c>
      <c r="AB108" s="30" t="s">
        <v>7</v>
      </c>
      <c r="AC108" s="30" t="s">
        <v>7</v>
      </c>
      <c r="AD108" s="30" t="s">
        <v>7</v>
      </c>
      <c r="AE108" s="30" t="s">
        <v>7</v>
      </c>
    </row>
    <row r="109" spans="1:31" x14ac:dyDescent="0.25">
      <c r="A109" s="24">
        <f t="shared" ca="1" si="0"/>
        <v>1317</v>
      </c>
      <c r="B109" s="24">
        <f t="shared" ca="1" si="1"/>
        <v>1317</v>
      </c>
      <c r="C109" s="30">
        <v>76098</v>
      </c>
      <c r="D109" s="30" t="s">
        <v>273</v>
      </c>
      <c r="E109" s="30" t="s">
        <v>427</v>
      </c>
      <c r="F109" s="30" t="s">
        <v>11</v>
      </c>
      <c r="G109" s="30" t="s">
        <v>299</v>
      </c>
      <c r="H109" s="30" t="s">
        <v>80</v>
      </c>
      <c r="I109" s="30"/>
      <c r="J109" s="31">
        <v>42396.874502314815</v>
      </c>
      <c r="K109" s="30" t="s">
        <v>20</v>
      </c>
      <c r="L109" s="30" t="s">
        <v>79</v>
      </c>
      <c r="M109" s="31">
        <v>42396.874502314815</v>
      </c>
      <c r="N109" s="30" t="s">
        <v>22</v>
      </c>
      <c r="O109" s="30"/>
      <c r="P109" s="30"/>
      <c r="Q109" s="30" t="s">
        <v>6</v>
      </c>
      <c r="R109" s="30" t="s">
        <v>30</v>
      </c>
      <c r="S109" s="30" t="s">
        <v>24</v>
      </c>
      <c r="T109" s="30" t="s">
        <v>45</v>
      </c>
      <c r="U109" s="30"/>
      <c r="V109" s="30" t="s">
        <v>7</v>
      </c>
      <c r="W109" s="30" t="s">
        <v>10</v>
      </c>
      <c r="X109" s="30" t="s">
        <v>7</v>
      </c>
      <c r="Y109" s="30" t="s">
        <v>112</v>
      </c>
      <c r="Z109" s="30" t="s">
        <v>7</v>
      </c>
      <c r="AA109" s="30" t="s">
        <v>7</v>
      </c>
      <c r="AB109" s="30" t="s">
        <v>7</v>
      </c>
      <c r="AC109" s="30" t="s">
        <v>7</v>
      </c>
      <c r="AD109" s="30" t="s">
        <v>7</v>
      </c>
      <c r="AE109" s="30" t="s">
        <v>7</v>
      </c>
    </row>
    <row r="110" spans="1:31" x14ac:dyDescent="0.25">
      <c r="A110" s="24">
        <f t="shared" ca="1" si="0"/>
        <v>1298</v>
      </c>
      <c r="B110" s="24">
        <f t="shared" ca="1" si="1"/>
        <v>1317</v>
      </c>
      <c r="C110" s="30">
        <v>76100</v>
      </c>
      <c r="D110" s="30" t="s">
        <v>273</v>
      </c>
      <c r="E110" s="30" t="s">
        <v>428</v>
      </c>
      <c r="F110" s="30" t="s">
        <v>11</v>
      </c>
      <c r="G110" s="30" t="s">
        <v>299</v>
      </c>
      <c r="H110" s="30" t="s">
        <v>80</v>
      </c>
      <c r="I110" s="30"/>
      <c r="J110" s="31">
        <v>42416.61377314815</v>
      </c>
      <c r="K110" s="30" t="s">
        <v>20</v>
      </c>
      <c r="L110" s="30" t="s">
        <v>79</v>
      </c>
      <c r="M110" s="31">
        <v>42396.875208333331</v>
      </c>
      <c r="N110" s="30" t="s">
        <v>29</v>
      </c>
      <c r="O110" s="30"/>
      <c r="P110" s="30"/>
      <c r="Q110" s="30" t="s">
        <v>6</v>
      </c>
      <c r="R110" s="30" t="s">
        <v>30</v>
      </c>
      <c r="S110" s="30" t="s">
        <v>24</v>
      </c>
      <c r="T110" s="30" t="s">
        <v>45</v>
      </c>
      <c r="U110" s="30"/>
      <c r="V110" s="30" t="s">
        <v>7</v>
      </c>
      <c r="W110" s="30" t="s">
        <v>10</v>
      </c>
      <c r="X110" s="30" t="s">
        <v>7</v>
      </c>
      <c r="Y110" s="30" t="s">
        <v>112</v>
      </c>
      <c r="Z110" s="30" t="s">
        <v>7</v>
      </c>
      <c r="AA110" s="30" t="s">
        <v>7</v>
      </c>
      <c r="AB110" s="30" t="s">
        <v>7</v>
      </c>
      <c r="AC110" s="30" t="s">
        <v>7</v>
      </c>
      <c r="AD110" s="30" t="s">
        <v>7</v>
      </c>
      <c r="AE110" s="30" t="s">
        <v>7</v>
      </c>
    </row>
    <row r="111" spans="1:31" x14ac:dyDescent="0.25">
      <c r="A111" s="24">
        <f t="shared" ca="1" si="0"/>
        <v>1317</v>
      </c>
      <c r="B111" s="24">
        <f t="shared" ca="1" si="1"/>
        <v>1317</v>
      </c>
      <c r="C111" s="30">
        <v>76102</v>
      </c>
      <c r="D111" s="30" t="s">
        <v>273</v>
      </c>
      <c r="E111" s="30" t="s">
        <v>429</v>
      </c>
      <c r="F111" s="30" t="s">
        <v>11</v>
      </c>
      <c r="G111" s="30" t="s">
        <v>299</v>
      </c>
      <c r="H111" s="30" t="s">
        <v>80</v>
      </c>
      <c r="I111" s="30"/>
      <c r="J111" s="31">
        <v>42396.875543981485</v>
      </c>
      <c r="K111" s="30" t="s">
        <v>20</v>
      </c>
      <c r="L111" s="30" t="s">
        <v>79</v>
      </c>
      <c r="M111" s="31">
        <v>42396.875543981485</v>
      </c>
      <c r="N111" s="30" t="s">
        <v>197</v>
      </c>
      <c r="O111" s="30"/>
      <c r="P111" s="30"/>
      <c r="Q111" s="30" t="s">
        <v>6</v>
      </c>
      <c r="R111" s="30" t="s">
        <v>30</v>
      </c>
      <c r="S111" s="30" t="s">
        <v>24</v>
      </c>
      <c r="T111" s="30" t="s">
        <v>46</v>
      </c>
      <c r="U111" s="30"/>
      <c r="V111" s="30" t="s">
        <v>7</v>
      </c>
      <c r="W111" s="30" t="s">
        <v>10</v>
      </c>
      <c r="X111" s="30" t="s">
        <v>7</v>
      </c>
      <c r="Y111" s="30" t="s">
        <v>112</v>
      </c>
      <c r="Z111" s="30" t="s">
        <v>7</v>
      </c>
      <c r="AA111" s="30" t="s">
        <v>7</v>
      </c>
      <c r="AB111" s="30" t="s">
        <v>7</v>
      </c>
      <c r="AC111" s="30" t="s">
        <v>7</v>
      </c>
      <c r="AD111" s="30" t="s">
        <v>7</v>
      </c>
      <c r="AE111" s="30" t="s">
        <v>7</v>
      </c>
    </row>
    <row r="112" spans="1:31" x14ac:dyDescent="0.25">
      <c r="A112" s="24">
        <f t="shared" ca="1" si="0"/>
        <v>1298</v>
      </c>
      <c r="B112" s="24">
        <f t="shared" ca="1" si="1"/>
        <v>1317</v>
      </c>
      <c r="C112" s="30">
        <v>76103</v>
      </c>
      <c r="D112" s="30" t="s">
        <v>286</v>
      </c>
      <c r="E112" s="30" t="s">
        <v>430</v>
      </c>
      <c r="F112" s="30" t="s">
        <v>11</v>
      </c>
      <c r="G112" s="30" t="s">
        <v>299</v>
      </c>
      <c r="H112" s="30" t="s">
        <v>80</v>
      </c>
      <c r="I112" s="30"/>
      <c r="J112" s="31">
        <v>42416.608483796299</v>
      </c>
      <c r="K112" s="30" t="s">
        <v>20</v>
      </c>
      <c r="L112" s="30" t="s">
        <v>79</v>
      </c>
      <c r="M112" s="31">
        <v>42396.875740740739</v>
      </c>
      <c r="N112" s="30" t="s">
        <v>29</v>
      </c>
      <c r="O112" s="30"/>
      <c r="P112" s="30"/>
      <c r="Q112" s="30" t="s">
        <v>6</v>
      </c>
      <c r="R112" s="30" t="s">
        <v>30</v>
      </c>
      <c r="S112" s="30" t="s">
        <v>8</v>
      </c>
      <c r="T112" s="30" t="s">
        <v>37</v>
      </c>
      <c r="U112" s="30"/>
      <c r="V112" s="30" t="s">
        <v>7</v>
      </c>
      <c r="W112" s="30" t="s">
        <v>10</v>
      </c>
      <c r="X112" s="30" t="s">
        <v>7</v>
      </c>
      <c r="Y112" s="30" t="s">
        <v>112</v>
      </c>
      <c r="Z112" s="30" t="s">
        <v>7</v>
      </c>
      <c r="AA112" s="30" t="s">
        <v>7</v>
      </c>
      <c r="AB112" s="30" t="s">
        <v>7</v>
      </c>
      <c r="AC112" s="30" t="s">
        <v>7</v>
      </c>
      <c r="AD112" s="30" t="s">
        <v>7</v>
      </c>
      <c r="AE112" s="30" t="s">
        <v>7</v>
      </c>
    </row>
    <row r="113" spans="1:31" x14ac:dyDescent="0.25">
      <c r="A113" s="24">
        <f t="shared" ca="1" si="0"/>
        <v>1317</v>
      </c>
      <c r="B113" s="24">
        <f t="shared" ca="1" si="1"/>
        <v>1317</v>
      </c>
      <c r="C113" s="30">
        <v>76104</v>
      </c>
      <c r="D113" s="30" t="s">
        <v>286</v>
      </c>
      <c r="E113" s="30" t="s">
        <v>431</v>
      </c>
      <c r="F113" s="30" t="s">
        <v>11</v>
      </c>
      <c r="G113" s="30" t="s">
        <v>299</v>
      </c>
      <c r="H113" s="30" t="s">
        <v>80</v>
      </c>
      <c r="I113" s="30"/>
      <c r="J113" s="31">
        <v>42396.876122685186</v>
      </c>
      <c r="K113" s="30" t="s">
        <v>20</v>
      </c>
      <c r="L113" s="30" t="s">
        <v>79</v>
      </c>
      <c r="M113" s="31">
        <v>42396.876122685186</v>
      </c>
      <c r="N113" s="30" t="s">
        <v>49</v>
      </c>
      <c r="O113" s="30"/>
      <c r="P113" s="30"/>
      <c r="Q113" s="30" t="s">
        <v>6</v>
      </c>
      <c r="R113" s="30" t="s">
        <v>30</v>
      </c>
      <c r="S113" s="30" t="s">
        <v>8</v>
      </c>
      <c r="T113" s="30" t="s">
        <v>37</v>
      </c>
      <c r="U113" s="30"/>
      <c r="V113" s="30" t="s">
        <v>7</v>
      </c>
      <c r="W113" s="30" t="s">
        <v>10</v>
      </c>
      <c r="X113" s="30" t="s">
        <v>7</v>
      </c>
      <c r="Y113" s="30" t="s">
        <v>112</v>
      </c>
      <c r="Z113" s="30" t="s">
        <v>7</v>
      </c>
      <c r="AA113" s="30" t="s">
        <v>7</v>
      </c>
      <c r="AB113" s="30" t="s">
        <v>7</v>
      </c>
      <c r="AC113" s="30" t="s">
        <v>7</v>
      </c>
      <c r="AD113" s="30" t="s">
        <v>7</v>
      </c>
      <c r="AE113" s="30" t="s">
        <v>7</v>
      </c>
    </row>
    <row r="114" spans="1:31" x14ac:dyDescent="0.25">
      <c r="A114" s="24">
        <f t="shared" ca="1" si="0"/>
        <v>1281</v>
      </c>
      <c r="B114" s="24">
        <f t="shared" ca="1" si="1"/>
        <v>1317</v>
      </c>
      <c r="C114" s="30">
        <v>76106</v>
      </c>
      <c r="D114" s="30" t="s">
        <v>286</v>
      </c>
      <c r="E114" s="30" t="s">
        <v>432</v>
      </c>
      <c r="F114" s="30" t="s">
        <v>11</v>
      </c>
      <c r="G114" s="30" t="s">
        <v>299</v>
      </c>
      <c r="H114" s="30" t="s">
        <v>80</v>
      </c>
      <c r="I114" s="30"/>
      <c r="J114" s="31">
        <v>42432.617789351854</v>
      </c>
      <c r="K114" s="30" t="s">
        <v>20</v>
      </c>
      <c r="L114" s="30" t="s">
        <v>79</v>
      </c>
      <c r="M114" s="31">
        <v>42396.87667824074</v>
      </c>
      <c r="N114" s="30" t="s">
        <v>141</v>
      </c>
      <c r="O114" s="30"/>
      <c r="P114" s="30"/>
      <c r="Q114" s="30" t="s">
        <v>6</v>
      </c>
      <c r="R114" s="30" t="s">
        <v>30</v>
      </c>
      <c r="S114" s="30" t="s">
        <v>13</v>
      </c>
      <c r="T114" s="30" t="s">
        <v>19</v>
      </c>
      <c r="U114" s="30"/>
      <c r="V114" s="30" t="s">
        <v>7</v>
      </c>
      <c r="W114" s="30" t="s">
        <v>10</v>
      </c>
      <c r="X114" s="30" t="s">
        <v>7</v>
      </c>
      <c r="Y114" s="30" t="s">
        <v>112</v>
      </c>
      <c r="Z114" s="30" t="s">
        <v>7</v>
      </c>
      <c r="AA114" s="30" t="s">
        <v>7</v>
      </c>
      <c r="AB114" s="30" t="s">
        <v>7</v>
      </c>
      <c r="AC114" s="30" t="s">
        <v>7</v>
      </c>
      <c r="AD114" s="30" t="s">
        <v>7</v>
      </c>
      <c r="AE114" s="30" t="s">
        <v>7</v>
      </c>
    </row>
    <row r="115" spans="1:31" x14ac:dyDescent="0.25">
      <c r="A115" s="24">
        <f t="shared" ca="1" si="0"/>
        <v>1317</v>
      </c>
      <c r="B115" s="24">
        <f t="shared" ca="1" si="1"/>
        <v>1317</v>
      </c>
      <c r="C115" s="30">
        <v>76107</v>
      </c>
      <c r="D115" s="30" t="s">
        <v>286</v>
      </c>
      <c r="E115" s="30" t="s">
        <v>433</v>
      </c>
      <c r="F115" s="30" t="s">
        <v>11</v>
      </c>
      <c r="G115" s="30" t="s">
        <v>299</v>
      </c>
      <c r="H115" s="30" t="s">
        <v>80</v>
      </c>
      <c r="I115" s="30"/>
      <c r="J115" s="31">
        <v>42396.876793981479</v>
      </c>
      <c r="K115" s="30" t="s">
        <v>20</v>
      </c>
      <c r="L115" s="30" t="s">
        <v>47</v>
      </c>
      <c r="M115" s="31">
        <v>42396.876793981479</v>
      </c>
      <c r="N115" s="30" t="s">
        <v>114</v>
      </c>
      <c r="O115" s="30"/>
      <c r="P115" s="30"/>
      <c r="Q115" s="30" t="s">
        <v>6</v>
      </c>
      <c r="R115" s="30" t="s">
        <v>30</v>
      </c>
      <c r="S115" s="30" t="s">
        <v>13</v>
      </c>
      <c r="T115" s="30" t="s">
        <v>19</v>
      </c>
      <c r="U115" s="30"/>
      <c r="V115" s="30" t="s">
        <v>7</v>
      </c>
      <c r="W115" s="30" t="s">
        <v>10</v>
      </c>
      <c r="X115" s="30" t="s">
        <v>7</v>
      </c>
      <c r="Y115" s="30" t="s">
        <v>112</v>
      </c>
      <c r="Z115" s="30" t="s">
        <v>7</v>
      </c>
      <c r="AA115" s="30" t="s">
        <v>7</v>
      </c>
      <c r="AB115" s="30" t="s">
        <v>7</v>
      </c>
      <c r="AC115" s="30" t="s">
        <v>7</v>
      </c>
      <c r="AD115" s="30" t="s">
        <v>7</v>
      </c>
      <c r="AE115" s="30" t="s">
        <v>7</v>
      </c>
    </row>
    <row r="116" spans="1:31" x14ac:dyDescent="0.25">
      <c r="A116" s="24">
        <f t="shared" ca="1" si="0"/>
        <v>1310</v>
      </c>
      <c r="B116" s="24">
        <f t="shared" ca="1" si="1"/>
        <v>1317</v>
      </c>
      <c r="C116" s="30">
        <v>76109</v>
      </c>
      <c r="D116" s="30" t="s">
        <v>275</v>
      </c>
      <c r="E116" s="30" t="s">
        <v>434</v>
      </c>
      <c r="F116" s="30" t="s">
        <v>11</v>
      </c>
      <c r="G116" s="30" t="s">
        <v>299</v>
      </c>
      <c r="H116" s="30" t="s">
        <v>80</v>
      </c>
      <c r="I116" s="30"/>
      <c r="J116" s="31">
        <v>42404.586782407408</v>
      </c>
      <c r="K116" s="30" t="s">
        <v>20</v>
      </c>
      <c r="L116" s="30" t="s">
        <v>79</v>
      </c>
      <c r="M116" s="31">
        <v>42396.877256944441</v>
      </c>
      <c r="N116" s="30" t="s">
        <v>5</v>
      </c>
      <c r="O116" s="30"/>
      <c r="P116" s="30"/>
      <c r="Q116" s="30" t="s">
        <v>6</v>
      </c>
      <c r="R116" s="30" t="s">
        <v>30</v>
      </c>
      <c r="S116" s="30" t="s">
        <v>8</v>
      </c>
      <c r="T116" s="30" t="s">
        <v>37</v>
      </c>
      <c r="U116" s="30"/>
      <c r="V116" s="30" t="s">
        <v>7</v>
      </c>
      <c r="W116" s="30" t="s">
        <v>10</v>
      </c>
      <c r="X116" s="30" t="s">
        <v>43</v>
      </c>
      <c r="Y116" s="30" t="s">
        <v>112</v>
      </c>
      <c r="Z116" s="30" t="s">
        <v>7</v>
      </c>
      <c r="AA116" s="30" t="s">
        <v>7</v>
      </c>
      <c r="AB116" s="30" t="s">
        <v>7</v>
      </c>
      <c r="AC116" s="30" t="s">
        <v>7</v>
      </c>
      <c r="AD116" s="30" t="s">
        <v>7</v>
      </c>
      <c r="AE116" s="30" t="s">
        <v>7</v>
      </c>
    </row>
    <row r="117" spans="1:31" x14ac:dyDescent="0.25">
      <c r="A117" s="24">
        <f t="shared" ca="1" si="0"/>
        <v>1284</v>
      </c>
      <c r="B117" s="24">
        <f t="shared" ca="1" si="1"/>
        <v>1317</v>
      </c>
      <c r="C117" s="30">
        <v>76110</v>
      </c>
      <c r="D117" s="30" t="s">
        <v>272</v>
      </c>
      <c r="E117" s="30" t="s">
        <v>435</v>
      </c>
      <c r="F117" s="30" t="s">
        <v>11</v>
      </c>
      <c r="G117" s="30" t="s">
        <v>299</v>
      </c>
      <c r="H117" s="30" t="s">
        <v>80</v>
      </c>
      <c r="I117" s="30"/>
      <c r="J117" s="31">
        <v>42429.578206018516</v>
      </c>
      <c r="K117" s="30" t="s">
        <v>20</v>
      </c>
      <c r="L117" s="30" t="s">
        <v>3</v>
      </c>
      <c r="M117" s="31">
        <v>42396.877453703702</v>
      </c>
      <c r="N117" s="30" t="s">
        <v>115</v>
      </c>
      <c r="O117" s="30"/>
      <c r="P117" s="30"/>
      <c r="Q117" s="30" t="s">
        <v>6</v>
      </c>
      <c r="R117" s="30" t="s">
        <v>30</v>
      </c>
      <c r="S117" s="30" t="s">
        <v>13</v>
      </c>
      <c r="T117" s="30" t="s">
        <v>19</v>
      </c>
      <c r="U117" s="30"/>
      <c r="V117" s="30" t="s">
        <v>7</v>
      </c>
      <c r="W117" s="30" t="s">
        <v>10</v>
      </c>
      <c r="X117" s="30" t="s">
        <v>7</v>
      </c>
      <c r="Y117" s="30" t="s">
        <v>112</v>
      </c>
      <c r="Z117" s="30" t="s">
        <v>7</v>
      </c>
      <c r="AA117" s="30" t="s">
        <v>7</v>
      </c>
      <c r="AB117" s="30" t="s">
        <v>7</v>
      </c>
      <c r="AC117" s="30" t="s">
        <v>7</v>
      </c>
      <c r="AD117" s="30" t="s">
        <v>7</v>
      </c>
      <c r="AE117" s="30" t="s">
        <v>7</v>
      </c>
    </row>
    <row r="118" spans="1:31" x14ac:dyDescent="0.25">
      <c r="A118" s="24">
        <f t="shared" ca="1" si="0"/>
        <v>1317</v>
      </c>
      <c r="B118" s="24">
        <f t="shared" ca="1" si="1"/>
        <v>1317</v>
      </c>
      <c r="C118" s="30">
        <v>76111</v>
      </c>
      <c r="D118" s="30" t="s">
        <v>276</v>
      </c>
      <c r="E118" s="30" t="s">
        <v>436</v>
      </c>
      <c r="F118" s="30" t="s">
        <v>11</v>
      </c>
      <c r="G118" s="30" t="s">
        <v>299</v>
      </c>
      <c r="H118" s="30" t="s">
        <v>80</v>
      </c>
      <c r="I118" s="30"/>
      <c r="J118" s="31">
        <v>42396.877627314818</v>
      </c>
      <c r="K118" s="30" t="s">
        <v>20</v>
      </c>
      <c r="L118" s="30" t="s">
        <v>79</v>
      </c>
      <c r="M118" s="31">
        <v>42396.877627314818</v>
      </c>
      <c r="N118" s="30" t="s">
        <v>49</v>
      </c>
      <c r="O118" s="30"/>
      <c r="P118" s="30"/>
      <c r="Q118" s="30" t="s">
        <v>6</v>
      </c>
      <c r="R118" s="30" t="s">
        <v>30</v>
      </c>
      <c r="S118" s="30" t="s">
        <v>24</v>
      </c>
      <c r="T118" s="30" t="s">
        <v>45</v>
      </c>
      <c r="U118" s="30"/>
      <c r="V118" s="30" t="s">
        <v>7</v>
      </c>
      <c r="W118" s="30" t="s">
        <v>10</v>
      </c>
      <c r="X118" s="30" t="s">
        <v>7</v>
      </c>
      <c r="Y118" s="30" t="s">
        <v>112</v>
      </c>
      <c r="Z118" s="30" t="s">
        <v>7</v>
      </c>
      <c r="AA118" s="30" t="s">
        <v>7</v>
      </c>
      <c r="AB118" s="30" t="s">
        <v>7</v>
      </c>
      <c r="AC118" s="30" t="s">
        <v>7</v>
      </c>
      <c r="AD118" s="30" t="s">
        <v>7</v>
      </c>
      <c r="AE118" s="30" t="s">
        <v>7</v>
      </c>
    </row>
    <row r="119" spans="1:31" x14ac:dyDescent="0.25">
      <c r="A119" s="24">
        <f t="shared" ca="1" si="0"/>
        <v>1317</v>
      </c>
      <c r="B119" s="24">
        <f t="shared" ca="1" si="1"/>
        <v>1317</v>
      </c>
      <c r="C119" s="30">
        <v>76112</v>
      </c>
      <c r="D119" s="30" t="s">
        <v>276</v>
      </c>
      <c r="E119" s="30" t="s">
        <v>437</v>
      </c>
      <c r="F119" s="30" t="s">
        <v>11</v>
      </c>
      <c r="G119" s="30" t="s">
        <v>299</v>
      </c>
      <c r="H119" s="30" t="s">
        <v>80</v>
      </c>
      <c r="I119" s="30"/>
      <c r="J119" s="31">
        <v>42396.877789351849</v>
      </c>
      <c r="K119" s="30" t="s">
        <v>20</v>
      </c>
      <c r="L119" s="30" t="s">
        <v>82</v>
      </c>
      <c r="M119" s="31">
        <v>42396.877789351849</v>
      </c>
      <c r="N119" s="30" t="s">
        <v>22</v>
      </c>
      <c r="O119" s="30"/>
      <c r="P119" s="30"/>
      <c r="Q119" s="30" t="s">
        <v>6</v>
      </c>
      <c r="R119" s="30" t="s">
        <v>30</v>
      </c>
      <c r="S119" s="30" t="s">
        <v>8</v>
      </c>
      <c r="T119" s="30" t="s">
        <v>27</v>
      </c>
      <c r="U119" s="30"/>
      <c r="V119" s="30" t="s">
        <v>7</v>
      </c>
      <c r="W119" s="30" t="s">
        <v>10</v>
      </c>
      <c r="X119" s="30" t="s">
        <v>7</v>
      </c>
      <c r="Y119" s="30" t="s">
        <v>112</v>
      </c>
      <c r="Z119" s="30" t="s">
        <v>7</v>
      </c>
      <c r="AA119" s="30" t="s">
        <v>7</v>
      </c>
      <c r="AB119" s="30" t="s">
        <v>7</v>
      </c>
      <c r="AC119" s="30" t="s">
        <v>7</v>
      </c>
      <c r="AD119" s="30" t="s">
        <v>7</v>
      </c>
      <c r="AE119" s="30" t="s">
        <v>7</v>
      </c>
    </row>
    <row r="120" spans="1:31" x14ac:dyDescent="0.25">
      <c r="A120" s="24">
        <f t="shared" ca="1" si="0"/>
        <v>1310</v>
      </c>
      <c r="B120" s="24">
        <f t="shared" ca="1" si="1"/>
        <v>1317</v>
      </c>
      <c r="C120" s="30">
        <v>76113</v>
      </c>
      <c r="D120" s="30" t="s">
        <v>303</v>
      </c>
      <c r="E120" s="30" t="s">
        <v>438</v>
      </c>
      <c r="F120" s="30" t="s">
        <v>11</v>
      </c>
      <c r="G120" s="30" t="s">
        <v>299</v>
      </c>
      <c r="H120" s="30" t="s">
        <v>80</v>
      </c>
      <c r="I120" s="30"/>
      <c r="J120" s="31">
        <v>42404.588275462964</v>
      </c>
      <c r="K120" s="30" t="s">
        <v>20</v>
      </c>
      <c r="L120" s="30" t="s">
        <v>79</v>
      </c>
      <c r="M120" s="31">
        <v>42396.878078703703</v>
      </c>
      <c r="N120" s="30" t="s">
        <v>5</v>
      </c>
      <c r="O120" s="30"/>
      <c r="P120" s="30"/>
      <c r="Q120" s="30" t="s">
        <v>6</v>
      </c>
      <c r="R120" s="30" t="s">
        <v>30</v>
      </c>
      <c r="S120" s="30" t="s">
        <v>8</v>
      </c>
      <c r="T120" s="30" t="s">
        <v>37</v>
      </c>
      <c r="U120" s="30"/>
      <c r="V120" s="30" t="s">
        <v>7</v>
      </c>
      <c r="W120" s="30" t="s">
        <v>10</v>
      </c>
      <c r="X120" s="30" t="s">
        <v>7</v>
      </c>
      <c r="Y120" s="30" t="s">
        <v>112</v>
      </c>
      <c r="Z120" s="30" t="s">
        <v>7</v>
      </c>
      <c r="AA120" s="30" t="s">
        <v>7</v>
      </c>
      <c r="AB120" s="30" t="s">
        <v>7</v>
      </c>
      <c r="AC120" s="30" t="s">
        <v>7</v>
      </c>
      <c r="AD120" s="30" t="s">
        <v>7</v>
      </c>
      <c r="AE120" s="30" t="s">
        <v>7</v>
      </c>
    </row>
    <row r="121" spans="1:31" x14ac:dyDescent="0.25">
      <c r="A121" s="24">
        <f t="shared" ca="1" si="0"/>
        <v>1317</v>
      </c>
      <c r="B121" s="24">
        <f t="shared" ca="1" si="1"/>
        <v>1317</v>
      </c>
      <c r="C121" s="30">
        <v>76114</v>
      </c>
      <c r="D121" s="30" t="s">
        <v>276</v>
      </c>
      <c r="E121" s="30" t="s">
        <v>439</v>
      </c>
      <c r="F121" s="30" t="s">
        <v>11</v>
      </c>
      <c r="G121" s="30" t="s">
        <v>299</v>
      </c>
      <c r="H121" s="30" t="s">
        <v>80</v>
      </c>
      <c r="I121" s="30"/>
      <c r="J121" s="31">
        <v>42396.878425925926</v>
      </c>
      <c r="K121" s="30" t="s">
        <v>20</v>
      </c>
      <c r="L121" s="30" t="s">
        <v>82</v>
      </c>
      <c r="M121" s="31">
        <v>42396.878425925926</v>
      </c>
      <c r="N121" s="30" t="s">
        <v>49</v>
      </c>
      <c r="O121" s="30"/>
      <c r="P121" s="30"/>
      <c r="Q121" s="30" t="s">
        <v>6</v>
      </c>
      <c r="R121" s="30" t="s">
        <v>30</v>
      </c>
      <c r="S121" s="30" t="s">
        <v>8</v>
      </c>
      <c r="T121" s="30" t="s">
        <v>27</v>
      </c>
      <c r="U121" s="30"/>
      <c r="V121" s="30" t="s">
        <v>7</v>
      </c>
      <c r="W121" s="30" t="s">
        <v>10</v>
      </c>
      <c r="X121" s="30" t="s">
        <v>7</v>
      </c>
      <c r="Y121" s="30" t="s">
        <v>112</v>
      </c>
      <c r="Z121" s="30" t="s">
        <v>7</v>
      </c>
      <c r="AA121" s="30" t="s">
        <v>7</v>
      </c>
      <c r="AB121" s="30" t="s">
        <v>7</v>
      </c>
      <c r="AC121" s="30" t="s">
        <v>7</v>
      </c>
      <c r="AD121" s="30" t="s">
        <v>7</v>
      </c>
      <c r="AE121" s="30" t="s">
        <v>7</v>
      </c>
    </row>
    <row r="122" spans="1:31" x14ac:dyDescent="0.25">
      <c r="A122" s="24">
        <f t="shared" ca="1" si="0"/>
        <v>1317</v>
      </c>
      <c r="B122" s="24">
        <f t="shared" ca="1" si="1"/>
        <v>1317</v>
      </c>
      <c r="C122" s="30">
        <v>76115</v>
      </c>
      <c r="D122" s="30" t="s">
        <v>277</v>
      </c>
      <c r="E122" s="30" t="s">
        <v>440</v>
      </c>
      <c r="F122" s="30" t="s">
        <v>11</v>
      </c>
      <c r="G122" s="30" t="s">
        <v>299</v>
      </c>
      <c r="H122" s="30" t="s">
        <v>80</v>
      </c>
      <c r="I122" s="30"/>
      <c r="J122" s="31">
        <v>42396.87871527778</v>
      </c>
      <c r="K122" s="30" t="s">
        <v>20</v>
      </c>
      <c r="L122" s="30" t="s">
        <v>82</v>
      </c>
      <c r="M122" s="31">
        <v>42396.87871527778</v>
      </c>
      <c r="N122" s="30" t="s">
        <v>49</v>
      </c>
      <c r="O122" s="30"/>
      <c r="P122" s="30"/>
      <c r="Q122" s="30" t="s">
        <v>6</v>
      </c>
      <c r="R122" s="30" t="s">
        <v>30</v>
      </c>
      <c r="S122" s="30" t="s">
        <v>8</v>
      </c>
      <c r="T122" s="30" t="s">
        <v>37</v>
      </c>
      <c r="U122" s="30"/>
      <c r="V122" s="30" t="s">
        <v>7</v>
      </c>
      <c r="W122" s="30" t="s">
        <v>10</v>
      </c>
      <c r="X122" s="30" t="s">
        <v>7</v>
      </c>
      <c r="Y122" s="30" t="s">
        <v>112</v>
      </c>
      <c r="Z122" s="30" t="s">
        <v>7</v>
      </c>
      <c r="AA122" s="30" t="s">
        <v>7</v>
      </c>
      <c r="AB122" s="30" t="s">
        <v>7</v>
      </c>
      <c r="AC122" s="30" t="s">
        <v>7</v>
      </c>
      <c r="AD122" s="30" t="s">
        <v>7</v>
      </c>
      <c r="AE122" s="30" t="s">
        <v>7</v>
      </c>
    </row>
    <row r="123" spans="1:31" x14ac:dyDescent="0.25">
      <c r="A123" s="24">
        <f t="shared" ca="1" si="0"/>
        <v>1298</v>
      </c>
      <c r="B123" s="24">
        <f t="shared" ca="1" si="1"/>
        <v>1317</v>
      </c>
      <c r="C123" s="30">
        <v>76116</v>
      </c>
      <c r="D123" s="30" t="s">
        <v>278</v>
      </c>
      <c r="E123" s="30" t="s">
        <v>441</v>
      </c>
      <c r="F123" s="30" t="s">
        <v>11</v>
      </c>
      <c r="G123" s="30" t="s">
        <v>299</v>
      </c>
      <c r="H123" s="30" t="s">
        <v>80</v>
      </c>
      <c r="I123" s="30"/>
      <c r="J123" s="31">
        <v>42416.610046296293</v>
      </c>
      <c r="K123" s="30" t="s">
        <v>20</v>
      </c>
      <c r="L123" s="30" t="s">
        <v>79</v>
      </c>
      <c r="M123" s="31">
        <v>42396.878900462965</v>
      </c>
      <c r="N123" s="30" t="s">
        <v>29</v>
      </c>
      <c r="O123" s="30"/>
      <c r="P123" s="30"/>
      <c r="Q123" s="30" t="s">
        <v>6</v>
      </c>
      <c r="R123" s="30" t="s">
        <v>30</v>
      </c>
      <c r="S123" s="30" t="s">
        <v>8</v>
      </c>
      <c r="T123" s="30" t="s">
        <v>27</v>
      </c>
      <c r="U123" s="30"/>
      <c r="V123" s="30" t="s">
        <v>7</v>
      </c>
      <c r="W123" s="30" t="s">
        <v>10</v>
      </c>
      <c r="X123" s="30" t="s">
        <v>7</v>
      </c>
      <c r="Y123" s="30" t="s">
        <v>112</v>
      </c>
      <c r="Z123" s="30" t="s">
        <v>7</v>
      </c>
      <c r="AA123" s="30" t="s">
        <v>7</v>
      </c>
      <c r="AB123" s="30" t="s">
        <v>7</v>
      </c>
      <c r="AC123" s="30" t="s">
        <v>7</v>
      </c>
      <c r="AD123" s="30" t="s">
        <v>7</v>
      </c>
      <c r="AE123" s="30" t="s">
        <v>7</v>
      </c>
    </row>
    <row r="124" spans="1:31" x14ac:dyDescent="0.25">
      <c r="A124" s="24">
        <f t="shared" ca="1" si="0"/>
        <v>1317</v>
      </c>
      <c r="B124" s="24">
        <f t="shared" ca="1" si="1"/>
        <v>1317</v>
      </c>
      <c r="C124" s="30">
        <v>76117</v>
      </c>
      <c r="D124" s="30" t="s">
        <v>277</v>
      </c>
      <c r="E124" s="30" t="s">
        <v>442</v>
      </c>
      <c r="F124" s="30" t="s">
        <v>11</v>
      </c>
      <c r="G124" s="30" t="s">
        <v>299</v>
      </c>
      <c r="H124" s="30" t="s">
        <v>80</v>
      </c>
      <c r="I124" s="30"/>
      <c r="J124" s="31">
        <v>42396.879189814812</v>
      </c>
      <c r="K124" s="30" t="s">
        <v>20</v>
      </c>
      <c r="L124" s="30" t="s">
        <v>3</v>
      </c>
      <c r="M124" s="31">
        <v>42396.879189814812</v>
      </c>
      <c r="N124" s="30" t="s">
        <v>49</v>
      </c>
      <c r="O124" s="30"/>
      <c r="P124" s="30"/>
      <c r="Q124" s="30" t="s">
        <v>6</v>
      </c>
      <c r="R124" s="30" t="s">
        <v>30</v>
      </c>
      <c r="S124" s="30" t="s">
        <v>8</v>
      </c>
      <c r="T124" s="30" t="s">
        <v>116</v>
      </c>
      <c r="U124" s="30"/>
      <c r="V124" s="30" t="s">
        <v>7</v>
      </c>
      <c r="W124" s="30" t="s">
        <v>10</v>
      </c>
      <c r="X124" s="30" t="s">
        <v>7</v>
      </c>
      <c r="Y124" s="30" t="s">
        <v>112</v>
      </c>
      <c r="Z124" s="30" t="s">
        <v>7</v>
      </c>
      <c r="AA124" s="30" t="s">
        <v>7</v>
      </c>
      <c r="AB124" s="30" t="s">
        <v>7</v>
      </c>
      <c r="AC124" s="30" t="s">
        <v>7</v>
      </c>
      <c r="AD124" s="30" t="s">
        <v>7</v>
      </c>
      <c r="AE124" s="30" t="s">
        <v>7</v>
      </c>
    </row>
    <row r="125" spans="1:31" x14ac:dyDescent="0.25">
      <c r="A125" s="24">
        <f t="shared" ca="1" si="0"/>
        <v>1317</v>
      </c>
      <c r="B125" s="24">
        <f t="shared" ca="1" si="1"/>
        <v>1317</v>
      </c>
      <c r="C125" s="30">
        <v>76118</v>
      </c>
      <c r="D125" s="30" t="s">
        <v>277</v>
      </c>
      <c r="E125" s="30" t="s">
        <v>443</v>
      </c>
      <c r="F125" s="30" t="s">
        <v>11</v>
      </c>
      <c r="G125" s="30" t="s">
        <v>299</v>
      </c>
      <c r="H125" s="30" t="s">
        <v>80</v>
      </c>
      <c r="I125" s="30"/>
      <c r="J125" s="31">
        <v>42396.879525462966</v>
      </c>
      <c r="K125" s="30" t="s">
        <v>20</v>
      </c>
      <c r="L125" s="30" t="s">
        <v>3</v>
      </c>
      <c r="M125" s="31">
        <v>42396.879525462966</v>
      </c>
      <c r="N125" s="30" t="s">
        <v>49</v>
      </c>
      <c r="O125" s="30"/>
      <c r="P125" s="30"/>
      <c r="Q125" s="30" t="s">
        <v>6</v>
      </c>
      <c r="R125" s="30" t="s">
        <v>30</v>
      </c>
      <c r="S125" s="30" t="s">
        <v>8</v>
      </c>
      <c r="T125" s="30" t="s">
        <v>27</v>
      </c>
      <c r="U125" s="30"/>
      <c r="V125" s="30" t="s">
        <v>7</v>
      </c>
      <c r="W125" s="30" t="s">
        <v>10</v>
      </c>
      <c r="X125" s="30" t="s">
        <v>7</v>
      </c>
      <c r="Y125" s="30" t="s">
        <v>112</v>
      </c>
      <c r="Z125" s="30" t="s">
        <v>7</v>
      </c>
      <c r="AA125" s="30" t="s">
        <v>7</v>
      </c>
      <c r="AB125" s="30" t="s">
        <v>7</v>
      </c>
      <c r="AC125" s="30" t="s">
        <v>7</v>
      </c>
      <c r="AD125" s="30" t="s">
        <v>7</v>
      </c>
      <c r="AE125" s="30" t="s">
        <v>7</v>
      </c>
    </row>
    <row r="126" spans="1:31" x14ac:dyDescent="0.25">
      <c r="A126" s="24">
        <f t="shared" ca="1" si="0"/>
        <v>1317</v>
      </c>
      <c r="B126" s="24">
        <f t="shared" ca="1" si="1"/>
        <v>1317</v>
      </c>
      <c r="C126" s="30">
        <v>76119</v>
      </c>
      <c r="D126" s="30" t="s">
        <v>273</v>
      </c>
      <c r="E126" s="30" t="s">
        <v>444</v>
      </c>
      <c r="F126" s="30" t="s">
        <v>11</v>
      </c>
      <c r="G126" s="30" t="s">
        <v>299</v>
      </c>
      <c r="H126" s="30" t="s">
        <v>80</v>
      </c>
      <c r="I126" s="30" t="s">
        <v>445</v>
      </c>
      <c r="J126" s="31">
        <v>42396.879733796297</v>
      </c>
      <c r="K126" s="30" t="s">
        <v>20</v>
      </c>
      <c r="L126" s="30" t="s">
        <v>79</v>
      </c>
      <c r="M126" s="31">
        <v>42396.879733796297</v>
      </c>
      <c r="N126" s="30" t="s">
        <v>5</v>
      </c>
      <c r="O126" s="30"/>
      <c r="P126" s="30"/>
      <c r="Q126" s="30" t="s">
        <v>6</v>
      </c>
      <c r="R126" s="30" t="s">
        <v>30</v>
      </c>
      <c r="S126" s="30" t="s">
        <v>24</v>
      </c>
      <c r="T126" s="30" t="s">
        <v>50</v>
      </c>
      <c r="U126" s="30"/>
      <c r="V126" s="30" t="s">
        <v>7</v>
      </c>
      <c r="W126" s="30" t="s">
        <v>10</v>
      </c>
      <c r="X126" s="30" t="s">
        <v>7</v>
      </c>
      <c r="Y126" s="30" t="s">
        <v>112</v>
      </c>
      <c r="Z126" s="30" t="s">
        <v>7</v>
      </c>
      <c r="AA126" s="30" t="s">
        <v>7</v>
      </c>
      <c r="AB126" s="30" t="s">
        <v>7</v>
      </c>
      <c r="AC126" s="30" t="s">
        <v>7</v>
      </c>
      <c r="AD126" s="30" t="s">
        <v>7</v>
      </c>
      <c r="AE126" s="30" t="s">
        <v>7</v>
      </c>
    </row>
    <row r="127" spans="1:31" x14ac:dyDescent="0.25">
      <c r="A127" s="24">
        <f t="shared" ca="1" si="0"/>
        <v>1289</v>
      </c>
      <c r="B127" s="24">
        <f t="shared" ca="1" si="1"/>
        <v>1317</v>
      </c>
      <c r="C127" s="30">
        <v>76120</v>
      </c>
      <c r="D127" s="30" t="s">
        <v>286</v>
      </c>
      <c r="E127" s="30" t="s">
        <v>446</v>
      </c>
      <c r="F127" s="30" t="s">
        <v>11</v>
      </c>
      <c r="G127" s="30" t="s">
        <v>299</v>
      </c>
      <c r="H127" s="30" t="s">
        <v>80</v>
      </c>
      <c r="I127" s="30"/>
      <c r="J127" s="31">
        <v>42425.40730324074</v>
      </c>
      <c r="K127" s="30" t="s">
        <v>20</v>
      </c>
      <c r="L127" s="30" t="s">
        <v>3</v>
      </c>
      <c r="M127" s="31">
        <v>42396.879918981482</v>
      </c>
      <c r="N127" s="30" t="s">
        <v>29</v>
      </c>
      <c r="O127" s="30"/>
      <c r="P127" s="30"/>
      <c r="Q127" s="30" t="s">
        <v>6</v>
      </c>
      <c r="R127" s="30" t="s">
        <v>30</v>
      </c>
      <c r="S127" s="30" t="s">
        <v>13</v>
      </c>
      <c r="T127" s="30" t="s">
        <v>19</v>
      </c>
      <c r="U127" s="30"/>
      <c r="V127" s="30" t="s">
        <v>7</v>
      </c>
      <c r="W127" s="30" t="s">
        <v>10</v>
      </c>
      <c r="X127" s="30" t="s">
        <v>7</v>
      </c>
      <c r="Y127" s="30" t="s">
        <v>112</v>
      </c>
      <c r="Z127" s="30" t="s">
        <v>7</v>
      </c>
      <c r="AA127" s="30" t="s">
        <v>7</v>
      </c>
      <c r="AB127" s="30" t="s">
        <v>7</v>
      </c>
      <c r="AC127" s="30" t="s">
        <v>7</v>
      </c>
      <c r="AD127" s="30" t="s">
        <v>7</v>
      </c>
      <c r="AE127" s="30" t="s">
        <v>7</v>
      </c>
    </row>
    <row r="128" spans="1:31" x14ac:dyDescent="0.25">
      <c r="A128" s="24">
        <f t="shared" ca="1" si="0"/>
        <v>1298</v>
      </c>
      <c r="B128" s="24">
        <f t="shared" ca="1" si="1"/>
        <v>1317</v>
      </c>
      <c r="C128" s="30">
        <v>76121</v>
      </c>
      <c r="D128" s="30" t="s">
        <v>278</v>
      </c>
      <c r="E128" s="30" t="s">
        <v>447</v>
      </c>
      <c r="F128" s="30" t="s">
        <v>11</v>
      </c>
      <c r="G128" s="30" t="s">
        <v>299</v>
      </c>
      <c r="H128" s="30" t="s">
        <v>80</v>
      </c>
      <c r="I128" s="30"/>
      <c r="J128" s="31">
        <v>42416.604039351849</v>
      </c>
      <c r="K128" s="30" t="s">
        <v>20</v>
      </c>
      <c r="L128" s="30" t="s">
        <v>3</v>
      </c>
      <c r="M128" s="31">
        <v>42396.880104166667</v>
      </c>
      <c r="N128" s="30" t="s">
        <v>29</v>
      </c>
      <c r="O128" s="30"/>
      <c r="P128" s="30"/>
      <c r="Q128" s="30" t="s">
        <v>6</v>
      </c>
      <c r="R128" s="30" t="s">
        <v>30</v>
      </c>
      <c r="S128" s="30" t="s">
        <v>24</v>
      </c>
      <c r="T128" s="30" t="s">
        <v>45</v>
      </c>
      <c r="U128" s="30"/>
      <c r="V128" s="30" t="s">
        <v>7</v>
      </c>
      <c r="W128" s="30" t="s">
        <v>10</v>
      </c>
      <c r="X128" s="30" t="s">
        <v>7</v>
      </c>
      <c r="Y128" s="30" t="s">
        <v>112</v>
      </c>
      <c r="Z128" s="30" t="s">
        <v>7</v>
      </c>
      <c r="AA128" s="30" t="s">
        <v>7</v>
      </c>
      <c r="AB128" s="30" t="s">
        <v>7</v>
      </c>
      <c r="AC128" s="30" t="s">
        <v>7</v>
      </c>
      <c r="AD128" s="30" t="s">
        <v>7</v>
      </c>
      <c r="AE128" s="30" t="s">
        <v>7</v>
      </c>
    </row>
    <row r="129" spans="1:31" x14ac:dyDescent="0.25">
      <c r="A129" s="24">
        <f t="shared" ca="1" si="0"/>
        <v>1281</v>
      </c>
      <c r="B129" s="24">
        <f t="shared" ca="1" si="1"/>
        <v>1317</v>
      </c>
      <c r="C129" s="30">
        <v>76122</v>
      </c>
      <c r="D129" s="30" t="s">
        <v>274</v>
      </c>
      <c r="E129" s="30" t="s">
        <v>448</v>
      </c>
      <c r="F129" s="30" t="s">
        <v>11</v>
      </c>
      <c r="G129" s="30" t="s">
        <v>299</v>
      </c>
      <c r="H129" s="30" t="s">
        <v>80</v>
      </c>
      <c r="I129" s="30"/>
      <c r="J129" s="31">
        <v>42432.625868055555</v>
      </c>
      <c r="K129" s="30" t="s">
        <v>20</v>
      </c>
      <c r="L129" s="30" t="s">
        <v>3</v>
      </c>
      <c r="M129" s="31">
        <v>42396.880439814813</v>
      </c>
      <c r="N129" s="30" t="s">
        <v>39</v>
      </c>
      <c r="O129" s="30"/>
      <c r="P129" s="30"/>
      <c r="Q129" s="30" t="s">
        <v>6</v>
      </c>
      <c r="R129" s="30" t="s">
        <v>30</v>
      </c>
      <c r="S129" s="30" t="s">
        <v>13</v>
      </c>
      <c r="T129" s="30" t="s">
        <v>19</v>
      </c>
      <c r="U129" s="30"/>
      <c r="V129" s="30" t="s">
        <v>7</v>
      </c>
      <c r="W129" s="30" t="s">
        <v>10</v>
      </c>
      <c r="X129" s="30" t="s">
        <v>7</v>
      </c>
      <c r="Y129" s="30" t="s">
        <v>112</v>
      </c>
      <c r="Z129" s="30" t="s">
        <v>7</v>
      </c>
      <c r="AA129" s="30" t="s">
        <v>7</v>
      </c>
      <c r="AB129" s="30" t="s">
        <v>7</v>
      </c>
      <c r="AC129" s="30" t="s">
        <v>7</v>
      </c>
      <c r="AD129" s="30" t="s">
        <v>7</v>
      </c>
      <c r="AE129" s="30" t="s">
        <v>7</v>
      </c>
    </row>
    <row r="130" spans="1:31" x14ac:dyDescent="0.25">
      <c r="A130" s="24">
        <f t="shared" ca="1" si="0"/>
        <v>1289</v>
      </c>
      <c r="B130" s="24">
        <f t="shared" ca="1" si="1"/>
        <v>1317</v>
      </c>
      <c r="C130" s="30">
        <v>76123</v>
      </c>
      <c r="D130" s="30" t="s">
        <v>274</v>
      </c>
      <c r="E130" s="30" t="s">
        <v>449</v>
      </c>
      <c r="F130" s="30" t="s">
        <v>11</v>
      </c>
      <c r="G130" s="30" t="s">
        <v>299</v>
      </c>
      <c r="H130" s="30" t="s">
        <v>80</v>
      </c>
      <c r="I130" s="30"/>
      <c r="J130" s="31">
        <v>42425.386979166666</v>
      </c>
      <c r="K130" s="30" t="s">
        <v>20</v>
      </c>
      <c r="L130" s="30" t="s">
        <v>3</v>
      </c>
      <c r="M130" s="31">
        <v>42396.880624999998</v>
      </c>
      <c r="N130" s="30" t="s">
        <v>5</v>
      </c>
      <c r="O130" s="30"/>
      <c r="P130" s="30"/>
      <c r="Q130" s="30" t="s">
        <v>6</v>
      </c>
      <c r="R130" s="30" t="s">
        <v>7</v>
      </c>
      <c r="S130" s="30" t="s">
        <v>13</v>
      </c>
      <c r="T130" s="30" t="s">
        <v>19</v>
      </c>
      <c r="U130" s="21">
        <v>41901</v>
      </c>
      <c r="V130" s="30" t="s">
        <v>7</v>
      </c>
      <c r="W130" s="30" t="s">
        <v>26</v>
      </c>
      <c r="X130" s="30" t="s">
        <v>450</v>
      </c>
      <c r="Y130" s="30" t="s">
        <v>112</v>
      </c>
      <c r="Z130" s="30" t="s">
        <v>7</v>
      </c>
      <c r="AA130" s="30" t="s">
        <v>7</v>
      </c>
      <c r="AB130" s="30" t="s">
        <v>7</v>
      </c>
      <c r="AC130" s="30" t="s">
        <v>7</v>
      </c>
      <c r="AD130" s="30" t="s">
        <v>7</v>
      </c>
      <c r="AE130" s="30" t="s">
        <v>7</v>
      </c>
    </row>
    <row r="131" spans="1:31" x14ac:dyDescent="0.25">
      <c r="A131" s="24">
        <f t="shared" ca="1" si="0"/>
        <v>1317</v>
      </c>
      <c r="B131" s="24">
        <f t="shared" ca="1" si="1"/>
        <v>1317</v>
      </c>
      <c r="C131" s="30">
        <v>76124</v>
      </c>
      <c r="D131" s="30" t="s">
        <v>277</v>
      </c>
      <c r="E131" s="30" t="s">
        <v>451</v>
      </c>
      <c r="F131" s="30" t="s">
        <v>11</v>
      </c>
      <c r="G131" s="30" t="s">
        <v>299</v>
      </c>
      <c r="H131" s="30" t="s">
        <v>80</v>
      </c>
      <c r="I131" s="30" t="s">
        <v>319</v>
      </c>
      <c r="J131" s="31">
        <v>42396.880902777775</v>
      </c>
      <c r="K131" s="30" t="s">
        <v>20</v>
      </c>
      <c r="L131" s="30" t="s">
        <v>3</v>
      </c>
      <c r="M131" s="31">
        <v>42396.880902777775</v>
      </c>
      <c r="N131" s="30" t="s">
        <v>55</v>
      </c>
      <c r="O131" s="30"/>
      <c r="P131" s="30"/>
      <c r="Q131" s="30" t="s">
        <v>6</v>
      </c>
      <c r="R131" s="30" t="s">
        <v>30</v>
      </c>
      <c r="S131" s="30" t="s">
        <v>13</v>
      </c>
      <c r="T131" s="30" t="s">
        <v>19</v>
      </c>
      <c r="U131" s="30"/>
      <c r="V131" s="30" t="s">
        <v>7</v>
      </c>
      <c r="W131" s="30" t="s">
        <v>10</v>
      </c>
      <c r="X131" s="30" t="s">
        <v>7</v>
      </c>
      <c r="Y131" s="30" t="s">
        <v>112</v>
      </c>
      <c r="Z131" s="30" t="s">
        <v>7</v>
      </c>
      <c r="AA131" s="30" t="s">
        <v>7</v>
      </c>
      <c r="AB131" s="30" t="s">
        <v>7</v>
      </c>
      <c r="AC131" s="30" t="s">
        <v>7</v>
      </c>
      <c r="AD131" s="30" t="s">
        <v>7</v>
      </c>
      <c r="AE131" s="30" t="s">
        <v>7</v>
      </c>
    </row>
    <row r="132" spans="1:31" x14ac:dyDescent="0.25">
      <c r="A132" s="24">
        <f t="shared" ca="1" si="0"/>
        <v>1275</v>
      </c>
      <c r="B132" s="24">
        <f t="shared" ca="1" si="1"/>
        <v>1317</v>
      </c>
      <c r="C132" s="30">
        <v>76125</v>
      </c>
      <c r="D132" s="30" t="s">
        <v>274</v>
      </c>
      <c r="E132" s="30" t="s">
        <v>452</v>
      </c>
      <c r="F132" s="30" t="s">
        <v>11</v>
      </c>
      <c r="G132" s="30" t="s">
        <v>299</v>
      </c>
      <c r="H132" s="30" t="s">
        <v>80</v>
      </c>
      <c r="I132" s="30"/>
      <c r="J132" s="31">
        <v>42438.588321759256</v>
      </c>
      <c r="K132" s="30" t="s">
        <v>20</v>
      </c>
      <c r="L132" s="30" t="s">
        <v>3</v>
      </c>
      <c r="M132" s="31">
        <v>42396.881180555552</v>
      </c>
      <c r="N132" s="30" t="s">
        <v>39</v>
      </c>
      <c r="O132" s="30"/>
      <c r="P132" s="30"/>
      <c r="Q132" s="30" t="s">
        <v>6</v>
      </c>
      <c r="R132" s="30" t="s">
        <v>30</v>
      </c>
      <c r="S132" s="30" t="s">
        <v>13</v>
      </c>
      <c r="T132" s="30" t="s">
        <v>19</v>
      </c>
      <c r="U132" s="30"/>
      <c r="V132" s="30" t="s">
        <v>7</v>
      </c>
      <c r="W132" s="30" t="s">
        <v>10</v>
      </c>
      <c r="X132" s="30" t="s">
        <v>7</v>
      </c>
      <c r="Y132" s="30" t="s">
        <v>112</v>
      </c>
      <c r="Z132" s="30" t="s">
        <v>7</v>
      </c>
      <c r="AA132" s="30" t="s">
        <v>7</v>
      </c>
      <c r="AB132" s="30" t="s">
        <v>7</v>
      </c>
      <c r="AC132" s="30" t="s">
        <v>7</v>
      </c>
      <c r="AD132" s="30" t="s">
        <v>7</v>
      </c>
      <c r="AE132" s="30" t="s">
        <v>7</v>
      </c>
    </row>
    <row r="133" spans="1:31" x14ac:dyDescent="0.25">
      <c r="A133" s="24">
        <f t="shared" ca="1" si="0"/>
        <v>1289</v>
      </c>
      <c r="B133" s="24">
        <f t="shared" ca="1" si="1"/>
        <v>1317</v>
      </c>
      <c r="C133" s="30">
        <v>76126</v>
      </c>
      <c r="D133" s="30" t="s">
        <v>272</v>
      </c>
      <c r="E133" s="30" t="s">
        <v>453</v>
      </c>
      <c r="F133" s="30" t="s">
        <v>11</v>
      </c>
      <c r="G133" s="30" t="s">
        <v>299</v>
      </c>
      <c r="H133" s="30" t="s">
        <v>80</v>
      </c>
      <c r="I133" s="30"/>
      <c r="J133" s="31">
        <v>42425.388599537036</v>
      </c>
      <c r="K133" s="30" t="s">
        <v>20</v>
      </c>
      <c r="L133" s="30" t="s">
        <v>3</v>
      </c>
      <c r="M133" s="31">
        <v>42396.881377314814</v>
      </c>
      <c r="N133" s="30" t="s">
        <v>5</v>
      </c>
      <c r="O133" s="30"/>
      <c r="P133" s="30"/>
      <c r="Q133" s="30" t="s">
        <v>6</v>
      </c>
      <c r="R133" s="30" t="s">
        <v>7</v>
      </c>
      <c r="S133" s="30" t="s">
        <v>13</v>
      </c>
      <c r="T133" s="30" t="s">
        <v>19</v>
      </c>
      <c r="U133" s="30"/>
      <c r="V133" s="30" t="s">
        <v>7</v>
      </c>
      <c r="W133" s="30" t="s">
        <v>10</v>
      </c>
      <c r="X133" s="30" t="s">
        <v>7</v>
      </c>
      <c r="Y133" s="30" t="s">
        <v>112</v>
      </c>
      <c r="Z133" s="30" t="s">
        <v>7</v>
      </c>
      <c r="AA133" s="30" t="s">
        <v>7</v>
      </c>
      <c r="AB133" s="30" t="s">
        <v>7</v>
      </c>
      <c r="AC133" s="30" t="s">
        <v>7</v>
      </c>
      <c r="AD133" s="30" t="s">
        <v>7</v>
      </c>
      <c r="AE133" s="30" t="s">
        <v>7</v>
      </c>
    </row>
    <row r="134" spans="1:31" x14ac:dyDescent="0.25">
      <c r="A134" s="24">
        <f t="shared" ca="1" si="0"/>
        <v>1317</v>
      </c>
      <c r="B134" s="24">
        <f t="shared" ca="1" si="1"/>
        <v>1317</v>
      </c>
      <c r="C134" s="30">
        <v>76127</v>
      </c>
      <c r="D134" s="30" t="s">
        <v>288</v>
      </c>
      <c r="E134" s="30" t="s">
        <v>454</v>
      </c>
      <c r="F134" s="30" t="s">
        <v>11</v>
      </c>
      <c r="G134" s="30" t="s">
        <v>299</v>
      </c>
      <c r="H134" s="30" t="s">
        <v>80</v>
      </c>
      <c r="I134" s="30"/>
      <c r="J134" s="31">
        <v>42396.881527777776</v>
      </c>
      <c r="K134" s="30" t="s">
        <v>20</v>
      </c>
      <c r="L134" s="30" t="s">
        <v>3</v>
      </c>
      <c r="M134" s="31">
        <v>42396.881527777776</v>
      </c>
      <c r="N134" s="30" t="s">
        <v>49</v>
      </c>
      <c r="O134" s="30"/>
      <c r="P134" s="30"/>
      <c r="Q134" s="30" t="s">
        <v>6</v>
      </c>
      <c r="R134" s="30" t="s">
        <v>30</v>
      </c>
      <c r="S134" s="30" t="s">
        <v>8</v>
      </c>
      <c r="T134" s="30" t="s">
        <v>37</v>
      </c>
      <c r="U134" s="30"/>
      <c r="V134" s="30" t="s">
        <v>7</v>
      </c>
      <c r="W134" s="30" t="s">
        <v>10</v>
      </c>
      <c r="X134" s="30" t="s">
        <v>7</v>
      </c>
      <c r="Y134" s="30" t="s">
        <v>112</v>
      </c>
      <c r="Z134" s="30" t="s">
        <v>7</v>
      </c>
      <c r="AA134" s="30" t="s">
        <v>7</v>
      </c>
      <c r="AB134" s="30" t="s">
        <v>7</v>
      </c>
      <c r="AC134" s="30" t="s">
        <v>7</v>
      </c>
      <c r="AD134" s="30" t="s">
        <v>7</v>
      </c>
      <c r="AE134" s="30" t="s">
        <v>7</v>
      </c>
    </row>
    <row r="135" spans="1:31" x14ac:dyDescent="0.25">
      <c r="A135" s="24">
        <f t="shared" ca="1" si="0"/>
        <v>1317</v>
      </c>
      <c r="B135" s="24">
        <f t="shared" ca="1" si="1"/>
        <v>1317</v>
      </c>
      <c r="C135" s="30">
        <v>76128</v>
      </c>
      <c r="D135" s="30" t="s">
        <v>288</v>
      </c>
      <c r="E135" s="30" t="s">
        <v>455</v>
      </c>
      <c r="F135" s="30" t="s">
        <v>11</v>
      </c>
      <c r="G135" s="30" t="s">
        <v>299</v>
      </c>
      <c r="H135" s="30" t="s">
        <v>80</v>
      </c>
      <c r="I135" s="30"/>
      <c r="J135" s="31">
        <v>42396.881678240738</v>
      </c>
      <c r="K135" s="30" t="s">
        <v>20</v>
      </c>
      <c r="L135" s="30" t="s">
        <v>3</v>
      </c>
      <c r="M135" s="31">
        <v>42396.881678240738</v>
      </c>
      <c r="N135" s="30" t="s">
        <v>49</v>
      </c>
      <c r="O135" s="30"/>
      <c r="P135" s="30"/>
      <c r="Q135" s="30" t="s">
        <v>6</v>
      </c>
      <c r="R135" s="30" t="s">
        <v>30</v>
      </c>
      <c r="S135" s="30" t="s">
        <v>8</v>
      </c>
      <c r="T135" s="30" t="s">
        <v>37</v>
      </c>
      <c r="U135" s="30"/>
      <c r="V135" s="30" t="s">
        <v>7</v>
      </c>
      <c r="W135" s="30" t="s">
        <v>10</v>
      </c>
      <c r="X135" s="30" t="s">
        <v>7</v>
      </c>
      <c r="Y135" s="30" t="s">
        <v>112</v>
      </c>
      <c r="Z135" s="30" t="s">
        <v>7</v>
      </c>
      <c r="AA135" s="30" t="s">
        <v>7</v>
      </c>
      <c r="AB135" s="30" t="s">
        <v>7</v>
      </c>
      <c r="AC135" s="30" t="s">
        <v>7</v>
      </c>
      <c r="AD135" s="30" t="s">
        <v>7</v>
      </c>
      <c r="AE135" s="30" t="s">
        <v>7</v>
      </c>
    </row>
    <row r="136" spans="1:31" x14ac:dyDescent="0.25">
      <c r="A136" s="24">
        <f t="shared" ca="1" si="0"/>
        <v>1289</v>
      </c>
      <c r="B136" s="24">
        <f t="shared" ca="1" si="1"/>
        <v>1317</v>
      </c>
      <c r="C136" s="30">
        <v>76129</v>
      </c>
      <c r="D136" s="30" t="s">
        <v>274</v>
      </c>
      <c r="E136" s="30" t="s">
        <v>456</v>
      </c>
      <c r="F136" s="30" t="s">
        <v>11</v>
      </c>
      <c r="G136" s="30" t="s">
        <v>299</v>
      </c>
      <c r="H136" s="30" t="s">
        <v>80</v>
      </c>
      <c r="I136" s="30"/>
      <c r="J136" s="31">
        <v>42425.38958333333</v>
      </c>
      <c r="K136" s="30" t="s">
        <v>20</v>
      </c>
      <c r="L136" s="30" t="s">
        <v>3</v>
      </c>
      <c r="M136" s="31">
        <v>42396.881840277776</v>
      </c>
      <c r="N136" s="30" t="s">
        <v>5</v>
      </c>
      <c r="O136" s="30"/>
      <c r="P136" s="30"/>
      <c r="Q136" s="30" t="s">
        <v>6</v>
      </c>
      <c r="R136" s="30" t="s">
        <v>7</v>
      </c>
      <c r="S136" s="30" t="s">
        <v>13</v>
      </c>
      <c r="T136" s="30" t="s">
        <v>19</v>
      </c>
      <c r="U136" s="21">
        <v>41901</v>
      </c>
      <c r="V136" s="30" t="s">
        <v>7</v>
      </c>
      <c r="W136" s="30" t="s">
        <v>10</v>
      </c>
      <c r="X136" s="30" t="s">
        <v>7</v>
      </c>
      <c r="Y136" s="30" t="s">
        <v>112</v>
      </c>
      <c r="Z136" s="30" t="s">
        <v>7</v>
      </c>
      <c r="AA136" s="30" t="s">
        <v>7</v>
      </c>
      <c r="AB136" s="30" t="s">
        <v>7</v>
      </c>
      <c r="AC136" s="30" t="s">
        <v>7</v>
      </c>
      <c r="AD136" s="30" t="s">
        <v>7</v>
      </c>
      <c r="AE136" s="30" t="s">
        <v>7</v>
      </c>
    </row>
    <row r="137" spans="1:31" x14ac:dyDescent="0.25">
      <c r="A137" s="24">
        <f t="shared" ca="1" si="0"/>
        <v>1284</v>
      </c>
      <c r="B137" s="24">
        <f t="shared" ca="1" si="1"/>
        <v>1317</v>
      </c>
      <c r="C137" s="30">
        <v>76130</v>
      </c>
      <c r="D137" s="30" t="s">
        <v>360</v>
      </c>
      <c r="E137" s="30" t="s">
        <v>457</v>
      </c>
      <c r="F137" s="30" t="s">
        <v>11</v>
      </c>
      <c r="G137" s="30" t="s">
        <v>299</v>
      </c>
      <c r="H137" s="30" t="s">
        <v>80</v>
      </c>
      <c r="I137" s="30"/>
      <c r="J137" s="31">
        <v>42429.452384259261</v>
      </c>
      <c r="K137" s="30" t="s">
        <v>20</v>
      </c>
      <c r="L137" s="30" t="s">
        <v>3</v>
      </c>
      <c r="M137" s="31">
        <v>42396.882094907407</v>
      </c>
      <c r="N137" s="30" t="s">
        <v>5</v>
      </c>
      <c r="O137" s="30"/>
      <c r="P137" s="30"/>
      <c r="Q137" s="30" t="s">
        <v>6</v>
      </c>
      <c r="R137" s="30" t="s">
        <v>7</v>
      </c>
      <c r="S137" s="30" t="s">
        <v>13</v>
      </c>
      <c r="T137" s="30" t="s">
        <v>35</v>
      </c>
      <c r="U137" s="30"/>
      <c r="V137" s="30" t="s">
        <v>7</v>
      </c>
      <c r="W137" s="30" t="s">
        <v>10</v>
      </c>
      <c r="X137" s="30" t="s">
        <v>7</v>
      </c>
      <c r="Y137" s="30" t="s">
        <v>112</v>
      </c>
      <c r="Z137" s="30" t="s">
        <v>7</v>
      </c>
      <c r="AA137" s="30" t="s">
        <v>7</v>
      </c>
      <c r="AB137" s="30" t="s">
        <v>7</v>
      </c>
      <c r="AC137" s="30" t="s">
        <v>7</v>
      </c>
      <c r="AD137" s="30" t="s">
        <v>7</v>
      </c>
      <c r="AE137" s="30" t="s">
        <v>7</v>
      </c>
    </row>
    <row r="138" spans="1:31" x14ac:dyDescent="0.25">
      <c r="A138" s="24">
        <f t="shared" ca="1" si="0"/>
        <v>1317</v>
      </c>
      <c r="B138" s="24">
        <f t="shared" ca="1" si="1"/>
        <v>1317</v>
      </c>
      <c r="C138" s="30">
        <v>76131</v>
      </c>
      <c r="D138" s="30" t="s">
        <v>276</v>
      </c>
      <c r="E138" s="30" t="s">
        <v>458</v>
      </c>
      <c r="F138" s="30" t="s">
        <v>11</v>
      </c>
      <c r="G138" s="30" t="s">
        <v>299</v>
      </c>
      <c r="H138" s="30" t="s">
        <v>80</v>
      </c>
      <c r="I138" s="30"/>
      <c r="J138" s="31">
        <v>42396.882314814815</v>
      </c>
      <c r="K138" s="30" t="s">
        <v>20</v>
      </c>
      <c r="L138" s="30" t="s">
        <v>3</v>
      </c>
      <c r="M138" s="31">
        <v>42396.882314814815</v>
      </c>
      <c r="N138" s="30" t="s">
        <v>114</v>
      </c>
      <c r="O138" s="30"/>
      <c r="P138" s="30"/>
      <c r="Q138" s="30" t="s">
        <v>6</v>
      </c>
      <c r="R138" s="30" t="s">
        <v>30</v>
      </c>
      <c r="S138" s="30" t="s">
        <v>8</v>
      </c>
      <c r="T138" s="30" t="s">
        <v>37</v>
      </c>
      <c r="U138" s="30"/>
      <c r="V138" s="30" t="s">
        <v>7</v>
      </c>
      <c r="W138" s="30" t="s">
        <v>10</v>
      </c>
      <c r="X138" s="30" t="s">
        <v>7</v>
      </c>
      <c r="Y138" s="30" t="s">
        <v>112</v>
      </c>
      <c r="Z138" s="30" t="s">
        <v>7</v>
      </c>
      <c r="AA138" s="30" t="s">
        <v>7</v>
      </c>
      <c r="AB138" s="30" t="s">
        <v>7</v>
      </c>
      <c r="AC138" s="30" t="s">
        <v>7</v>
      </c>
      <c r="AD138" s="30" t="s">
        <v>7</v>
      </c>
      <c r="AE138" s="30" t="s">
        <v>7</v>
      </c>
    </row>
    <row r="139" spans="1:31" x14ac:dyDescent="0.25">
      <c r="A139" s="24">
        <f t="shared" ca="1" si="0"/>
        <v>1281</v>
      </c>
      <c r="B139" s="24">
        <f t="shared" ca="1" si="1"/>
        <v>1317</v>
      </c>
      <c r="C139" s="30">
        <v>76132</v>
      </c>
      <c r="D139" s="30" t="s">
        <v>286</v>
      </c>
      <c r="E139" s="30" t="s">
        <v>459</v>
      </c>
      <c r="F139" s="30" t="s">
        <v>11</v>
      </c>
      <c r="G139" s="30" t="s">
        <v>299</v>
      </c>
      <c r="H139" s="30" t="s">
        <v>80</v>
      </c>
      <c r="I139" s="30"/>
      <c r="J139" s="31">
        <v>42432.626469907409</v>
      </c>
      <c r="K139" s="30" t="s">
        <v>20</v>
      </c>
      <c r="L139" s="30" t="s">
        <v>3</v>
      </c>
      <c r="M139" s="31">
        <v>42396.882592592592</v>
      </c>
      <c r="N139" s="30" t="s">
        <v>39</v>
      </c>
      <c r="O139" s="30"/>
      <c r="P139" s="30"/>
      <c r="Q139" s="30" t="s">
        <v>6</v>
      </c>
      <c r="R139" s="30" t="s">
        <v>30</v>
      </c>
      <c r="S139" s="30" t="s">
        <v>13</v>
      </c>
      <c r="T139" s="30" t="s">
        <v>19</v>
      </c>
      <c r="U139" s="30"/>
      <c r="V139" s="30" t="s">
        <v>7</v>
      </c>
      <c r="W139" s="30" t="s">
        <v>10</v>
      </c>
      <c r="X139" s="30" t="s">
        <v>7</v>
      </c>
      <c r="Y139" s="30" t="s">
        <v>112</v>
      </c>
      <c r="Z139" s="30" t="s">
        <v>7</v>
      </c>
      <c r="AA139" s="30" t="s">
        <v>7</v>
      </c>
      <c r="AB139" s="30" t="s">
        <v>7</v>
      </c>
      <c r="AC139" s="30" t="s">
        <v>7</v>
      </c>
      <c r="AD139" s="30" t="s">
        <v>7</v>
      </c>
      <c r="AE139" s="30" t="s">
        <v>7</v>
      </c>
    </row>
    <row r="140" spans="1:31" x14ac:dyDescent="0.25">
      <c r="A140" s="24">
        <f t="shared" ca="1" si="0"/>
        <v>1317</v>
      </c>
      <c r="B140" s="24">
        <f t="shared" ca="1" si="1"/>
        <v>1317</v>
      </c>
      <c r="C140" s="30">
        <v>76133</v>
      </c>
      <c r="D140" s="30" t="s">
        <v>286</v>
      </c>
      <c r="E140" s="30" t="s">
        <v>460</v>
      </c>
      <c r="F140" s="30" t="s">
        <v>11</v>
      </c>
      <c r="G140" s="30" t="s">
        <v>299</v>
      </c>
      <c r="H140" s="30" t="s">
        <v>80</v>
      </c>
      <c r="I140" s="30"/>
      <c r="J140" s="31">
        <v>42396.8828125</v>
      </c>
      <c r="K140" s="30" t="s">
        <v>20</v>
      </c>
      <c r="L140" s="30" t="s">
        <v>3</v>
      </c>
      <c r="M140" s="31">
        <v>42396.8828125</v>
      </c>
      <c r="N140" s="30" t="s">
        <v>39</v>
      </c>
      <c r="O140" s="30"/>
      <c r="P140" s="30"/>
      <c r="Q140" s="30" t="s">
        <v>6</v>
      </c>
      <c r="R140" s="30" t="s">
        <v>30</v>
      </c>
      <c r="S140" s="30" t="s">
        <v>13</v>
      </c>
      <c r="T140" s="30" t="s">
        <v>19</v>
      </c>
      <c r="U140" s="30"/>
      <c r="V140" s="30" t="s">
        <v>7</v>
      </c>
      <c r="W140" s="30" t="s">
        <v>10</v>
      </c>
      <c r="X140" s="30" t="s">
        <v>7</v>
      </c>
      <c r="Y140" s="30" t="s">
        <v>112</v>
      </c>
      <c r="Z140" s="30" t="s">
        <v>7</v>
      </c>
      <c r="AA140" s="30" t="s">
        <v>7</v>
      </c>
      <c r="AB140" s="30" t="s">
        <v>7</v>
      </c>
      <c r="AC140" s="30" t="s">
        <v>7</v>
      </c>
      <c r="AD140" s="30" t="s">
        <v>7</v>
      </c>
      <c r="AE140" s="30" t="s">
        <v>7</v>
      </c>
    </row>
    <row r="141" spans="1:31" x14ac:dyDescent="0.25">
      <c r="A141" s="24">
        <f t="shared" ca="1" si="0"/>
        <v>1317</v>
      </c>
      <c r="B141" s="24">
        <f t="shared" ca="1" si="1"/>
        <v>1317</v>
      </c>
      <c r="C141" s="30">
        <v>76134</v>
      </c>
      <c r="D141" s="30" t="s">
        <v>286</v>
      </c>
      <c r="E141" s="30" t="s">
        <v>461</v>
      </c>
      <c r="F141" s="30" t="s">
        <v>11</v>
      </c>
      <c r="G141" s="30" t="s">
        <v>299</v>
      </c>
      <c r="H141" s="30" t="s">
        <v>80</v>
      </c>
      <c r="I141" s="30"/>
      <c r="J141" s="31">
        <v>42396.883043981485</v>
      </c>
      <c r="K141" s="30" t="s">
        <v>20</v>
      </c>
      <c r="L141" s="30" t="s">
        <v>3</v>
      </c>
      <c r="M141" s="31">
        <v>42396.883043981485</v>
      </c>
      <c r="N141" s="30" t="s">
        <v>55</v>
      </c>
      <c r="O141" s="30"/>
      <c r="P141" s="30"/>
      <c r="Q141" s="30" t="s">
        <v>6</v>
      </c>
      <c r="R141" s="30" t="s">
        <v>30</v>
      </c>
      <c r="S141" s="30" t="s">
        <v>8</v>
      </c>
      <c r="T141" s="30" t="s">
        <v>37</v>
      </c>
      <c r="U141" s="30"/>
      <c r="V141" s="30" t="s">
        <v>7</v>
      </c>
      <c r="W141" s="30" t="s">
        <v>10</v>
      </c>
      <c r="X141" s="30" t="s">
        <v>7</v>
      </c>
      <c r="Y141" s="30" t="s">
        <v>112</v>
      </c>
      <c r="Z141" s="30" t="s">
        <v>7</v>
      </c>
      <c r="AA141" s="30" t="s">
        <v>7</v>
      </c>
      <c r="AB141" s="30" t="s">
        <v>7</v>
      </c>
      <c r="AC141" s="30" t="s">
        <v>7</v>
      </c>
      <c r="AD141" s="30" t="s">
        <v>7</v>
      </c>
      <c r="AE141" s="30" t="s">
        <v>7</v>
      </c>
    </row>
    <row r="142" spans="1:31" x14ac:dyDescent="0.25">
      <c r="A142" s="24">
        <f t="shared" ca="1" si="0"/>
        <v>1290</v>
      </c>
      <c r="B142" s="24">
        <f t="shared" ca="1" si="1"/>
        <v>1317</v>
      </c>
      <c r="C142" s="30">
        <v>76135</v>
      </c>
      <c r="D142" s="30" t="s">
        <v>286</v>
      </c>
      <c r="E142" s="30" t="s">
        <v>462</v>
      </c>
      <c r="F142" s="30" t="s">
        <v>11</v>
      </c>
      <c r="G142" s="30" t="s">
        <v>299</v>
      </c>
      <c r="H142" s="30" t="s">
        <v>80</v>
      </c>
      <c r="I142" s="30"/>
      <c r="J142" s="31">
        <v>42424.703275462962</v>
      </c>
      <c r="K142" s="30" t="s">
        <v>20</v>
      </c>
      <c r="L142" s="30" t="s">
        <v>3</v>
      </c>
      <c r="M142" s="31">
        <v>42396.883275462962</v>
      </c>
      <c r="N142" s="30" t="s">
        <v>113</v>
      </c>
      <c r="O142" s="30"/>
      <c r="P142" s="30"/>
      <c r="Q142" s="30" t="s">
        <v>6</v>
      </c>
      <c r="R142" s="30" t="s">
        <v>30</v>
      </c>
      <c r="S142" s="30" t="s">
        <v>13</v>
      </c>
      <c r="T142" s="30" t="s">
        <v>19</v>
      </c>
      <c r="U142" s="30"/>
      <c r="V142" s="30" t="s">
        <v>7</v>
      </c>
      <c r="W142" s="30" t="s">
        <v>10</v>
      </c>
      <c r="X142" s="30" t="s">
        <v>7</v>
      </c>
      <c r="Y142" s="30" t="s">
        <v>112</v>
      </c>
      <c r="Z142" s="30" t="s">
        <v>7</v>
      </c>
      <c r="AA142" s="30" t="s">
        <v>7</v>
      </c>
      <c r="AB142" s="30" t="s">
        <v>7</v>
      </c>
      <c r="AC142" s="30" t="s">
        <v>7</v>
      </c>
      <c r="AD142" s="30" t="s">
        <v>7</v>
      </c>
      <c r="AE142" s="30" t="s">
        <v>7</v>
      </c>
    </row>
    <row r="143" spans="1:31" x14ac:dyDescent="0.25">
      <c r="A143" s="24">
        <f t="shared" ref="A143:A197" ca="1" si="2">DAYS360(INDIRECT($A$211&amp;ROW()),TODAY())</f>
        <v>1290</v>
      </c>
      <c r="B143" s="24">
        <f t="shared" ref="B143:B197" ca="1" si="3">DAYS360(INDIRECT($A$210&amp;ROW()),TODAY())</f>
        <v>1317</v>
      </c>
      <c r="C143" s="30">
        <v>76136</v>
      </c>
      <c r="D143" s="30" t="s">
        <v>286</v>
      </c>
      <c r="E143" s="30" t="s">
        <v>463</v>
      </c>
      <c r="F143" s="30" t="s">
        <v>11</v>
      </c>
      <c r="G143" s="30" t="s">
        <v>299</v>
      </c>
      <c r="H143" s="30" t="s">
        <v>80</v>
      </c>
      <c r="I143" s="30"/>
      <c r="J143" s="31">
        <v>42424.702615740738</v>
      </c>
      <c r="K143" s="30" t="s">
        <v>20</v>
      </c>
      <c r="L143" s="30" t="s">
        <v>3</v>
      </c>
      <c r="M143" s="31">
        <v>42396.883460648147</v>
      </c>
      <c r="N143" s="30" t="s">
        <v>113</v>
      </c>
      <c r="O143" s="30"/>
      <c r="P143" s="30"/>
      <c r="Q143" s="30" t="s">
        <v>6</v>
      </c>
      <c r="R143" s="30" t="s">
        <v>30</v>
      </c>
      <c r="S143" s="30" t="s">
        <v>13</v>
      </c>
      <c r="T143" s="30" t="s">
        <v>19</v>
      </c>
      <c r="U143" s="30"/>
      <c r="V143" s="30" t="s">
        <v>7</v>
      </c>
      <c r="W143" s="30" t="s">
        <v>10</v>
      </c>
      <c r="X143" s="30" t="s">
        <v>7</v>
      </c>
      <c r="Y143" s="30" t="s">
        <v>112</v>
      </c>
      <c r="Z143" s="30" t="s">
        <v>7</v>
      </c>
      <c r="AA143" s="30" t="s">
        <v>7</v>
      </c>
      <c r="AB143" s="30" t="s">
        <v>7</v>
      </c>
      <c r="AC143" s="30" t="s">
        <v>7</v>
      </c>
      <c r="AD143" s="30" t="s">
        <v>7</v>
      </c>
      <c r="AE143" s="30" t="s">
        <v>7</v>
      </c>
    </row>
    <row r="144" spans="1:31" x14ac:dyDescent="0.25">
      <c r="A144" s="24">
        <f t="shared" ca="1" si="2"/>
        <v>1312</v>
      </c>
      <c r="B144" s="24">
        <f t="shared" ca="1" si="3"/>
        <v>1317</v>
      </c>
      <c r="C144" s="30">
        <v>76137</v>
      </c>
      <c r="D144" s="30" t="s">
        <v>286</v>
      </c>
      <c r="E144" s="30" t="s">
        <v>464</v>
      </c>
      <c r="F144" s="30" t="s">
        <v>11</v>
      </c>
      <c r="G144" s="30" t="s">
        <v>299</v>
      </c>
      <c r="H144" s="30" t="s">
        <v>80</v>
      </c>
      <c r="I144" s="30"/>
      <c r="J144" s="31">
        <v>42402.603680555556</v>
      </c>
      <c r="K144" s="30" t="s">
        <v>20</v>
      </c>
      <c r="L144" s="30" t="s">
        <v>3</v>
      </c>
      <c r="M144" s="31">
        <v>42396.883657407408</v>
      </c>
      <c r="N144" s="30" t="s">
        <v>113</v>
      </c>
      <c r="O144" s="30"/>
      <c r="P144" s="30"/>
      <c r="Q144" s="30" t="s">
        <v>6</v>
      </c>
      <c r="R144" s="30" t="s">
        <v>30</v>
      </c>
      <c r="S144" s="30" t="s">
        <v>13</v>
      </c>
      <c r="T144" s="30" t="s">
        <v>19</v>
      </c>
      <c r="U144" s="30"/>
      <c r="V144" s="30" t="s">
        <v>7</v>
      </c>
      <c r="W144" s="30" t="s">
        <v>10</v>
      </c>
      <c r="X144" s="30" t="s">
        <v>7</v>
      </c>
      <c r="Y144" s="30" t="s">
        <v>112</v>
      </c>
      <c r="Z144" s="30" t="s">
        <v>7</v>
      </c>
      <c r="AA144" s="30" t="s">
        <v>7</v>
      </c>
      <c r="AB144" s="30" t="s">
        <v>7</v>
      </c>
      <c r="AC144" s="30" t="s">
        <v>7</v>
      </c>
      <c r="AD144" s="30" t="s">
        <v>7</v>
      </c>
      <c r="AE144" s="30" t="s">
        <v>7</v>
      </c>
    </row>
    <row r="145" spans="1:31" x14ac:dyDescent="0.25">
      <c r="A145" s="24">
        <f t="shared" ca="1" si="2"/>
        <v>1281</v>
      </c>
      <c r="B145" s="24">
        <f t="shared" ca="1" si="3"/>
        <v>1317</v>
      </c>
      <c r="C145" s="30">
        <v>76138</v>
      </c>
      <c r="D145" s="30" t="s">
        <v>286</v>
      </c>
      <c r="E145" s="30" t="s">
        <v>465</v>
      </c>
      <c r="F145" s="30" t="s">
        <v>11</v>
      </c>
      <c r="G145" s="30" t="s">
        <v>299</v>
      </c>
      <c r="H145" s="30" t="s">
        <v>80</v>
      </c>
      <c r="I145" s="30"/>
      <c r="J145" s="31">
        <v>42432.631550925929</v>
      </c>
      <c r="K145" s="30" t="s">
        <v>20</v>
      </c>
      <c r="L145" s="30" t="s">
        <v>3</v>
      </c>
      <c r="M145" s="31">
        <v>42396.883831018517</v>
      </c>
      <c r="N145" s="30" t="s">
        <v>39</v>
      </c>
      <c r="O145" s="30"/>
      <c r="P145" s="30"/>
      <c r="Q145" s="30" t="s">
        <v>6</v>
      </c>
      <c r="R145" s="30" t="s">
        <v>30</v>
      </c>
      <c r="S145" s="30" t="s">
        <v>13</v>
      </c>
      <c r="T145" s="30" t="s">
        <v>19</v>
      </c>
      <c r="U145" s="30"/>
      <c r="V145" s="30" t="s">
        <v>7</v>
      </c>
      <c r="W145" s="30" t="s">
        <v>10</v>
      </c>
      <c r="X145" s="30" t="s">
        <v>7</v>
      </c>
      <c r="Y145" s="30" t="s">
        <v>112</v>
      </c>
      <c r="Z145" s="30" t="s">
        <v>7</v>
      </c>
      <c r="AA145" s="30" t="s">
        <v>7</v>
      </c>
      <c r="AB145" s="30" t="s">
        <v>7</v>
      </c>
      <c r="AC145" s="30" t="s">
        <v>7</v>
      </c>
      <c r="AD145" s="30" t="s">
        <v>7</v>
      </c>
      <c r="AE145" s="30" t="s">
        <v>7</v>
      </c>
    </row>
    <row r="146" spans="1:31" x14ac:dyDescent="0.25">
      <c r="A146" s="24">
        <f t="shared" ca="1" si="2"/>
        <v>1281</v>
      </c>
      <c r="B146" s="24">
        <f t="shared" ca="1" si="3"/>
        <v>1317</v>
      </c>
      <c r="C146" s="30">
        <v>76139</v>
      </c>
      <c r="D146" s="30" t="s">
        <v>286</v>
      </c>
      <c r="E146" s="30" t="s">
        <v>466</v>
      </c>
      <c r="F146" s="30" t="s">
        <v>11</v>
      </c>
      <c r="G146" s="30" t="s">
        <v>299</v>
      </c>
      <c r="H146" s="30" t="s">
        <v>80</v>
      </c>
      <c r="I146" s="30"/>
      <c r="J146" s="31">
        <v>42432.631249999999</v>
      </c>
      <c r="K146" s="30" t="s">
        <v>20</v>
      </c>
      <c r="L146" s="30" t="s">
        <v>3</v>
      </c>
      <c r="M146" s="31">
        <v>42396.883993055555</v>
      </c>
      <c r="N146" s="30" t="s">
        <v>39</v>
      </c>
      <c r="O146" s="30"/>
      <c r="P146" s="30"/>
      <c r="Q146" s="30" t="s">
        <v>6</v>
      </c>
      <c r="R146" s="30" t="s">
        <v>30</v>
      </c>
      <c r="S146" s="30" t="s">
        <v>13</v>
      </c>
      <c r="T146" s="30" t="s">
        <v>19</v>
      </c>
      <c r="U146" s="30"/>
      <c r="V146" s="30" t="s">
        <v>7</v>
      </c>
      <c r="W146" s="30" t="s">
        <v>10</v>
      </c>
      <c r="X146" s="30" t="s">
        <v>7</v>
      </c>
      <c r="Y146" s="30" t="s">
        <v>112</v>
      </c>
      <c r="Z146" s="30" t="s">
        <v>7</v>
      </c>
      <c r="AA146" s="30" t="s">
        <v>7</v>
      </c>
      <c r="AB146" s="30" t="s">
        <v>7</v>
      </c>
      <c r="AC146" s="30" t="s">
        <v>7</v>
      </c>
      <c r="AD146" s="30" t="s">
        <v>7</v>
      </c>
      <c r="AE146" s="30" t="s">
        <v>7</v>
      </c>
    </row>
    <row r="147" spans="1:31" x14ac:dyDescent="0.25">
      <c r="A147" s="24">
        <f t="shared" ca="1" si="2"/>
        <v>1317</v>
      </c>
      <c r="B147" s="24">
        <f t="shared" ca="1" si="3"/>
        <v>1317</v>
      </c>
      <c r="C147" s="30">
        <v>76140</v>
      </c>
      <c r="D147" s="30" t="s">
        <v>286</v>
      </c>
      <c r="E147" s="30" t="s">
        <v>467</v>
      </c>
      <c r="F147" s="30" t="s">
        <v>11</v>
      </c>
      <c r="G147" s="30" t="s">
        <v>299</v>
      </c>
      <c r="H147" s="30" t="s">
        <v>80</v>
      </c>
      <c r="I147" s="30"/>
      <c r="J147" s="31">
        <v>42396.884120370371</v>
      </c>
      <c r="K147" s="30" t="s">
        <v>20</v>
      </c>
      <c r="L147" s="30" t="s">
        <v>3</v>
      </c>
      <c r="M147" s="31">
        <v>42396.884120370371</v>
      </c>
      <c r="N147" s="30" t="s">
        <v>114</v>
      </c>
      <c r="O147" s="30"/>
      <c r="P147" s="30"/>
      <c r="Q147" s="30" t="s">
        <v>6</v>
      </c>
      <c r="R147" s="30" t="s">
        <v>30</v>
      </c>
      <c r="S147" s="30" t="s">
        <v>13</v>
      </c>
      <c r="T147" s="30" t="s">
        <v>19</v>
      </c>
      <c r="U147" s="30"/>
      <c r="V147" s="30" t="s">
        <v>7</v>
      </c>
      <c r="W147" s="30" t="s">
        <v>10</v>
      </c>
      <c r="X147" s="30" t="s">
        <v>7</v>
      </c>
      <c r="Y147" s="30" t="s">
        <v>112</v>
      </c>
      <c r="Z147" s="30" t="s">
        <v>7</v>
      </c>
      <c r="AA147" s="30" t="s">
        <v>7</v>
      </c>
      <c r="AB147" s="30" t="s">
        <v>7</v>
      </c>
      <c r="AC147" s="30" t="s">
        <v>7</v>
      </c>
      <c r="AD147" s="30" t="s">
        <v>7</v>
      </c>
      <c r="AE147" s="30" t="s">
        <v>7</v>
      </c>
    </row>
    <row r="148" spans="1:31" x14ac:dyDescent="0.25">
      <c r="A148" s="24">
        <f t="shared" ca="1" si="2"/>
        <v>1298</v>
      </c>
      <c r="B148" s="24">
        <f t="shared" ca="1" si="3"/>
        <v>1317</v>
      </c>
      <c r="C148" s="30">
        <v>76141</v>
      </c>
      <c r="D148" s="30" t="s">
        <v>276</v>
      </c>
      <c r="E148" s="30" t="s">
        <v>468</v>
      </c>
      <c r="F148" s="30" t="s">
        <v>11</v>
      </c>
      <c r="G148" s="30" t="s">
        <v>299</v>
      </c>
      <c r="H148" s="30" t="s">
        <v>80</v>
      </c>
      <c r="I148" s="30"/>
      <c r="J148" s="31">
        <v>42416.596724537034</v>
      </c>
      <c r="K148" s="30" t="s">
        <v>20</v>
      </c>
      <c r="L148" s="30" t="s">
        <v>3</v>
      </c>
      <c r="M148" s="31">
        <v>42396.884259259263</v>
      </c>
      <c r="N148" s="30" t="s">
        <v>29</v>
      </c>
      <c r="O148" s="30"/>
      <c r="P148" s="30"/>
      <c r="Q148" s="30" t="s">
        <v>6</v>
      </c>
      <c r="R148" s="30" t="s">
        <v>30</v>
      </c>
      <c r="S148" s="30" t="s">
        <v>8</v>
      </c>
      <c r="T148" s="30" t="s">
        <v>140</v>
      </c>
      <c r="U148" s="30"/>
      <c r="V148" s="30" t="s">
        <v>7</v>
      </c>
      <c r="W148" s="30" t="s">
        <v>10</v>
      </c>
      <c r="X148" s="30" t="s">
        <v>7</v>
      </c>
      <c r="Y148" s="30" t="s">
        <v>112</v>
      </c>
      <c r="Z148" s="30" t="s">
        <v>7</v>
      </c>
      <c r="AA148" s="30" t="s">
        <v>7</v>
      </c>
      <c r="AB148" s="30" t="s">
        <v>7</v>
      </c>
      <c r="AC148" s="30" t="s">
        <v>7</v>
      </c>
      <c r="AD148" s="30" t="s">
        <v>7</v>
      </c>
      <c r="AE148" s="30" t="s">
        <v>7</v>
      </c>
    </row>
    <row r="149" spans="1:31" x14ac:dyDescent="0.25">
      <c r="A149" s="24">
        <f t="shared" ca="1" si="2"/>
        <v>1281</v>
      </c>
      <c r="B149" s="24">
        <f t="shared" ca="1" si="3"/>
        <v>1317</v>
      </c>
      <c r="C149" s="30">
        <v>76143</v>
      </c>
      <c r="D149" s="30" t="s">
        <v>286</v>
      </c>
      <c r="E149" s="30" t="s">
        <v>469</v>
      </c>
      <c r="F149" s="30" t="s">
        <v>11</v>
      </c>
      <c r="G149" s="30" t="s">
        <v>299</v>
      </c>
      <c r="H149" s="30" t="s">
        <v>80</v>
      </c>
      <c r="I149" s="30"/>
      <c r="J149" s="31">
        <v>42432.630868055552</v>
      </c>
      <c r="K149" s="30" t="s">
        <v>20</v>
      </c>
      <c r="L149" s="30" t="s">
        <v>3</v>
      </c>
      <c r="M149" s="31">
        <v>42396.884513888886</v>
      </c>
      <c r="N149" s="30" t="s">
        <v>39</v>
      </c>
      <c r="O149" s="30"/>
      <c r="P149" s="30"/>
      <c r="Q149" s="30" t="s">
        <v>6</v>
      </c>
      <c r="R149" s="30" t="s">
        <v>30</v>
      </c>
      <c r="S149" s="30" t="s">
        <v>13</v>
      </c>
      <c r="T149" s="30" t="s">
        <v>19</v>
      </c>
      <c r="U149" s="30"/>
      <c r="V149" s="30" t="s">
        <v>7</v>
      </c>
      <c r="W149" s="30" t="s">
        <v>10</v>
      </c>
      <c r="X149" s="30" t="s">
        <v>7</v>
      </c>
      <c r="Y149" s="30" t="s">
        <v>112</v>
      </c>
      <c r="Z149" s="30" t="s">
        <v>7</v>
      </c>
      <c r="AA149" s="30" t="s">
        <v>7</v>
      </c>
      <c r="AB149" s="30" t="s">
        <v>7</v>
      </c>
      <c r="AC149" s="30" t="s">
        <v>7</v>
      </c>
      <c r="AD149" s="30" t="s">
        <v>7</v>
      </c>
      <c r="AE149" s="30" t="s">
        <v>7</v>
      </c>
    </row>
    <row r="150" spans="1:31" x14ac:dyDescent="0.25">
      <c r="A150" s="24">
        <f t="shared" ca="1" si="2"/>
        <v>1281</v>
      </c>
      <c r="B150" s="24">
        <f t="shared" ca="1" si="3"/>
        <v>1317</v>
      </c>
      <c r="C150" s="30">
        <v>76144</v>
      </c>
      <c r="D150" s="30" t="s">
        <v>286</v>
      </c>
      <c r="E150" s="30" t="s">
        <v>470</v>
      </c>
      <c r="F150" s="30" t="s">
        <v>11</v>
      </c>
      <c r="G150" s="30" t="s">
        <v>299</v>
      </c>
      <c r="H150" s="30" t="s">
        <v>80</v>
      </c>
      <c r="I150" s="30"/>
      <c r="J150" s="31">
        <v>42432.630486111113</v>
      </c>
      <c r="K150" s="30" t="s">
        <v>20</v>
      </c>
      <c r="L150" s="30" t="s">
        <v>3</v>
      </c>
      <c r="M150" s="31">
        <v>42396.884710648148</v>
      </c>
      <c r="N150" s="30" t="s">
        <v>39</v>
      </c>
      <c r="O150" s="30"/>
      <c r="P150" s="30"/>
      <c r="Q150" s="30" t="s">
        <v>6</v>
      </c>
      <c r="R150" s="30" t="s">
        <v>30</v>
      </c>
      <c r="S150" s="30" t="s">
        <v>13</v>
      </c>
      <c r="T150" s="30" t="s">
        <v>19</v>
      </c>
      <c r="U150" s="30"/>
      <c r="V150" s="30" t="s">
        <v>7</v>
      </c>
      <c r="W150" s="30" t="s">
        <v>10</v>
      </c>
      <c r="X150" s="30" t="s">
        <v>7</v>
      </c>
      <c r="Y150" s="30" t="s">
        <v>112</v>
      </c>
      <c r="Z150" s="30" t="s">
        <v>7</v>
      </c>
      <c r="AA150" s="30" t="s">
        <v>7</v>
      </c>
      <c r="AB150" s="30" t="s">
        <v>7</v>
      </c>
      <c r="AC150" s="30" t="s">
        <v>7</v>
      </c>
      <c r="AD150" s="30" t="s">
        <v>7</v>
      </c>
      <c r="AE150" s="30" t="s">
        <v>7</v>
      </c>
    </row>
    <row r="151" spans="1:31" x14ac:dyDescent="0.25">
      <c r="A151" s="24">
        <f t="shared" ca="1" si="2"/>
        <v>1281</v>
      </c>
      <c r="B151" s="24">
        <f t="shared" ca="1" si="3"/>
        <v>1317</v>
      </c>
      <c r="C151" s="30">
        <v>76145</v>
      </c>
      <c r="D151" s="30" t="s">
        <v>286</v>
      </c>
      <c r="E151" s="30" t="s">
        <v>471</v>
      </c>
      <c r="F151" s="30" t="s">
        <v>11</v>
      </c>
      <c r="G151" s="30" t="s">
        <v>299</v>
      </c>
      <c r="H151" s="30" t="s">
        <v>80</v>
      </c>
      <c r="I151" s="30"/>
      <c r="J151" s="31">
        <v>42432.630185185182</v>
      </c>
      <c r="K151" s="30" t="s">
        <v>20</v>
      </c>
      <c r="L151" s="30" t="s">
        <v>3</v>
      </c>
      <c r="M151" s="31">
        <v>42396.884884259256</v>
      </c>
      <c r="N151" s="30" t="s">
        <v>39</v>
      </c>
      <c r="O151" s="30"/>
      <c r="P151" s="30"/>
      <c r="Q151" s="30" t="s">
        <v>6</v>
      </c>
      <c r="R151" s="30" t="s">
        <v>30</v>
      </c>
      <c r="S151" s="30" t="s">
        <v>13</v>
      </c>
      <c r="T151" s="30" t="s">
        <v>19</v>
      </c>
      <c r="U151" s="30"/>
      <c r="V151" s="30" t="s">
        <v>7</v>
      </c>
      <c r="W151" s="30" t="s">
        <v>10</v>
      </c>
      <c r="X151" s="30" t="s">
        <v>7</v>
      </c>
      <c r="Y151" s="30" t="s">
        <v>112</v>
      </c>
      <c r="Z151" s="30" t="s">
        <v>7</v>
      </c>
      <c r="AA151" s="30" t="s">
        <v>7</v>
      </c>
      <c r="AB151" s="30" t="s">
        <v>7</v>
      </c>
      <c r="AC151" s="30" t="s">
        <v>7</v>
      </c>
      <c r="AD151" s="30" t="s">
        <v>7</v>
      </c>
      <c r="AE151" s="30" t="s">
        <v>7</v>
      </c>
    </row>
    <row r="152" spans="1:31" x14ac:dyDescent="0.25">
      <c r="A152" s="24">
        <f t="shared" ca="1" si="2"/>
        <v>1275</v>
      </c>
      <c r="B152" s="24">
        <f t="shared" ca="1" si="3"/>
        <v>1317</v>
      </c>
      <c r="C152" s="30">
        <v>76146</v>
      </c>
      <c r="D152" s="30" t="s">
        <v>274</v>
      </c>
      <c r="E152" s="30" t="s">
        <v>472</v>
      </c>
      <c r="F152" s="30" t="s">
        <v>11</v>
      </c>
      <c r="G152" s="30" t="s">
        <v>299</v>
      </c>
      <c r="H152" s="30" t="s">
        <v>80</v>
      </c>
      <c r="I152" s="30"/>
      <c r="J152" s="31">
        <v>42438.590520833335</v>
      </c>
      <c r="K152" s="30" t="s">
        <v>20</v>
      </c>
      <c r="L152" s="30" t="s">
        <v>3</v>
      </c>
      <c r="M152" s="31">
        <v>42396.885023148148</v>
      </c>
      <c r="N152" s="30" t="s">
        <v>39</v>
      </c>
      <c r="O152" s="30"/>
      <c r="P152" s="30"/>
      <c r="Q152" s="30" t="s">
        <v>6</v>
      </c>
      <c r="R152" s="30" t="s">
        <v>30</v>
      </c>
      <c r="S152" s="30" t="s">
        <v>13</v>
      </c>
      <c r="T152" s="30" t="s">
        <v>19</v>
      </c>
      <c r="U152" s="30"/>
      <c r="V152" s="30" t="s">
        <v>7</v>
      </c>
      <c r="W152" s="30" t="s">
        <v>10</v>
      </c>
      <c r="X152" s="30" t="s">
        <v>7</v>
      </c>
      <c r="Y152" s="30" t="s">
        <v>112</v>
      </c>
      <c r="Z152" s="30" t="s">
        <v>7</v>
      </c>
      <c r="AA152" s="30" t="s">
        <v>7</v>
      </c>
      <c r="AB152" s="30" t="s">
        <v>7</v>
      </c>
      <c r="AC152" s="30" t="s">
        <v>7</v>
      </c>
      <c r="AD152" s="30" t="s">
        <v>7</v>
      </c>
      <c r="AE152" s="30" t="s">
        <v>7</v>
      </c>
    </row>
    <row r="153" spans="1:31" x14ac:dyDescent="0.25">
      <c r="A153" s="24">
        <f t="shared" ca="1" si="2"/>
        <v>1317</v>
      </c>
      <c r="B153" s="24">
        <f t="shared" ca="1" si="3"/>
        <v>1317</v>
      </c>
      <c r="C153" s="30">
        <v>76147</v>
      </c>
      <c r="D153" s="30" t="s">
        <v>274</v>
      </c>
      <c r="E153" s="30" t="s">
        <v>473</v>
      </c>
      <c r="F153" s="30" t="s">
        <v>11</v>
      </c>
      <c r="G153" s="30" t="s">
        <v>299</v>
      </c>
      <c r="H153" s="30" t="s">
        <v>80</v>
      </c>
      <c r="I153" s="30"/>
      <c r="J153" s="31">
        <v>42396.88517361111</v>
      </c>
      <c r="K153" s="30" t="s">
        <v>20</v>
      </c>
      <c r="L153" s="30" t="s">
        <v>3</v>
      </c>
      <c r="M153" s="31">
        <v>42396.88517361111</v>
      </c>
      <c r="N153" s="30" t="s">
        <v>114</v>
      </c>
      <c r="O153" s="30"/>
      <c r="P153" s="30"/>
      <c r="Q153" s="30" t="s">
        <v>6</v>
      </c>
      <c r="R153" s="30" t="s">
        <v>30</v>
      </c>
      <c r="S153" s="30" t="s">
        <v>13</v>
      </c>
      <c r="T153" s="30" t="s">
        <v>19</v>
      </c>
      <c r="U153" s="30"/>
      <c r="V153" s="30" t="s">
        <v>7</v>
      </c>
      <c r="W153" s="30" t="s">
        <v>10</v>
      </c>
      <c r="X153" s="30" t="s">
        <v>7</v>
      </c>
      <c r="Y153" s="30" t="s">
        <v>112</v>
      </c>
      <c r="Z153" s="30" t="s">
        <v>7</v>
      </c>
      <c r="AA153" s="30" t="s">
        <v>7</v>
      </c>
      <c r="AB153" s="30" t="s">
        <v>7</v>
      </c>
      <c r="AC153" s="30" t="s">
        <v>7</v>
      </c>
      <c r="AD153" s="30" t="s">
        <v>7</v>
      </c>
      <c r="AE153" s="30" t="s">
        <v>7</v>
      </c>
    </row>
    <row r="154" spans="1:31" x14ac:dyDescent="0.25">
      <c r="A154" s="24">
        <f t="shared" ca="1" si="2"/>
        <v>1284</v>
      </c>
      <c r="B154" s="24">
        <f t="shared" ca="1" si="3"/>
        <v>1317</v>
      </c>
      <c r="C154" s="30">
        <v>76148</v>
      </c>
      <c r="D154" s="30" t="s">
        <v>286</v>
      </c>
      <c r="E154" s="30" t="s">
        <v>474</v>
      </c>
      <c r="F154" s="30" t="s">
        <v>11</v>
      </c>
      <c r="G154" s="30" t="s">
        <v>299</v>
      </c>
      <c r="H154" s="30" t="s">
        <v>80</v>
      </c>
      <c r="I154" s="30"/>
      <c r="J154" s="31">
        <v>42429.422835648147</v>
      </c>
      <c r="K154" s="30" t="s">
        <v>20</v>
      </c>
      <c r="L154" s="30" t="s">
        <v>3</v>
      </c>
      <c r="M154" s="31">
        <v>42396.885324074072</v>
      </c>
      <c r="N154" s="30" t="s">
        <v>5</v>
      </c>
      <c r="O154" s="30"/>
      <c r="P154" s="30"/>
      <c r="Q154" s="30" t="s">
        <v>6</v>
      </c>
      <c r="R154" s="30" t="s">
        <v>30</v>
      </c>
      <c r="S154" s="30" t="s">
        <v>13</v>
      </c>
      <c r="T154" s="30" t="s">
        <v>19</v>
      </c>
      <c r="U154" s="30"/>
      <c r="V154" s="30" t="s">
        <v>7</v>
      </c>
      <c r="W154" s="30" t="s">
        <v>10</v>
      </c>
      <c r="X154" s="30" t="s">
        <v>43</v>
      </c>
      <c r="Y154" s="30" t="s">
        <v>112</v>
      </c>
      <c r="Z154" s="30" t="s">
        <v>7</v>
      </c>
      <c r="AA154" s="30" t="s">
        <v>7</v>
      </c>
      <c r="AB154" s="30" t="s">
        <v>7</v>
      </c>
      <c r="AC154" s="30" t="s">
        <v>7</v>
      </c>
      <c r="AD154" s="30" t="s">
        <v>7</v>
      </c>
      <c r="AE154" s="30" t="s">
        <v>7</v>
      </c>
    </row>
    <row r="155" spans="1:31" x14ac:dyDescent="0.25">
      <c r="A155" s="24">
        <f t="shared" ca="1" si="2"/>
        <v>1275</v>
      </c>
      <c r="B155" s="24">
        <f t="shared" ca="1" si="3"/>
        <v>1317</v>
      </c>
      <c r="C155" s="30">
        <v>76149</v>
      </c>
      <c r="D155" s="30" t="s">
        <v>275</v>
      </c>
      <c r="E155" s="30" t="s">
        <v>475</v>
      </c>
      <c r="F155" s="30" t="s">
        <v>11</v>
      </c>
      <c r="G155" s="30" t="s">
        <v>299</v>
      </c>
      <c r="H155" s="30" t="s">
        <v>80</v>
      </c>
      <c r="I155" s="30"/>
      <c r="J155" s="31">
        <v>42438.59306712963</v>
      </c>
      <c r="K155" s="30" t="s">
        <v>20</v>
      </c>
      <c r="L155" s="30" t="s">
        <v>3</v>
      </c>
      <c r="M155" s="31">
        <v>42396.885474537034</v>
      </c>
      <c r="N155" s="30" t="s">
        <v>39</v>
      </c>
      <c r="O155" s="30"/>
      <c r="P155" s="30"/>
      <c r="Q155" s="30" t="s">
        <v>6</v>
      </c>
      <c r="R155" s="30" t="s">
        <v>30</v>
      </c>
      <c r="S155" s="30" t="s">
        <v>13</v>
      </c>
      <c r="T155" s="30" t="s">
        <v>19</v>
      </c>
      <c r="U155" s="30"/>
      <c r="V155" s="30" t="s">
        <v>7</v>
      </c>
      <c r="W155" s="30" t="s">
        <v>10</v>
      </c>
      <c r="X155" s="30" t="s">
        <v>7</v>
      </c>
      <c r="Y155" s="30" t="s">
        <v>112</v>
      </c>
      <c r="Z155" s="30" t="s">
        <v>7</v>
      </c>
      <c r="AA155" s="30" t="s">
        <v>7</v>
      </c>
      <c r="AB155" s="30" t="s">
        <v>7</v>
      </c>
      <c r="AC155" s="30" t="s">
        <v>7</v>
      </c>
      <c r="AD155" s="30" t="s">
        <v>7</v>
      </c>
      <c r="AE155" s="30" t="s">
        <v>7</v>
      </c>
    </row>
    <row r="156" spans="1:31" x14ac:dyDescent="0.25">
      <c r="A156" s="24">
        <f t="shared" ca="1" si="2"/>
        <v>1298</v>
      </c>
      <c r="B156" s="24">
        <f t="shared" ca="1" si="3"/>
        <v>1317</v>
      </c>
      <c r="C156" s="30">
        <v>76150</v>
      </c>
      <c r="D156" s="30" t="s">
        <v>303</v>
      </c>
      <c r="E156" s="30" t="s">
        <v>476</v>
      </c>
      <c r="F156" s="30" t="s">
        <v>11</v>
      </c>
      <c r="G156" s="30" t="s">
        <v>299</v>
      </c>
      <c r="H156" s="30" t="s">
        <v>80</v>
      </c>
      <c r="I156" s="30"/>
      <c r="J156" s="31">
        <v>42416.601168981484</v>
      </c>
      <c r="K156" s="30" t="s">
        <v>20</v>
      </c>
      <c r="L156" s="30" t="s">
        <v>3</v>
      </c>
      <c r="M156" s="31">
        <v>42396.885625000003</v>
      </c>
      <c r="N156" s="30" t="s">
        <v>29</v>
      </c>
      <c r="O156" s="30"/>
      <c r="P156" s="30"/>
      <c r="Q156" s="30" t="s">
        <v>6</v>
      </c>
      <c r="R156" s="30" t="s">
        <v>30</v>
      </c>
      <c r="S156" s="30" t="s">
        <v>8</v>
      </c>
      <c r="T156" s="30" t="s">
        <v>37</v>
      </c>
      <c r="U156" s="30"/>
      <c r="V156" s="30" t="s">
        <v>7</v>
      </c>
      <c r="W156" s="30" t="s">
        <v>10</v>
      </c>
      <c r="X156" s="30" t="s">
        <v>7</v>
      </c>
      <c r="Y156" s="30" t="s">
        <v>112</v>
      </c>
      <c r="Z156" s="30" t="s">
        <v>7</v>
      </c>
      <c r="AA156" s="30" t="s">
        <v>7</v>
      </c>
      <c r="AB156" s="30" t="s">
        <v>7</v>
      </c>
      <c r="AC156" s="30" t="s">
        <v>7</v>
      </c>
      <c r="AD156" s="30" t="s">
        <v>7</v>
      </c>
      <c r="AE156" s="30" t="s">
        <v>7</v>
      </c>
    </row>
    <row r="157" spans="1:31" x14ac:dyDescent="0.25">
      <c r="A157" s="24">
        <f t="shared" ca="1" si="2"/>
        <v>1312</v>
      </c>
      <c r="B157" s="24">
        <f t="shared" ca="1" si="3"/>
        <v>1317</v>
      </c>
      <c r="C157" s="30">
        <v>76151</v>
      </c>
      <c r="D157" s="30" t="s">
        <v>279</v>
      </c>
      <c r="E157" s="30" t="s">
        <v>477</v>
      </c>
      <c r="F157" s="30" t="s">
        <v>11</v>
      </c>
      <c r="G157" s="30" t="s">
        <v>299</v>
      </c>
      <c r="H157" s="30" t="s">
        <v>80</v>
      </c>
      <c r="I157" s="30"/>
      <c r="J157" s="31">
        <v>42402.592106481483</v>
      </c>
      <c r="K157" s="30" t="s">
        <v>20</v>
      </c>
      <c r="L157" s="30" t="s">
        <v>3</v>
      </c>
      <c r="M157" s="31">
        <v>42396.885775462964</v>
      </c>
      <c r="N157" s="30" t="s">
        <v>115</v>
      </c>
      <c r="O157" s="30"/>
      <c r="P157" s="30"/>
      <c r="Q157" s="30" t="s">
        <v>6</v>
      </c>
      <c r="R157" s="30" t="s">
        <v>30</v>
      </c>
      <c r="S157" s="30" t="s">
        <v>24</v>
      </c>
      <c r="T157" s="30" t="s">
        <v>46</v>
      </c>
      <c r="U157" s="30"/>
      <c r="V157" s="30" t="s">
        <v>7</v>
      </c>
      <c r="W157" s="30" t="s">
        <v>10</v>
      </c>
      <c r="X157" s="30" t="s">
        <v>7</v>
      </c>
      <c r="Y157" s="30" t="s">
        <v>112</v>
      </c>
      <c r="Z157" s="30" t="s">
        <v>7</v>
      </c>
      <c r="AA157" s="30" t="s">
        <v>7</v>
      </c>
      <c r="AB157" s="30" t="s">
        <v>7</v>
      </c>
      <c r="AC157" s="30" t="s">
        <v>7</v>
      </c>
      <c r="AD157" s="30" t="s">
        <v>7</v>
      </c>
      <c r="AE157" s="30" t="s">
        <v>7</v>
      </c>
    </row>
    <row r="158" spans="1:31" x14ac:dyDescent="0.25">
      <c r="A158" s="24">
        <f t="shared" ca="1" si="2"/>
        <v>1317</v>
      </c>
      <c r="B158" s="24">
        <f t="shared" ca="1" si="3"/>
        <v>1317</v>
      </c>
      <c r="C158" s="30">
        <v>76152</v>
      </c>
      <c r="D158" s="30" t="s">
        <v>277</v>
      </c>
      <c r="E158" s="30" t="s">
        <v>478</v>
      </c>
      <c r="F158" s="30" t="s">
        <v>11</v>
      </c>
      <c r="G158" s="30" t="s">
        <v>299</v>
      </c>
      <c r="H158" s="30" t="s">
        <v>80</v>
      </c>
      <c r="I158" s="30"/>
      <c r="J158" s="31">
        <v>42396.885925925926</v>
      </c>
      <c r="K158" s="30" t="s">
        <v>20</v>
      </c>
      <c r="L158" s="30" t="s">
        <v>3</v>
      </c>
      <c r="M158" s="31">
        <v>42396.885925925926</v>
      </c>
      <c r="N158" s="30" t="s">
        <v>83</v>
      </c>
      <c r="O158" s="30"/>
      <c r="P158" s="30"/>
      <c r="Q158" s="30" t="s">
        <v>6</v>
      </c>
      <c r="R158" s="30" t="s">
        <v>30</v>
      </c>
      <c r="S158" s="30" t="s">
        <v>8</v>
      </c>
      <c r="T158" s="30" t="s">
        <v>116</v>
      </c>
      <c r="U158" s="30"/>
      <c r="V158" s="30" t="s">
        <v>7</v>
      </c>
      <c r="W158" s="30" t="s">
        <v>10</v>
      </c>
      <c r="X158" s="30" t="s">
        <v>7</v>
      </c>
      <c r="Y158" s="30" t="s">
        <v>112</v>
      </c>
      <c r="Z158" s="30" t="s">
        <v>7</v>
      </c>
      <c r="AA158" s="30" t="s">
        <v>7</v>
      </c>
      <c r="AB158" s="30" t="s">
        <v>7</v>
      </c>
      <c r="AC158" s="30" t="s">
        <v>7</v>
      </c>
      <c r="AD158" s="30" t="s">
        <v>7</v>
      </c>
      <c r="AE158" s="30" t="s">
        <v>7</v>
      </c>
    </row>
    <row r="159" spans="1:31" x14ac:dyDescent="0.25">
      <c r="A159" s="24">
        <f t="shared" ca="1" si="2"/>
        <v>1284</v>
      </c>
      <c r="B159" s="24">
        <f t="shared" ca="1" si="3"/>
        <v>1317</v>
      </c>
      <c r="C159" s="30">
        <v>76153</v>
      </c>
      <c r="D159" s="30" t="s">
        <v>286</v>
      </c>
      <c r="E159" s="30" t="s">
        <v>479</v>
      </c>
      <c r="F159" s="30" t="s">
        <v>11</v>
      </c>
      <c r="G159" s="30" t="s">
        <v>299</v>
      </c>
      <c r="H159" s="30" t="s">
        <v>80</v>
      </c>
      <c r="I159" s="30"/>
      <c r="J159" s="31">
        <v>42429.592511574076</v>
      </c>
      <c r="K159" s="30" t="s">
        <v>20</v>
      </c>
      <c r="L159" s="30" t="s">
        <v>3</v>
      </c>
      <c r="M159" s="31">
        <v>42396.886122685188</v>
      </c>
      <c r="N159" s="30" t="s">
        <v>83</v>
      </c>
      <c r="O159" s="30"/>
      <c r="P159" s="30"/>
      <c r="Q159" s="30" t="s">
        <v>6</v>
      </c>
      <c r="R159" s="30" t="s">
        <v>30</v>
      </c>
      <c r="S159" s="30" t="s">
        <v>13</v>
      </c>
      <c r="T159" s="30" t="s">
        <v>19</v>
      </c>
      <c r="U159" s="30"/>
      <c r="V159" s="30" t="s">
        <v>7</v>
      </c>
      <c r="W159" s="30" t="s">
        <v>10</v>
      </c>
      <c r="X159" s="30" t="s">
        <v>7</v>
      </c>
      <c r="Y159" s="30" t="s">
        <v>112</v>
      </c>
      <c r="Z159" s="30" t="s">
        <v>7</v>
      </c>
      <c r="AA159" s="30" t="s">
        <v>7</v>
      </c>
      <c r="AB159" s="30" t="s">
        <v>7</v>
      </c>
      <c r="AC159" s="30" t="s">
        <v>7</v>
      </c>
      <c r="AD159" s="30" t="s">
        <v>7</v>
      </c>
      <c r="AE159" s="30" t="s">
        <v>7</v>
      </c>
    </row>
    <row r="160" spans="1:31" x14ac:dyDescent="0.25">
      <c r="A160" s="24">
        <f t="shared" ca="1" si="2"/>
        <v>1317</v>
      </c>
      <c r="B160" s="24">
        <f t="shared" ca="1" si="3"/>
        <v>1317</v>
      </c>
      <c r="C160" s="30">
        <v>76154</v>
      </c>
      <c r="D160" s="30" t="s">
        <v>278</v>
      </c>
      <c r="E160" s="30" t="s">
        <v>480</v>
      </c>
      <c r="F160" s="30" t="s">
        <v>11</v>
      </c>
      <c r="G160" s="30" t="s">
        <v>299</v>
      </c>
      <c r="H160" s="30" t="s">
        <v>80</v>
      </c>
      <c r="I160" s="30"/>
      <c r="J160" s="31">
        <v>42396.886296296296</v>
      </c>
      <c r="K160" s="30" t="s">
        <v>20</v>
      </c>
      <c r="L160" s="30" t="s">
        <v>3</v>
      </c>
      <c r="M160" s="31">
        <v>42396.886296296296</v>
      </c>
      <c r="N160" s="30" t="s">
        <v>22</v>
      </c>
      <c r="O160" s="30"/>
      <c r="P160" s="30"/>
      <c r="Q160" s="30" t="s">
        <v>6</v>
      </c>
      <c r="R160" s="30" t="s">
        <v>30</v>
      </c>
      <c r="S160" s="30" t="s">
        <v>24</v>
      </c>
      <c r="T160" s="30" t="s">
        <v>45</v>
      </c>
      <c r="U160" s="30"/>
      <c r="V160" s="30" t="s">
        <v>7</v>
      </c>
      <c r="W160" s="30" t="s">
        <v>10</v>
      </c>
      <c r="X160" s="30" t="s">
        <v>7</v>
      </c>
      <c r="Y160" s="30" t="s">
        <v>112</v>
      </c>
      <c r="Z160" s="30" t="s">
        <v>7</v>
      </c>
      <c r="AA160" s="30" t="s">
        <v>7</v>
      </c>
      <c r="AB160" s="30" t="s">
        <v>7</v>
      </c>
      <c r="AC160" s="30" t="s">
        <v>7</v>
      </c>
      <c r="AD160" s="30" t="s">
        <v>7</v>
      </c>
      <c r="AE160" s="30" t="s">
        <v>7</v>
      </c>
    </row>
    <row r="161" spans="1:31" x14ac:dyDescent="0.25">
      <c r="A161" s="24">
        <f t="shared" ca="1" si="2"/>
        <v>1289</v>
      </c>
      <c r="B161" s="24">
        <f t="shared" ca="1" si="3"/>
        <v>1317</v>
      </c>
      <c r="C161" s="30">
        <v>76155</v>
      </c>
      <c r="D161" s="30" t="s">
        <v>274</v>
      </c>
      <c r="E161" s="30" t="s">
        <v>481</v>
      </c>
      <c r="F161" s="30" t="s">
        <v>11</v>
      </c>
      <c r="G161" s="30" t="s">
        <v>299</v>
      </c>
      <c r="H161" s="30" t="s">
        <v>80</v>
      </c>
      <c r="I161" s="30"/>
      <c r="J161" s="31">
        <v>42425.40960648148</v>
      </c>
      <c r="K161" s="30" t="s">
        <v>20</v>
      </c>
      <c r="L161" s="30" t="s">
        <v>3</v>
      </c>
      <c r="M161" s="31">
        <v>42396.886435185188</v>
      </c>
      <c r="N161" s="30" t="s">
        <v>29</v>
      </c>
      <c r="O161" s="30"/>
      <c r="P161" s="30"/>
      <c r="Q161" s="30" t="s">
        <v>6</v>
      </c>
      <c r="R161" s="30" t="s">
        <v>30</v>
      </c>
      <c r="S161" s="30" t="s">
        <v>13</v>
      </c>
      <c r="T161" s="30" t="s">
        <v>19</v>
      </c>
      <c r="U161" s="30"/>
      <c r="V161" s="30" t="s">
        <v>7</v>
      </c>
      <c r="W161" s="30" t="s">
        <v>26</v>
      </c>
      <c r="X161" s="30" t="s">
        <v>7</v>
      </c>
      <c r="Y161" s="30" t="s">
        <v>112</v>
      </c>
      <c r="Z161" s="30" t="s">
        <v>7</v>
      </c>
      <c r="AA161" s="30" t="s">
        <v>7</v>
      </c>
      <c r="AB161" s="30" t="s">
        <v>7</v>
      </c>
      <c r="AC161" s="30" t="s">
        <v>7</v>
      </c>
      <c r="AD161" s="30" t="s">
        <v>7</v>
      </c>
      <c r="AE161" s="30" t="s">
        <v>7</v>
      </c>
    </row>
    <row r="162" spans="1:31" x14ac:dyDescent="0.25">
      <c r="A162" s="24">
        <f t="shared" ca="1" si="2"/>
        <v>1280</v>
      </c>
      <c r="B162" s="24">
        <f t="shared" ca="1" si="3"/>
        <v>1317</v>
      </c>
      <c r="C162" s="30">
        <v>76156</v>
      </c>
      <c r="D162" s="30" t="s">
        <v>286</v>
      </c>
      <c r="E162" s="30" t="s">
        <v>482</v>
      </c>
      <c r="F162" s="30" t="s">
        <v>11</v>
      </c>
      <c r="G162" s="30" t="s">
        <v>299</v>
      </c>
      <c r="H162" s="30" t="s">
        <v>80</v>
      </c>
      <c r="I162" s="30"/>
      <c r="J162" s="31">
        <v>42433.307557870372</v>
      </c>
      <c r="K162" s="30" t="s">
        <v>20</v>
      </c>
      <c r="L162" s="30" t="s">
        <v>3</v>
      </c>
      <c r="M162" s="31">
        <v>42396.886608796296</v>
      </c>
      <c r="N162" s="30" t="s">
        <v>5</v>
      </c>
      <c r="O162" s="30"/>
      <c r="P162" s="30"/>
      <c r="Q162" s="30" t="s">
        <v>6</v>
      </c>
      <c r="R162" s="30" t="s">
        <v>7</v>
      </c>
      <c r="S162" s="30" t="s">
        <v>13</v>
      </c>
      <c r="T162" s="30" t="s">
        <v>19</v>
      </c>
      <c r="U162" s="21">
        <v>41901</v>
      </c>
      <c r="V162" s="30" t="s">
        <v>7</v>
      </c>
      <c r="W162" s="30" t="s">
        <v>26</v>
      </c>
      <c r="X162" s="30" t="s">
        <v>7</v>
      </c>
      <c r="Y162" s="30" t="s">
        <v>112</v>
      </c>
      <c r="Z162" s="30" t="s">
        <v>7</v>
      </c>
      <c r="AA162" s="30" t="s">
        <v>7</v>
      </c>
      <c r="AB162" s="30" t="s">
        <v>7</v>
      </c>
      <c r="AC162" s="30" t="s">
        <v>7</v>
      </c>
      <c r="AD162" s="30" t="s">
        <v>7</v>
      </c>
      <c r="AE162" s="30" t="s">
        <v>7</v>
      </c>
    </row>
    <row r="163" spans="1:31" x14ac:dyDescent="0.25">
      <c r="A163" s="24">
        <f t="shared" ca="1" si="2"/>
        <v>1317</v>
      </c>
      <c r="B163" s="24">
        <f t="shared" ca="1" si="3"/>
        <v>1317</v>
      </c>
      <c r="C163" s="30">
        <v>76158</v>
      </c>
      <c r="D163" s="30" t="s">
        <v>273</v>
      </c>
      <c r="E163" s="30" t="s">
        <v>483</v>
      </c>
      <c r="F163" s="30" t="s">
        <v>11</v>
      </c>
      <c r="G163" s="30" t="s">
        <v>299</v>
      </c>
      <c r="H163" s="30" t="s">
        <v>80</v>
      </c>
      <c r="I163" s="30" t="s">
        <v>292</v>
      </c>
      <c r="J163" s="31">
        <v>42396.887013888889</v>
      </c>
      <c r="K163" s="30" t="s">
        <v>20</v>
      </c>
      <c r="L163" s="30" t="s">
        <v>3</v>
      </c>
      <c r="M163" s="31">
        <v>42396.887013888889</v>
      </c>
      <c r="N163" s="30" t="s">
        <v>39</v>
      </c>
      <c r="O163" s="30"/>
      <c r="P163" s="30"/>
      <c r="Q163" s="30" t="s">
        <v>6</v>
      </c>
      <c r="R163" s="30" t="s">
        <v>30</v>
      </c>
      <c r="S163" s="30" t="s">
        <v>24</v>
      </c>
      <c r="T163" s="30" t="s">
        <v>46</v>
      </c>
      <c r="U163" s="30"/>
      <c r="V163" s="30" t="s">
        <v>7</v>
      </c>
      <c r="W163" s="30" t="s">
        <v>10</v>
      </c>
      <c r="X163" s="30" t="s">
        <v>7</v>
      </c>
      <c r="Y163" s="30" t="s">
        <v>112</v>
      </c>
      <c r="Z163" s="30" t="s">
        <v>7</v>
      </c>
      <c r="AA163" s="30" t="s">
        <v>7</v>
      </c>
      <c r="AB163" s="30" t="s">
        <v>7</v>
      </c>
      <c r="AC163" s="30" t="s">
        <v>7</v>
      </c>
      <c r="AD163" s="30" t="s">
        <v>7</v>
      </c>
      <c r="AE163" s="30" t="s">
        <v>7</v>
      </c>
    </row>
    <row r="164" spans="1:31" x14ac:dyDescent="0.25">
      <c r="A164" s="24">
        <f t="shared" ca="1" si="2"/>
        <v>1275</v>
      </c>
      <c r="B164" s="24">
        <f t="shared" ca="1" si="3"/>
        <v>1317</v>
      </c>
      <c r="C164" s="30">
        <v>76159</v>
      </c>
      <c r="D164" s="30" t="s">
        <v>286</v>
      </c>
      <c r="E164" s="30" t="s">
        <v>484</v>
      </c>
      <c r="F164" s="30" t="s">
        <v>11</v>
      </c>
      <c r="G164" s="30" t="s">
        <v>299</v>
      </c>
      <c r="H164" s="30" t="s">
        <v>80</v>
      </c>
      <c r="I164" s="30"/>
      <c r="J164" s="31">
        <v>42438.594490740739</v>
      </c>
      <c r="K164" s="30" t="s">
        <v>20</v>
      </c>
      <c r="L164" s="30" t="s">
        <v>3</v>
      </c>
      <c r="M164" s="31">
        <v>42396.887187499997</v>
      </c>
      <c r="N164" s="30" t="s">
        <v>39</v>
      </c>
      <c r="O164" s="30"/>
      <c r="P164" s="30"/>
      <c r="Q164" s="30" t="s">
        <v>6</v>
      </c>
      <c r="R164" s="30" t="s">
        <v>30</v>
      </c>
      <c r="S164" s="30" t="s">
        <v>13</v>
      </c>
      <c r="T164" s="30" t="s">
        <v>19</v>
      </c>
      <c r="U164" s="30"/>
      <c r="V164" s="30" t="s">
        <v>7</v>
      </c>
      <c r="W164" s="30" t="s">
        <v>10</v>
      </c>
      <c r="X164" s="30" t="s">
        <v>7</v>
      </c>
      <c r="Y164" s="30" t="s">
        <v>112</v>
      </c>
      <c r="Z164" s="30" t="s">
        <v>7</v>
      </c>
      <c r="AA164" s="30" t="s">
        <v>7</v>
      </c>
      <c r="AB164" s="30" t="s">
        <v>7</v>
      </c>
      <c r="AC164" s="30" t="s">
        <v>7</v>
      </c>
      <c r="AD164" s="30" t="s">
        <v>7</v>
      </c>
      <c r="AE164" s="30" t="s">
        <v>7</v>
      </c>
    </row>
    <row r="165" spans="1:31" x14ac:dyDescent="0.25">
      <c r="A165" s="24">
        <f t="shared" ca="1" si="2"/>
        <v>1275</v>
      </c>
      <c r="B165" s="24">
        <f t="shared" ca="1" si="3"/>
        <v>1317</v>
      </c>
      <c r="C165" s="30">
        <v>76160</v>
      </c>
      <c r="D165" s="30" t="s">
        <v>273</v>
      </c>
      <c r="E165" s="30" t="s">
        <v>485</v>
      </c>
      <c r="F165" s="30" t="s">
        <v>11</v>
      </c>
      <c r="G165" s="30" t="s">
        <v>299</v>
      </c>
      <c r="H165" s="30" t="s">
        <v>80</v>
      </c>
      <c r="I165" s="30"/>
      <c r="J165" s="31">
        <v>42438.596307870372</v>
      </c>
      <c r="K165" s="30" t="s">
        <v>20</v>
      </c>
      <c r="L165" s="30" t="s">
        <v>3</v>
      </c>
      <c r="M165" s="31">
        <v>42396.887361111112</v>
      </c>
      <c r="N165" s="30" t="s">
        <v>39</v>
      </c>
      <c r="O165" s="30"/>
      <c r="P165" s="30"/>
      <c r="Q165" s="30" t="s">
        <v>6</v>
      </c>
      <c r="R165" s="30" t="s">
        <v>30</v>
      </c>
      <c r="S165" s="30" t="s">
        <v>13</v>
      </c>
      <c r="T165" s="30" t="s">
        <v>19</v>
      </c>
      <c r="U165" s="30"/>
      <c r="V165" s="30" t="s">
        <v>7</v>
      </c>
      <c r="W165" s="30" t="s">
        <v>26</v>
      </c>
      <c r="X165" s="30" t="s">
        <v>7</v>
      </c>
      <c r="Y165" s="30" t="s">
        <v>112</v>
      </c>
      <c r="Z165" s="30" t="s">
        <v>7</v>
      </c>
      <c r="AA165" s="30" t="s">
        <v>7</v>
      </c>
      <c r="AB165" s="30" t="s">
        <v>7</v>
      </c>
      <c r="AC165" s="30" t="s">
        <v>7</v>
      </c>
      <c r="AD165" s="30" t="s">
        <v>7</v>
      </c>
      <c r="AE165" s="30" t="s">
        <v>7</v>
      </c>
    </row>
    <row r="166" spans="1:31" x14ac:dyDescent="0.25">
      <c r="A166" s="24">
        <f t="shared" ca="1" si="2"/>
        <v>1281</v>
      </c>
      <c r="B166" s="24">
        <f t="shared" ca="1" si="3"/>
        <v>1317</v>
      </c>
      <c r="C166" s="30">
        <v>76161</v>
      </c>
      <c r="D166" s="30" t="s">
        <v>286</v>
      </c>
      <c r="E166" s="30" t="s">
        <v>486</v>
      </c>
      <c r="F166" s="30" t="s">
        <v>11</v>
      </c>
      <c r="G166" s="30" t="s">
        <v>299</v>
      </c>
      <c r="H166" s="30" t="s">
        <v>80</v>
      </c>
      <c r="I166" s="30"/>
      <c r="J166" s="31">
        <v>42432.594039351854</v>
      </c>
      <c r="K166" s="30" t="s">
        <v>20</v>
      </c>
      <c r="L166" s="30" t="s">
        <v>3</v>
      </c>
      <c r="M166" s="31">
        <v>42396.887523148151</v>
      </c>
      <c r="N166" s="30" t="s">
        <v>153</v>
      </c>
      <c r="O166" s="30"/>
      <c r="P166" s="30"/>
      <c r="Q166" s="30" t="s">
        <v>6</v>
      </c>
      <c r="R166" s="30" t="s">
        <v>7</v>
      </c>
      <c r="S166" s="30" t="s">
        <v>13</v>
      </c>
      <c r="T166" s="30" t="s">
        <v>19</v>
      </c>
      <c r="U166" s="30"/>
      <c r="V166" s="30" t="s">
        <v>7</v>
      </c>
      <c r="W166" s="30" t="s">
        <v>10</v>
      </c>
      <c r="X166" s="30" t="s">
        <v>7</v>
      </c>
      <c r="Y166" s="30" t="s">
        <v>112</v>
      </c>
      <c r="Z166" s="30" t="s">
        <v>7</v>
      </c>
      <c r="AA166" s="30" t="s">
        <v>7</v>
      </c>
      <c r="AB166" s="30" t="s">
        <v>7</v>
      </c>
      <c r="AC166" s="30" t="s">
        <v>7</v>
      </c>
      <c r="AD166" s="30" t="s">
        <v>7</v>
      </c>
      <c r="AE166" s="30" t="s">
        <v>7</v>
      </c>
    </row>
    <row r="167" spans="1:31" x14ac:dyDescent="0.25">
      <c r="A167" s="24">
        <f t="shared" ca="1" si="2"/>
        <v>1275</v>
      </c>
      <c r="B167" s="24">
        <f t="shared" ca="1" si="3"/>
        <v>1317</v>
      </c>
      <c r="C167" s="30">
        <v>76162</v>
      </c>
      <c r="D167" s="30" t="s">
        <v>287</v>
      </c>
      <c r="E167" s="30" t="s">
        <v>487</v>
      </c>
      <c r="F167" s="30" t="s">
        <v>11</v>
      </c>
      <c r="G167" s="30" t="s">
        <v>299</v>
      </c>
      <c r="H167" s="30" t="s">
        <v>80</v>
      </c>
      <c r="I167" s="30"/>
      <c r="J167" s="31">
        <v>42438.598356481481</v>
      </c>
      <c r="K167" s="30" t="s">
        <v>20</v>
      </c>
      <c r="L167" s="30" t="s">
        <v>3</v>
      </c>
      <c r="M167" s="31">
        <v>42396.887812499997</v>
      </c>
      <c r="N167" s="30" t="s">
        <v>39</v>
      </c>
      <c r="O167" s="30"/>
      <c r="P167" s="30"/>
      <c r="Q167" s="30" t="s">
        <v>6</v>
      </c>
      <c r="R167" s="30" t="s">
        <v>7</v>
      </c>
      <c r="S167" s="30" t="s">
        <v>13</v>
      </c>
      <c r="T167" s="30" t="s">
        <v>19</v>
      </c>
      <c r="U167" s="30"/>
      <c r="V167" s="30" t="s">
        <v>7</v>
      </c>
      <c r="W167" s="30" t="s">
        <v>10</v>
      </c>
      <c r="X167" s="30" t="s">
        <v>7</v>
      </c>
      <c r="Y167" s="30" t="s">
        <v>112</v>
      </c>
      <c r="Z167" s="30" t="s">
        <v>7</v>
      </c>
      <c r="AA167" s="30" t="s">
        <v>7</v>
      </c>
      <c r="AB167" s="30" t="s">
        <v>7</v>
      </c>
      <c r="AC167" s="30" t="s">
        <v>7</v>
      </c>
      <c r="AD167" s="30" t="s">
        <v>7</v>
      </c>
      <c r="AE167" s="30" t="s">
        <v>7</v>
      </c>
    </row>
    <row r="168" spans="1:31" x14ac:dyDescent="0.25">
      <c r="A168" s="24">
        <f t="shared" ca="1" si="2"/>
        <v>1310</v>
      </c>
      <c r="B168" s="24">
        <f t="shared" ca="1" si="3"/>
        <v>1317</v>
      </c>
      <c r="C168" s="30">
        <v>76164</v>
      </c>
      <c r="D168" s="30" t="s">
        <v>276</v>
      </c>
      <c r="E168" s="30" t="s">
        <v>488</v>
      </c>
      <c r="F168" s="30" t="s">
        <v>11</v>
      </c>
      <c r="G168" s="30" t="s">
        <v>299</v>
      </c>
      <c r="H168" s="30" t="s">
        <v>80</v>
      </c>
      <c r="I168" s="30"/>
      <c r="J168" s="31">
        <v>42404.591134259259</v>
      </c>
      <c r="K168" s="30" t="s">
        <v>20</v>
      </c>
      <c r="L168" s="30" t="s">
        <v>79</v>
      </c>
      <c r="M168" s="31">
        <v>42396.888414351852</v>
      </c>
      <c r="N168" s="30" t="s">
        <v>5</v>
      </c>
      <c r="O168" s="30"/>
      <c r="P168" s="30"/>
      <c r="Q168" s="30" t="s">
        <v>6</v>
      </c>
      <c r="R168" s="30" t="s">
        <v>30</v>
      </c>
      <c r="S168" s="30" t="s">
        <v>8</v>
      </c>
      <c r="T168" s="30" t="s">
        <v>37</v>
      </c>
      <c r="U168" s="30"/>
      <c r="V168" s="30" t="s">
        <v>7</v>
      </c>
      <c r="W168" s="30" t="s">
        <v>10</v>
      </c>
      <c r="X168" s="30" t="s">
        <v>43</v>
      </c>
      <c r="Y168" s="30" t="s">
        <v>112</v>
      </c>
      <c r="Z168" s="30" t="s">
        <v>7</v>
      </c>
      <c r="AA168" s="30" t="s">
        <v>7</v>
      </c>
      <c r="AB168" s="30" t="s">
        <v>7</v>
      </c>
      <c r="AC168" s="30" t="s">
        <v>7</v>
      </c>
      <c r="AD168" s="30" t="s">
        <v>7</v>
      </c>
      <c r="AE168" s="30" t="s">
        <v>7</v>
      </c>
    </row>
    <row r="169" spans="1:31" x14ac:dyDescent="0.25">
      <c r="A169" s="24">
        <f t="shared" ca="1" si="2"/>
        <v>1315</v>
      </c>
      <c r="B169" s="24">
        <f t="shared" ca="1" si="3"/>
        <v>1316</v>
      </c>
      <c r="C169" s="30">
        <v>76256</v>
      </c>
      <c r="D169" s="30" t="s">
        <v>274</v>
      </c>
      <c r="E169" s="30" t="s">
        <v>489</v>
      </c>
      <c r="F169" s="30" t="s">
        <v>11</v>
      </c>
      <c r="G169" s="30" t="s">
        <v>299</v>
      </c>
      <c r="H169" s="30" t="s">
        <v>80</v>
      </c>
      <c r="I169" s="30"/>
      <c r="J169" s="31">
        <v>42398.595277777778</v>
      </c>
      <c r="K169" s="30" t="s">
        <v>20</v>
      </c>
      <c r="L169" s="30" t="s">
        <v>79</v>
      </c>
      <c r="M169" s="31">
        <v>42397.52375</v>
      </c>
      <c r="N169" s="30" t="s">
        <v>503</v>
      </c>
      <c r="O169" s="30"/>
      <c r="P169" s="30"/>
      <c r="Q169" s="30" t="s">
        <v>6</v>
      </c>
      <c r="R169" s="30" t="s">
        <v>30</v>
      </c>
      <c r="S169" s="30" t="s">
        <v>13</v>
      </c>
      <c r="T169" s="30" t="s">
        <v>35</v>
      </c>
      <c r="U169" s="30"/>
      <c r="V169" s="30" t="s">
        <v>7</v>
      </c>
      <c r="W169" s="30" t="s">
        <v>10</v>
      </c>
      <c r="X169" s="30" t="s">
        <v>7</v>
      </c>
      <c r="Y169" s="30" t="s">
        <v>112</v>
      </c>
      <c r="Z169" s="30" t="s">
        <v>7</v>
      </c>
      <c r="AA169" s="30" t="s">
        <v>7</v>
      </c>
      <c r="AB169" s="30" t="s">
        <v>7</v>
      </c>
      <c r="AC169" s="30" t="s">
        <v>7</v>
      </c>
      <c r="AD169" s="30" t="s">
        <v>7</v>
      </c>
      <c r="AE169" s="30" t="s">
        <v>7</v>
      </c>
    </row>
    <row r="170" spans="1:31" x14ac:dyDescent="0.25">
      <c r="A170" s="24">
        <f t="shared" ca="1" si="2"/>
        <v>1269</v>
      </c>
      <c r="B170" s="24">
        <f t="shared" ca="1" si="3"/>
        <v>1309</v>
      </c>
      <c r="C170" s="30">
        <v>76603</v>
      </c>
      <c r="D170" s="30" t="s">
        <v>273</v>
      </c>
      <c r="E170" s="30" t="s">
        <v>519</v>
      </c>
      <c r="F170" s="30" t="s">
        <v>138</v>
      </c>
      <c r="G170" s="30" t="s">
        <v>299</v>
      </c>
      <c r="H170" s="30" t="s">
        <v>80</v>
      </c>
      <c r="I170" s="30"/>
      <c r="J170" s="31">
        <v>42444.308483796296</v>
      </c>
      <c r="K170" s="30" t="s">
        <v>20</v>
      </c>
      <c r="L170" s="30" t="s">
        <v>299</v>
      </c>
      <c r="M170" s="31">
        <v>42405.02480324074</v>
      </c>
      <c r="N170" s="30" t="s">
        <v>312</v>
      </c>
      <c r="O170" s="30"/>
      <c r="P170" s="30" t="s">
        <v>358</v>
      </c>
      <c r="Q170" s="30" t="s">
        <v>12</v>
      </c>
      <c r="R170" s="30" t="s">
        <v>30</v>
      </c>
      <c r="S170" s="30" t="s">
        <v>13</v>
      </c>
      <c r="T170" s="30" t="s">
        <v>19</v>
      </c>
      <c r="U170" s="30"/>
      <c r="V170" s="30" t="s">
        <v>7</v>
      </c>
      <c r="W170" s="30" t="s">
        <v>10</v>
      </c>
      <c r="X170" s="30" t="s">
        <v>7</v>
      </c>
      <c r="Y170" s="30" t="s">
        <v>112</v>
      </c>
      <c r="Z170" s="30" t="s">
        <v>7</v>
      </c>
      <c r="AA170" s="30" t="s">
        <v>7</v>
      </c>
      <c r="AB170" s="30" t="s">
        <v>7</v>
      </c>
      <c r="AC170" s="30" t="s">
        <v>7</v>
      </c>
      <c r="AD170" s="30" t="s">
        <v>7</v>
      </c>
      <c r="AE170" s="30" t="s">
        <v>7</v>
      </c>
    </row>
    <row r="171" spans="1:31" x14ac:dyDescent="0.25">
      <c r="A171" s="24">
        <f t="shared" ca="1" si="2"/>
        <v>1309</v>
      </c>
      <c r="B171" s="24">
        <f t="shared" ca="1" si="3"/>
        <v>1309</v>
      </c>
      <c r="C171" s="30">
        <v>76606</v>
      </c>
      <c r="D171" s="30" t="s">
        <v>273</v>
      </c>
      <c r="E171" s="30" t="s">
        <v>490</v>
      </c>
      <c r="F171" s="30" t="s">
        <v>11</v>
      </c>
      <c r="G171" s="30" t="s">
        <v>299</v>
      </c>
      <c r="H171" s="30" t="s">
        <v>80</v>
      </c>
      <c r="I171" s="30"/>
      <c r="J171" s="31">
        <v>42405.025196759256</v>
      </c>
      <c r="K171" s="30" t="s">
        <v>20</v>
      </c>
      <c r="L171" s="30" t="s">
        <v>299</v>
      </c>
      <c r="M171" s="31">
        <v>42405.025196759256</v>
      </c>
      <c r="N171" s="30" t="s">
        <v>312</v>
      </c>
      <c r="O171" s="30"/>
      <c r="P171" s="30" t="s">
        <v>308</v>
      </c>
      <c r="Q171" s="30" t="s">
        <v>6</v>
      </c>
      <c r="R171" s="30" t="s">
        <v>30</v>
      </c>
      <c r="S171" s="30" t="s">
        <v>24</v>
      </c>
      <c r="T171" s="30" t="s">
        <v>45</v>
      </c>
      <c r="U171" s="30"/>
      <c r="V171" s="30" t="s">
        <v>7</v>
      </c>
      <c r="W171" s="30" t="s">
        <v>10</v>
      </c>
      <c r="X171" s="30" t="s">
        <v>7</v>
      </c>
      <c r="Y171" s="30" t="s">
        <v>112</v>
      </c>
      <c r="Z171" s="30" t="s">
        <v>7</v>
      </c>
      <c r="AA171" s="30" t="s">
        <v>7</v>
      </c>
      <c r="AB171" s="30" t="s">
        <v>7</v>
      </c>
      <c r="AC171" s="30" t="s">
        <v>7</v>
      </c>
      <c r="AD171" s="30" t="s">
        <v>7</v>
      </c>
      <c r="AE171" s="30" t="s">
        <v>7</v>
      </c>
    </row>
    <row r="172" spans="1:31" x14ac:dyDescent="0.25">
      <c r="A172" s="24">
        <f t="shared" ca="1" si="2"/>
        <v>1275</v>
      </c>
      <c r="B172" s="24">
        <f t="shared" ca="1" si="3"/>
        <v>1304</v>
      </c>
      <c r="C172" s="30">
        <v>76846</v>
      </c>
      <c r="D172" s="30" t="s">
        <v>344</v>
      </c>
      <c r="E172" s="30" t="s">
        <v>367</v>
      </c>
      <c r="F172" s="30" t="s">
        <v>11</v>
      </c>
      <c r="G172" s="30" t="s">
        <v>299</v>
      </c>
      <c r="H172" s="30" t="s">
        <v>80</v>
      </c>
      <c r="I172" s="30"/>
      <c r="J172" s="31">
        <v>42438.316261574073</v>
      </c>
      <c r="K172" s="30" t="s">
        <v>20</v>
      </c>
      <c r="L172" s="30" t="s">
        <v>79</v>
      </c>
      <c r="M172" s="31">
        <v>42410.023692129631</v>
      </c>
      <c r="N172" s="30" t="s">
        <v>16</v>
      </c>
      <c r="O172" s="30"/>
      <c r="P172" s="30"/>
      <c r="Q172" s="30" t="s">
        <v>6</v>
      </c>
      <c r="R172" s="30" t="s">
        <v>30</v>
      </c>
      <c r="S172" s="30" t="s">
        <v>13</v>
      </c>
      <c r="T172" s="30" t="s">
        <v>19</v>
      </c>
      <c r="U172" s="30"/>
      <c r="V172" s="30" t="s">
        <v>7</v>
      </c>
      <c r="W172" s="30" t="s">
        <v>88</v>
      </c>
      <c r="X172" s="30" t="s">
        <v>7</v>
      </c>
      <c r="Y172" s="30" t="s">
        <v>112</v>
      </c>
      <c r="Z172" s="30" t="s">
        <v>7</v>
      </c>
      <c r="AA172" s="30" t="s">
        <v>7</v>
      </c>
      <c r="AB172" s="30" t="s">
        <v>7</v>
      </c>
      <c r="AC172" s="30" t="s">
        <v>7</v>
      </c>
      <c r="AD172" s="30" t="s">
        <v>7</v>
      </c>
      <c r="AE172" s="30" t="s">
        <v>7</v>
      </c>
    </row>
    <row r="173" spans="1:31" x14ac:dyDescent="0.25">
      <c r="A173" s="24">
        <f t="shared" ca="1" si="2"/>
        <v>1304</v>
      </c>
      <c r="B173" s="24">
        <f t="shared" ca="1" si="3"/>
        <v>1304</v>
      </c>
      <c r="C173" s="30">
        <v>76847</v>
      </c>
      <c r="D173" s="30" t="s">
        <v>286</v>
      </c>
      <c r="E173" s="30" t="s">
        <v>491</v>
      </c>
      <c r="F173" s="30" t="s">
        <v>138</v>
      </c>
      <c r="G173" s="30" t="s">
        <v>299</v>
      </c>
      <c r="H173" s="30" t="s">
        <v>80</v>
      </c>
      <c r="I173" s="30"/>
      <c r="J173" s="31">
        <v>42410.023888888885</v>
      </c>
      <c r="K173" s="30" t="s">
        <v>20</v>
      </c>
      <c r="L173" s="30" t="s">
        <v>299</v>
      </c>
      <c r="M173" s="31">
        <v>42410.023888888885</v>
      </c>
      <c r="N173" s="30" t="s">
        <v>39</v>
      </c>
      <c r="O173" s="30"/>
      <c r="P173" s="30"/>
      <c r="Q173" s="30" t="s">
        <v>17</v>
      </c>
      <c r="R173" s="30" t="s">
        <v>30</v>
      </c>
      <c r="S173" s="30" t="s">
        <v>13</v>
      </c>
      <c r="T173" s="30" t="s">
        <v>19</v>
      </c>
      <c r="U173" s="30"/>
      <c r="V173" s="30" t="s">
        <v>7</v>
      </c>
      <c r="W173" s="30" t="s">
        <v>10</v>
      </c>
      <c r="X173" s="30" t="s">
        <v>7</v>
      </c>
      <c r="Y173" s="30" t="s">
        <v>112</v>
      </c>
      <c r="Z173" s="30" t="s">
        <v>7</v>
      </c>
      <c r="AA173" s="30" t="s">
        <v>7</v>
      </c>
      <c r="AB173" s="30" t="s">
        <v>7</v>
      </c>
      <c r="AC173" s="30" t="s">
        <v>7</v>
      </c>
      <c r="AD173" s="30" t="s">
        <v>7</v>
      </c>
      <c r="AE173" s="30" t="s">
        <v>7</v>
      </c>
    </row>
    <row r="174" spans="1:31" x14ac:dyDescent="0.25">
      <c r="A174" s="24">
        <f t="shared" ca="1" si="2"/>
        <v>1303</v>
      </c>
      <c r="B174" s="24">
        <f t="shared" ca="1" si="3"/>
        <v>1303</v>
      </c>
      <c r="C174" s="30">
        <v>76924</v>
      </c>
      <c r="D174" s="30" t="s">
        <v>286</v>
      </c>
      <c r="E174" s="30" t="s">
        <v>492</v>
      </c>
      <c r="F174" s="30" t="s">
        <v>11</v>
      </c>
      <c r="G174" s="30" t="s">
        <v>299</v>
      </c>
      <c r="H174" s="30" t="s">
        <v>80</v>
      </c>
      <c r="I174" s="30"/>
      <c r="J174" s="31">
        <v>42411.02375</v>
      </c>
      <c r="K174" s="30" t="s">
        <v>20</v>
      </c>
      <c r="L174" s="30" t="s">
        <v>82</v>
      </c>
      <c r="M174" s="31">
        <v>42411.02375</v>
      </c>
      <c r="N174" s="30" t="s">
        <v>16</v>
      </c>
      <c r="O174" s="30"/>
      <c r="P174" s="30"/>
      <c r="Q174" s="30" t="s">
        <v>6</v>
      </c>
      <c r="R174" s="30" t="s">
        <v>30</v>
      </c>
      <c r="S174" s="30" t="s">
        <v>13</v>
      </c>
      <c r="T174" s="30" t="s">
        <v>19</v>
      </c>
      <c r="U174" s="30"/>
      <c r="V174" s="30" t="s">
        <v>7</v>
      </c>
      <c r="W174" s="30" t="s">
        <v>10</v>
      </c>
      <c r="X174" s="30" t="s">
        <v>7</v>
      </c>
      <c r="Y174" s="30" t="s">
        <v>112</v>
      </c>
      <c r="Z174" s="30" t="s">
        <v>7</v>
      </c>
      <c r="AA174" s="30" t="s">
        <v>7</v>
      </c>
      <c r="AB174" s="30" t="s">
        <v>7</v>
      </c>
      <c r="AC174" s="30" t="s">
        <v>7</v>
      </c>
      <c r="AD174" s="30" t="s">
        <v>7</v>
      </c>
      <c r="AE174" s="30" t="s">
        <v>7</v>
      </c>
    </row>
    <row r="175" spans="1:31" x14ac:dyDescent="0.25">
      <c r="A175" s="24">
        <f t="shared" ca="1" si="2"/>
        <v>1303</v>
      </c>
      <c r="B175" s="24">
        <f t="shared" ca="1" si="3"/>
        <v>1303</v>
      </c>
      <c r="C175" s="30">
        <v>76925</v>
      </c>
      <c r="D175" s="30" t="s">
        <v>320</v>
      </c>
      <c r="E175" s="30" t="s">
        <v>493</v>
      </c>
      <c r="F175" s="30" t="s">
        <v>11</v>
      </c>
      <c r="G175" s="30" t="s">
        <v>299</v>
      </c>
      <c r="H175" s="30" t="s">
        <v>80</v>
      </c>
      <c r="I175" s="30"/>
      <c r="J175" s="31">
        <v>42411.024004629631</v>
      </c>
      <c r="K175" s="30" t="s">
        <v>20</v>
      </c>
      <c r="L175" s="30" t="s">
        <v>299</v>
      </c>
      <c r="M175" s="31">
        <v>42411.024004629631</v>
      </c>
      <c r="N175" s="30" t="s">
        <v>114</v>
      </c>
      <c r="O175" s="30"/>
      <c r="P175" s="30" t="s">
        <v>52</v>
      </c>
      <c r="Q175" s="30" t="s">
        <v>6</v>
      </c>
      <c r="R175" s="30" t="s">
        <v>30</v>
      </c>
      <c r="S175" s="30" t="s">
        <v>13</v>
      </c>
      <c r="T175" s="30" t="s">
        <v>19</v>
      </c>
      <c r="U175" s="30"/>
      <c r="V175" s="30" t="s">
        <v>7</v>
      </c>
      <c r="W175" s="30" t="s">
        <v>10</v>
      </c>
      <c r="X175" s="30" t="s">
        <v>7</v>
      </c>
      <c r="Y175" s="30" t="s">
        <v>112</v>
      </c>
      <c r="Z175" s="30" t="s">
        <v>7</v>
      </c>
      <c r="AA175" s="30" t="s">
        <v>7</v>
      </c>
      <c r="AB175" s="30" t="s">
        <v>7</v>
      </c>
      <c r="AC175" s="30" t="s">
        <v>253</v>
      </c>
      <c r="AD175" s="30" t="s">
        <v>7</v>
      </c>
      <c r="AE175" s="30" t="s">
        <v>7</v>
      </c>
    </row>
    <row r="176" spans="1:31" x14ac:dyDescent="0.25">
      <c r="A176" s="24">
        <f t="shared" ca="1" si="2"/>
        <v>1275</v>
      </c>
      <c r="B176" s="24">
        <f t="shared" ca="1" si="3"/>
        <v>1303</v>
      </c>
      <c r="C176" s="30">
        <v>76926</v>
      </c>
      <c r="D176" s="30" t="s">
        <v>287</v>
      </c>
      <c r="E176" s="30" t="s">
        <v>494</v>
      </c>
      <c r="F176" s="30" t="s">
        <v>11</v>
      </c>
      <c r="G176" s="30" t="s">
        <v>299</v>
      </c>
      <c r="H176" s="30" t="s">
        <v>80</v>
      </c>
      <c r="I176" s="30"/>
      <c r="J176" s="31">
        <v>42438.577962962961</v>
      </c>
      <c r="K176" s="30" t="s">
        <v>20</v>
      </c>
      <c r="L176" s="30" t="s">
        <v>299</v>
      </c>
      <c r="M176" s="31">
        <v>42411.024305555555</v>
      </c>
      <c r="N176" s="30" t="s">
        <v>114</v>
      </c>
      <c r="O176" s="30"/>
      <c r="P176" s="30" t="s">
        <v>52</v>
      </c>
      <c r="Q176" s="30" t="s">
        <v>6</v>
      </c>
      <c r="R176" s="30" t="s">
        <v>30</v>
      </c>
      <c r="S176" s="30" t="s">
        <v>13</v>
      </c>
      <c r="T176" s="30" t="s">
        <v>302</v>
      </c>
      <c r="U176" s="30"/>
      <c r="V176" s="30" t="s">
        <v>7</v>
      </c>
      <c r="W176" s="30" t="s">
        <v>10</v>
      </c>
      <c r="X176" s="30" t="s">
        <v>43</v>
      </c>
      <c r="Y176" s="30" t="s">
        <v>112</v>
      </c>
      <c r="Z176" s="30" t="s">
        <v>7</v>
      </c>
      <c r="AA176" s="30" t="s">
        <v>7</v>
      </c>
      <c r="AB176" s="30" t="s">
        <v>7</v>
      </c>
      <c r="AC176" s="30" t="s">
        <v>253</v>
      </c>
      <c r="AD176" s="30" t="s">
        <v>7</v>
      </c>
      <c r="AE176" s="30" t="s">
        <v>7</v>
      </c>
    </row>
    <row r="177" spans="1:31" x14ac:dyDescent="0.25">
      <c r="A177" s="24">
        <f t="shared" ca="1" si="2"/>
        <v>1291</v>
      </c>
      <c r="B177" s="24">
        <f t="shared" ca="1" si="3"/>
        <v>1291</v>
      </c>
      <c r="C177" s="30">
        <v>77551</v>
      </c>
      <c r="D177" s="30" t="s">
        <v>275</v>
      </c>
      <c r="E177" s="30" t="s">
        <v>499</v>
      </c>
      <c r="F177" s="30" t="s">
        <v>11</v>
      </c>
      <c r="G177" s="30" t="s">
        <v>299</v>
      </c>
      <c r="H177" s="30" t="s">
        <v>80</v>
      </c>
      <c r="I177" s="30"/>
      <c r="J177" s="31">
        <v>42423.433449074073</v>
      </c>
      <c r="K177" s="30" t="s">
        <v>20</v>
      </c>
      <c r="L177" s="30" t="s">
        <v>299</v>
      </c>
      <c r="M177" s="31">
        <v>42423.433449074073</v>
      </c>
      <c r="N177" s="30" t="s">
        <v>312</v>
      </c>
      <c r="O177" s="30"/>
      <c r="P177" s="30"/>
      <c r="Q177" s="30" t="s">
        <v>6</v>
      </c>
      <c r="R177" s="30" t="s">
        <v>30</v>
      </c>
      <c r="S177" s="30" t="s">
        <v>8</v>
      </c>
      <c r="T177" s="30" t="s">
        <v>37</v>
      </c>
      <c r="U177" s="30"/>
      <c r="V177" s="30" t="s">
        <v>7</v>
      </c>
      <c r="W177" s="30" t="s">
        <v>10</v>
      </c>
      <c r="X177" s="30" t="s">
        <v>7</v>
      </c>
      <c r="Y177" s="30" t="s">
        <v>112</v>
      </c>
      <c r="Z177" s="30" t="s">
        <v>7</v>
      </c>
      <c r="AA177" s="30" t="s">
        <v>7</v>
      </c>
      <c r="AB177" s="30" t="s">
        <v>7</v>
      </c>
      <c r="AC177" s="30" t="s">
        <v>7</v>
      </c>
      <c r="AD177" s="30" t="s">
        <v>7</v>
      </c>
      <c r="AE177" s="30" t="s">
        <v>7</v>
      </c>
    </row>
    <row r="178" spans="1:31" x14ac:dyDescent="0.25">
      <c r="A178" s="24">
        <f t="shared" ca="1" si="2"/>
        <v>1284</v>
      </c>
      <c r="B178" s="24">
        <f t="shared" ca="1" si="3"/>
        <v>1287</v>
      </c>
      <c r="C178" s="30">
        <v>77826</v>
      </c>
      <c r="D178" s="30" t="s">
        <v>506</v>
      </c>
      <c r="E178" s="30" t="s">
        <v>507</v>
      </c>
      <c r="F178" s="30" t="s">
        <v>11</v>
      </c>
      <c r="G178" s="30" t="s">
        <v>299</v>
      </c>
      <c r="H178" s="30" t="s">
        <v>80</v>
      </c>
      <c r="I178" s="30"/>
      <c r="J178" s="31">
        <v>42429.341782407406</v>
      </c>
      <c r="K178" s="30" t="s">
        <v>20</v>
      </c>
      <c r="L178" s="30" t="s">
        <v>299</v>
      </c>
      <c r="M178" s="31">
        <v>42427.024351851855</v>
      </c>
      <c r="N178" s="30" t="s">
        <v>115</v>
      </c>
      <c r="O178" s="30"/>
      <c r="P178" s="30"/>
      <c r="Q178" s="30" t="s">
        <v>6</v>
      </c>
      <c r="R178" s="30" t="s">
        <v>30</v>
      </c>
      <c r="S178" s="30" t="s">
        <v>8</v>
      </c>
      <c r="T178" s="30" t="s">
        <v>37</v>
      </c>
      <c r="U178" s="30"/>
      <c r="V178" s="30" t="s">
        <v>7</v>
      </c>
      <c r="W178" s="30" t="s">
        <v>10</v>
      </c>
      <c r="X178" s="30" t="s">
        <v>7</v>
      </c>
      <c r="Y178" s="30" t="s">
        <v>112</v>
      </c>
      <c r="Z178" s="30" t="s">
        <v>7</v>
      </c>
      <c r="AA178" s="30" t="s">
        <v>7</v>
      </c>
      <c r="AB178" s="30" t="s">
        <v>7</v>
      </c>
      <c r="AC178" s="30" t="s">
        <v>7</v>
      </c>
      <c r="AD178" s="30" t="s">
        <v>7</v>
      </c>
      <c r="AE178" s="30" t="s">
        <v>7</v>
      </c>
    </row>
    <row r="179" spans="1:31" x14ac:dyDescent="0.25">
      <c r="A179" s="24">
        <f t="shared" ca="1" si="2"/>
        <v>1282</v>
      </c>
      <c r="B179" s="24">
        <f t="shared" ca="1" si="3"/>
        <v>1282</v>
      </c>
      <c r="C179" s="30">
        <v>78080</v>
      </c>
      <c r="D179" s="30" t="s">
        <v>344</v>
      </c>
      <c r="E179" s="30" t="s">
        <v>508</v>
      </c>
      <c r="F179" s="30" t="s">
        <v>138</v>
      </c>
      <c r="G179" s="30" t="s">
        <v>299</v>
      </c>
      <c r="H179" s="30" t="s">
        <v>80</v>
      </c>
      <c r="I179" s="30"/>
      <c r="J179" s="31">
        <v>42431.525416666664</v>
      </c>
      <c r="K179" s="30" t="s">
        <v>20</v>
      </c>
      <c r="L179" s="30" t="s">
        <v>509</v>
      </c>
      <c r="M179" s="31">
        <v>42431.525416666664</v>
      </c>
      <c r="N179" s="30" t="s">
        <v>510</v>
      </c>
      <c r="O179" s="30"/>
      <c r="P179" s="30"/>
      <c r="Q179" s="30" t="s">
        <v>17</v>
      </c>
      <c r="R179" s="30" t="s">
        <v>30</v>
      </c>
      <c r="S179" s="30" t="s">
        <v>13</v>
      </c>
      <c r="T179" s="30" t="s">
        <v>19</v>
      </c>
      <c r="U179" s="30"/>
      <c r="V179" s="30" t="s">
        <v>7</v>
      </c>
      <c r="W179" s="30" t="s">
        <v>10</v>
      </c>
      <c r="X179" s="30" t="s">
        <v>7</v>
      </c>
      <c r="Y179" s="30" t="s">
        <v>112</v>
      </c>
      <c r="Z179" s="30" t="s">
        <v>7</v>
      </c>
      <c r="AA179" s="30" t="s">
        <v>7</v>
      </c>
      <c r="AB179" s="30" t="s">
        <v>7</v>
      </c>
      <c r="AC179" s="30" t="s">
        <v>7</v>
      </c>
      <c r="AD179" s="30" t="s">
        <v>7</v>
      </c>
      <c r="AE179" s="30" t="s">
        <v>7</v>
      </c>
    </row>
    <row r="180" spans="1:31" x14ac:dyDescent="0.25">
      <c r="A180" s="24">
        <f t="shared" ca="1" si="2"/>
        <v>1280</v>
      </c>
      <c r="B180" s="24">
        <f t="shared" ca="1" si="3"/>
        <v>1280</v>
      </c>
      <c r="C180" s="30">
        <v>78201</v>
      </c>
      <c r="D180" s="30" t="s">
        <v>277</v>
      </c>
      <c r="E180" s="30" t="s">
        <v>520</v>
      </c>
      <c r="F180" s="30" t="s">
        <v>11</v>
      </c>
      <c r="G180" s="30" t="s">
        <v>299</v>
      </c>
      <c r="H180" s="30" t="s">
        <v>80</v>
      </c>
      <c r="I180" s="30"/>
      <c r="J180" s="31">
        <v>42433.02484953704</v>
      </c>
      <c r="K180" s="30" t="s">
        <v>20</v>
      </c>
      <c r="L180" s="30" t="s">
        <v>509</v>
      </c>
      <c r="M180" s="31">
        <v>42433.02484953704</v>
      </c>
      <c r="N180" s="30" t="s">
        <v>510</v>
      </c>
      <c r="O180" s="30"/>
      <c r="P180" s="30"/>
      <c r="Q180" s="30" t="s">
        <v>6</v>
      </c>
      <c r="R180" s="30" t="s">
        <v>30</v>
      </c>
      <c r="S180" s="30" t="s">
        <v>24</v>
      </c>
      <c r="T180" s="30" t="s">
        <v>45</v>
      </c>
      <c r="U180" s="30"/>
      <c r="V180" s="30" t="s">
        <v>7</v>
      </c>
      <c r="W180" s="30" t="s">
        <v>10</v>
      </c>
      <c r="X180" s="30" t="s">
        <v>7</v>
      </c>
      <c r="Y180" s="30" t="s">
        <v>112</v>
      </c>
      <c r="Z180" s="30" t="s">
        <v>7</v>
      </c>
      <c r="AA180" s="30" t="s">
        <v>7</v>
      </c>
      <c r="AB180" s="30" t="s">
        <v>7</v>
      </c>
      <c r="AC180" s="30" t="s">
        <v>7</v>
      </c>
      <c r="AD180" s="30" t="s">
        <v>7</v>
      </c>
      <c r="AE180" s="30" t="s">
        <v>7</v>
      </c>
    </row>
    <row r="181" spans="1:31" x14ac:dyDescent="0.25">
      <c r="A181" s="24">
        <f t="shared" ca="1" si="2"/>
        <v>1276</v>
      </c>
      <c r="B181" s="24">
        <f t="shared" ca="1" si="3"/>
        <v>1276</v>
      </c>
      <c r="C181" s="30">
        <v>78367</v>
      </c>
      <c r="D181" s="30" t="s">
        <v>286</v>
      </c>
      <c r="E181" s="30" t="s">
        <v>521</v>
      </c>
      <c r="F181" s="30" t="s">
        <v>138</v>
      </c>
      <c r="G181" s="30" t="s">
        <v>299</v>
      </c>
      <c r="H181" s="30" t="s">
        <v>80</v>
      </c>
      <c r="I181" s="30"/>
      <c r="J181" s="31">
        <v>42437.02449074074</v>
      </c>
      <c r="K181" s="30" t="s">
        <v>20</v>
      </c>
      <c r="L181" s="30" t="s">
        <v>26</v>
      </c>
      <c r="M181" s="31">
        <v>42437.02449074074</v>
      </c>
      <c r="N181" s="30" t="s">
        <v>49</v>
      </c>
      <c r="O181" s="30"/>
      <c r="P181" s="30"/>
      <c r="Q181" s="30" t="s">
        <v>522</v>
      </c>
      <c r="R181" s="30" t="s">
        <v>30</v>
      </c>
      <c r="S181" s="30" t="s">
        <v>13</v>
      </c>
      <c r="T181" s="30" t="s">
        <v>19</v>
      </c>
      <c r="U181" s="30"/>
      <c r="V181" s="30" t="s">
        <v>7</v>
      </c>
      <c r="W181" s="30" t="s">
        <v>10</v>
      </c>
      <c r="X181" s="30" t="s">
        <v>7</v>
      </c>
      <c r="Y181" s="30" t="s">
        <v>522</v>
      </c>
      <c r="Z181" s="30" t="s">
        <v>7</v>
      </c>
      <c r="AA181" s="30" t="s">
        <v>7</v>
      </c>
      <c r="AB181" s="30" t="s">
        <v>7</v>
      </c>
      <c r="AC181" s="30" t="s">
        <v>7</v>
      </c>
      <c r="AD181" s="30" t="s">
        <v>7</v>
      </c>
      <c r="AE181" s="30" t="s">
        <v>7</v>
      </c>
    </row>
    <row r="182" spans="1:31" x14ac:dyDescent="0.25">
      <c r="A182" s="24">
        <f t="shared" ca="1" si="2"/>
        <v>1269</v>
      </c>
      <c r="B182" s="24">
        <f t="shared" ca="1" si="3"/>
        <v>1274</v>
      </c>
      <c r="C182" s="30">
        <v>78537</v>
      </c>
      <c r="D182" s="30" t="s">
        <v>506</v>
      </c>
      <c r="E182" s="30" t="s">
        <v>523</v>
      </c>
      <c r="F182" s="30" t="s">
        <v>11</v>
      </c>
      <c r="G182" s="30" t="s">
        <v>299</v>
      </c>
      <c r="H182" s="30" t="s">
        <v>80</v>
      </c>
      <c r="I182" s="30"/>
      <c r="J182" s="31">
        <v>42444.54247685185</v>
      </c>
      <c r="K182" s="30" t="s">
        <v>20</v>
      </c>
      <c r="L182" s="30" t="s">
        <v>47</v>
      </c>
      <c r="M182" s="31">
        <v>42439.024965277778</v>
      </c>
      <c r="N182" s="30" t="s">
        <v>16</v>
      </c>
      <c r="O182" s="30"/>
      <c r="P182" s="30" t="s">
        <v>282</v>
      </c>
      <c r="Q182" s="30" t="s">
        <v>6</v>
      </c>
      <c r="R182" s="30" t="s">
        <v>30</v>
      </c>
      <c r="S182" s="30" t="s">
        <v>8</v>
      </c>
      <c r="T182" s="30" t="s">
        <v>116</v>
      </c>
      <c r="U182" s="30"/>
      <c r="V182" s="30" t="s">
        <v>7</v>
      </c>
      <c r="W182" s="30" t="s">
        <v>10</v>
      </c>
      <c r="X182" s="30" t="s">
        <v>7</v>
      </c>
      <c r="Y182" s="30" t="s">
        <v>112</v>
      </c>
      <c r="Z182" s="30" t="s">
        <v>7</v>
      </c>
      <c r="AA182" s="30" t="s">
        <v>7</v>
      </c>
      <c r="AB182" s="30" t="s">
        <v>7</v>
      </c>
      <c r="AC182" s="30" t="s">
        <v>7</v>
      </c>
      <c r="AD182" s="30" t="s">
        <v>7</v>
      </c>
      <c r="AE182" s="30" t="s">
        <v>7</v>
      </c>
    </row>
    <row r="183" spans="1:31" x14ac:dyDescent="0.25">
      <c r="A183" s="24">
        <f t="shared" ca="1" si="2"/>
        <v>1270</v>
      </c>
      <c r="B183" s="24">
        <f t="shared" ca="1" si="3"/>
        <v>1272</v>
      </c>
      <c r="C183" s="30">
        <v>78682</v>
      </c>
      <c r="D183" s="30" t="s">
        <v>277</v>
      </c>
      <c r="E183" s="30" t="s">
        <v>524</v>
      </c>
      <c r="F183" s="30" t="s">
        <v>138</v>
      </c>
      <c r="G183" s="30" t="s">
        <v>299</v>
      </c>
      <c r="H183" s="30" t="s">
        <v>80</v>
      </c>
      <c r="I183" s="30"/>
      <c r="J183" s="31">
        <v>42443.559328703705</v>
      </c>
      <c r="K183" s="30" t="s">
        <v>20</v>
      </c>
      <c r="L183" s="30" t="s">
        <v>525</v>
      </c>
      <c r="M183" s="31">
        <v>42441.024548611109</v>
      </c>
      <c r="N183" s="30" t="s">
        <v>141</v>
      </c>
      <c r="O183" s="30"/>
      <c r="P183" s="30"/>
      <c r="Q183" s="30" t="s">
        <v>522</v>
      </c>
      <c r="R183" s="30" t="s">
        <v>30</v>
      </c>
      <c r="S183" s="30" t="s">
        <v>8</v>
      </c>
      <c r="T183" s="30" t="s">
        <v>526</v>
      </c>
      <c r="U183" s="30"/>
      <c r="V183" s="30" t="s">
        <v>7</v>
      </c>
      <c r="W183" s="30" t="s">
        <v>10</v>
      </c>
      <c r="X183" s="30" t="s">
        <v>7</v>
      </c>
      <c r="Y183" s="30" t="s">
        <v>522</v>
      </c>
      <c r="Z183" s="30" t="s">
        <v>7</v>
      </c>
      <c r="AA183" s="30" t="s">
        <v>7</v>
      </c>
      <c r="AB183" s="30" t="s">
        <v>7</v>
      </c>
      <c r="AC183" s="30" t="s">
        <v>7</v>
      </c>
      <c r="AD183" s="30" t="s">
        <v>7</v>
      </c>
      <c r="AE183" s="30" t="s">
        <v>7</v>
      </c>
    </row>
    <row r="184" spans="1:31" x14ac:dyDescent="0.25">
      <c r="A184" s="24">
        <f t="shared" ca="1" si="2"/>
        <v>1270</v>
      </c>
      <c r="B184" s="24">
        <f t="shared" ca="1" si="3"/>
        <v>1270</v>
      </c>
      <c r="C184" s="30">
        <v>78770</v>
      </c>
      <c r="D184" s="30" t="s">
        <v>276</v>
      </c>
      <c r="E184" s="30" t="s">
        <v>527</v>
      </c>
      <c r="F184" s="30" t="s">
        <v>11</v>
      </c>
      <c r="G184" s="30" t="s">
        <v>299</v>
      </c>
      <c r="H184" s="30" t="s">
        <v>80</v>
      </c>
      <c r="I184" s="30"/>
      <c r="J184" s="31">
        <v>42443.926701388889</v>
      </c>
      <c r="K184" s="30" t="s">
        <v>20</v>
      </c>
      <c r="L184" s="30" t="s">
        <v>47</v>
      </c>
      <c r="M184" s="31">
        <v>42443.926701388889</v>
      </c>
      <c r="N184" s="30" t="s">
        <v>16</v>
      </c>
      <c r="O184" s="30"/>
      <c r="P184" s="30" t="s">
        <v>282</v>
      </c>
      <c r="Q184" s="30" t="s">
        <v>6</v>
      </c>
      <c r="R184" s="30" t="s">
        <v>30</v>
      </c>
      <c r="S184" s="30" t="s">
        <v>8</v>
      </c>
      <c r="T184" s="30" t="s">
        <v>140</v>
      </c>
      <c r="U184" s="30"/>
      <c r="V184" s="30" t="s">
        <v>7</v>
      </c>
      <c r="W184" s="30" t="s">
        <v>10</v>
      </c>
      <c r="X184" s="30" t="s">
        <v>7</v>
      </c>
      <c r="Y184" s="30" t="s">
        <v>112</v>
      </c>
      <c r="Z184" s="30" t="s">
        <v>7</v>
      </c>
      <c r="AA184" s="30" t="s">
        <v>7</v>
      </c>
      <c r="AB184" s="30" t="s">
        <v>7</v>
      </c>
      <c r="AC184" s="30" t="s">
        <v>7</v>
      </c>
      <c r="AD184" s="30" t="s">
        <v>7</v>
      </c>
      <c r="AE184" s="30" t="s">
        <v>7</v>
      </c>
    </row>
    <row r="185" spans="1:31" x14ac:dyDescent="0.25">
      <c r="A185" s="24">
        <f t="shared" ca="1" si="2"/>
        <v>1268</v>
      </c>
      <c r="B185" s="24">
        <f t="shared" ca="1" si="3"/>
        <v>1269</v>
      </c>
      <c r="C185" s="30">
        <v>78790</v>
      </c>
      <c r="D185" s="30" t="s">
        <v>275</v>
      </c>
      <c r="E185" s="30" t="s">
        <v>528</v>
      </c>
      <c r="F185" s="30" t="s">
        <v>11</v>
      </c>
      <c r="G185" s="30" t="s">
        <v>299</v>
      </c>
      <c r="H185" s="30" t="s">
        <v>80</v>
      </c>
      <c r="I185" s="30"/>
      <c r="J185" s="31">
        <v>42445.318981481483</v>
      </c>
      <c r="K185" s="30" t="s">
        <v>20</v>
      </c>
      <c r="L185" s="30" t="s">
        <v>299</v>
      </c>
      <c r="M185" s="31">
        <v>42444.024652777778</v>
      </c>
      <c r="N185" s="30" t="s">
        <v>500</v>
      </c>
      <c r="O185" s="30"/>
      <c r="P185" s="30"/>
      <c r="Q185" s="30" t="s">
        <v>6</v>
      </c>
      <c r="R185" s="30" t="s">
        <v>30</v>
      </c>
      <c r="S185" s="30" t="s">
        <v>8</v>
      </c>
      <c r="T185" s="30" t="s">
        <v>37</v>
      </c>
      <c r="U185" s="30"/>
      <c r="V185" s="30" t="s">
        <v>7</v>
      </c>
      <c r="W185" s="30" t="s">
        <v>10</v>
      </c>
      <c r="X185" s="30" t="s">
        <v>7</v>
      </c>
      <c r="Y185" s="30" t="s">
        <v>112</v>
      </c>
      <c r="Z185" s="30" t="s">
        <v>7</v>
      </c>
      <c r="AA185" s="30" t="s">
        <v>7</v>
      </c>
      <c r="AB185" s="30" t="s">
        <v>7</v>
      </c>
      <c r="AC185" s="30" t="s">
        <v>7</v>
      </c>
      <c r="AD185" s="30" t="s">
        <v>7</v>
      </c>
      <c r="AE185" s="30" t="s">
        <v>7</v>
      </c>
    </row>
    <row r="186" spans="1:31" x14ac:dyDescent="0.25">
      <c r="A186" s="24">
        <f t="shared" ca="1" si="2"/>
        <v>1269</v>
      </c>
      <c r="B186" s="24">
        <f t="shared" ca="1" si="3"/>
        <v>1269</v>
      </c>
      <c r="C186" s="30">
        <v>78861</v>
      </c>
      <c r="D186" s="30" t="s">
        <v>277</v>
      </c>
      <c r="E186" s="30" t="s">
        <v>529</v>
      </c>
      <c r="F186" s="30" t="s">
        <v>138</v>
      </c>
      <c r="G186" s="30" t="s">
        <v>299</v>
      </c>
      <c r="H186" s="30" t="s">
        <v>80</v>
      </c>
      <c r="I186" s="30"/>
      <c r="J186" s="31">
        <v>42444.525011574071</v>
      </c>
      <c r="K186" s="30" t="s">
        <v>20</v>
      </c>
      <c r="L186" s="30" t="s">
        <v>26</v>
      </c>
      <c r="M186" s="31">
        <v>42444.525011574071</v>
      </c>
      <c r="N186" s="30" t="s">
        <v>49</v>
      </c>
      <c r="O186" s="30"/>
      <c r="P186" s="30"/>
      <c r="Q186" s="30" t="s">
        <v>522</v>
      </c>
      <c r="R186" s="30" t="s">
        <v>30</v>
      </c>
      <c r="S186" s="30" t="s">
        <v>8</v>
      </c>
      <c r="T186" s="30" t="s">
        <v>116</v>
      </c>
      <c r="U186" s="30"/>
      <c r="V186" s="30" t="s">
        <v>7</v>
      </c>
      <c r="W186" s="30" t="s">
        <v>10</v>
      </c>
      <c r="X186" s="30" t="s">
        <v>7</v>
      </c>
      <c r="Y186" s="30" t="s">
        <v>522</v>
      </c>
      <c r="Z186" s="30" t="s">
        <v>7</v>
      </c>
      <c r="AA186" s="30" t="s">
        <v>7</v>
      </c>
      <c r="AB186" s="30" t="s">
        <v>7</v>
      </c>
      <c r="AC186" s="30" t="s">
        <v>7</v>
      </c>
      <c r="AD186" s="30" t="s">
        <v>7</v>
      </c>
      <c r="AE186" s="30" t="s">
        <v>7</v>
      </c>
    </row>
    <row r="187" spans="1:31" x14ac:dyDescent="0.25">
      <c r="A187" s="24">
        <f t="shared" ca="1" si="2"/>
        <v>1268</v>
      </c>
      <c r="B187" s="24">
        <f t="shared" ca="1" si="3"/>
        <v>1268</v>
      </c>
      <c r="C187" s="30">
        <v>78957</v>
      </c>
      <c r="D187" s="30" t="s">
        <v>276</v>
      </c>
      <c r="E187" s="30" t="s">
        <v>530</v>
      </c>
      <c r="F187" s="30" t="s">
        <v>11</v>
      </c>
      <c r="G187" s="30" t="s">
        <v>299</v>
      </c>
      <c r="H187" s="30" t="s">
        <v>80</v>
      </c>
      <c r="I187" s="30"/>
      <c r="J187" s="31">
        <v>42445.524699074071</v>
      </c>
      <c r="K187" s="30" t="s">
        <v>20</v>
      </c>
      <c r="L187" s="30" t="s">
        <v>47</v>
      </c>
      <c r="M187" s="31">
        <v>42445.524699074071</v>
      </c>
      <c r="N187" s="30" t="s">
        <v>16</v>
      </c>
      <c r="O187" s="30"/>
      <c r="P187" s="30"/>
      <c r="Q187" s="30" t="s">
        <v>6</v>
      </c>
      <c r="R187" s="30" t="s">
        <v>30</v>
      </c>
      <c r="S187" s="30" t="s">
        <v>8</v>
      </c>
      <c r="T187" s="30" t="s">
        <v>116</v>
      </c>
      <c r="U187" s="30"/>
      <c r="V187" s="30" t="s">
        <v>7</v>
      </c>
      <c r="W187" s="30" t="s">
        <v>10</v>
      </c>
      <c r="X187" s="30" t="s">
        <v>7</v>
      </c>
      <c r="Y187" s="30" t="s">
        <v>112</v>
      </c>
      <c r="Z187" s="30" t="s">
        <v>7</v>
      </c>
      <c r="AA187" s="30" t="s">
        <v>7</v>
      </c>
      <c r="AB187" s="30" t="s">
        <v>7</v>
      </c>
      <c r="AC187" s="30" t="s">
        <v>7</v>
      </c>
      <c r="AD187" s="30" t="s">
        <v>7</v>
      </c>
      <c r="AE187" s="30" t="s">
        <v>7</v>
      </c>
    </row>
    <row r="188" spans="1:31" x14ac:dyDescent="0.25">
      <c r="A188" s="24">
        <f t="shared" ca="1" si="2"/>
        <v>1267</v>
      </c>
      <c r="B188" s="24">
        <f t="shared" ca="1" si="3"/>
        <v>1267</v>
      </c>
      <c r="C188" s="30">
        <v>79034</v>
      </c>
      <c r="D188" s="30" t="s">
        <v>286</v>
      </c>
      <c r="E188" s="30" t="s">
        <v>531</v>
      </c>
      <c r="F188" s="30" t="s">
        <v>11</v>
      </c>
      <c r="G188" s="30" t="s">
        <v>299</v>
      </c>
      <c r="H188" s="30" t="s">
        <v>80</v>
      </c>
      <c r="I188" s="30"/>
      <c r="J188" s="31">
        <v>42446.526030092595</v>
      </c>
      <c r="K188" s="30" t="s">
        <v>20</v>
      </c>
      <c r="L188" s="30" t="s">
        <v>79</v>
      </c>
      <c r="M188" s="31">
        <v>42446.524780092594</v>
      </c>
      <c r="N188" s="30" t="s">
        <v>16</v>
      </c>
      <c r="O188" s="30"/>
      <c r="P188" s="30"/>
      <c r="Q188" s="30" t="s">
        <v>6</v>
      </c>
      <c r="R188" s="30" t="s">
        <v>30</v>
      </c>
      <c r="S188" s="30" t="s">
        <v>13</v>
      </c>
      <c r="T188" s="30" t="s">
        <v>19</v>
      </c>
      <c r="U188" s="30"/>
      <c r="V188" s="30" t="s">
        <v>7</v>
      </c>
      <c r="W188" s="30" t="s">
        <v>10</v>
      </c>
      <c r="X188" s="30" t="s">
        <v>7</v>
      </c>
      <c r="Y188" s="30" t="s">
        <v>112</v>
      </c>
      <c r="Z188" s="30" t="s">
        <v>7</v>
      </c>
      <c r="AA188" s="30" t="s">
        <v>7</v>
      </c>
      <c r="AB188" s="30" t="s">
        <v>7</v>
      </c>
      <c r="AC188" s="30" t="s">
        <v>7</v>
      </c>
      <c r="AD188" s="30" t="s">
        <v>7</v>
      </c>
      <c r="AE188" s="30" t="s">
        <v>7</v>
      </c>
    </row>
    <row r="189" spans="1:31" x14ac:dyDescent="0.25">
      <c r="A189" s="24">
        <f t="shared" ca="1" si="2"/>
        <v>1267</v>
      </c>
      <c r="B189" s="24">
        <f t="shared" ca="1" si="3"/>
        <v>1267</v>
      </c>
      <c r="C189" s="30">
        <v>79036</v>
      </c>
      <c r="D189" s="30" t="s">
        <v>344</v>
      </c>
      <c r="E189" s="30" t="s">
        <v>532</v>
      </c>
      <c r="F189" s="30" t="s">
        <v>138</v>
      </c>
      <c r="G189" s="30" t="s">
        <v>299</v>
      </c>
      <c r="H189" s="30" t="s">
        <v>80</v>
      </c>
      <c r="I189" s="30"/>
      <c r="J189" s="31">
        <v>42446.99287037037</v>
      </c>
      <c r="K189" s="30" t="s">
        <v>20</v>
      </c>
      <c r="L189" s="30" t="s">
        <v>44</v>
      </c>
      <c r="M189" s="31">
        <v>42446.525208333333</v>
      </c>
      <c r="N189" s="30" t="s">
        <v>16</v>
      </c>
      <c r="O189" s="30"/>
      <c r="P189" s="30"/>
      <c r="Q189" s="30" t="s">
        <v>17</v>
      </c>
      <c r="R189" s="30" t="s">
        <v>30</v>
      </c>
      <c r="S189" s="30" t="s">
        <v>13</v>
      </c>
      <c r="T189" s="30" t="s">
        <v>19</v>
      </c>
      <c r="U189" s="30"/>
      <c r="V189" s="30" t="s">
        <v>7</v>
      </c>
      <c r="W189" s="30" t="s">
        <v>10</v>
      </c>
      <c r="X189" s="30" t="s">
        <v>7</v>
      </c>
      <c r="Y189" s="30" t="s">
        <v>112</v>
      </c>
      <c r="Z189" s="30" t="s">
        <v>7</v>
      </c>
      <c r="AA189" s="30" t="s">
        <v>7</v>
      </c>
      <c r="AB189" s="30" t="s">
        <v>7</v>
      </c>
      <c r="AC189" s="30" t="s">
        <v>7</v>
      </c>
      <c r="AD189" s="30" t="s">
        <v>7</v>
      </c>
      <c r="AE189" s="30" t="s">
        <v>7</v>
      </c>
    </row>
    <row r="190" spans="1:31" x14ac:dyDescent="0.25">
      <c r="A190" s="24">
        <f t="shared" ca="1" si="2"/>
        <v>1263</v>
      </c>
      <c r="B190" s="24">
        <f t="shared" ca="1" si="3"/>
        <v>1263</v>
      </c>
      <c r="C190" s="30">
        <v>79193</v>
      </c>
      <c r="D190" s="30" t="s">
        <v>285</v>
      </c>
      <c r="E190" s="30" t="s">
        <v>533</v>
      </c>
      <c r="F190" s="30" t="s">
        <v>138</v>
      </c>
      <c r="G190" s="30" t="s">
        <v>299</v>
      </c>
      <c r="H190" s="30" t="s">
        <v>80</v>
      </c>
      <c r="I190" s="30"/>
      <c r="J190" s="31">
        <v>42450.524814814817</v>
      </c>
      <c r="K190" s="30" t="s">
        <v>20</v>
      </c>
      <c r="L190" s="30" t="s">
        <v>299</v>
      </c>
      <c r="M190" s="31">
        <v>42450.524814814817</v>
      </c>
      <c r="N190" s="30" t="s">
        <v>505</v>
      </c>
      <c r="O190" s="30"/>
      <c r="P190" s="30"/>
      <c r="Q190" s="30" t="s">
        <v>17</v>
      </c>
      <c r="R190" s="30" t="s">
        <v>30</v>
      </c>
      <c r="S190" s="30" t="s">
        <v>13</v>
      </c>
      <c r="T190" s="30" t="s">
        <v>239</v>
      </c>
      <c r="U190" s="30"/>
      <c r="V190" s="30" t="s">
        <v>7</v>
      </c>
      <c r="W190" s="30" t="s">
        <v>10</v>
      </c>
      <c r="X190" s="30" t="s">
        <v>7</v>
      </c>
      <c r="Y190" s="30" t="s">
        <v>112</v>
      </c>
      <c r="Z190" s="30" t="s">
        <v>7</v>
      </c>
      <c r="AA190" s="30" t="s">
        <v>7</v>
      </c>
      <c r="AB190" s="30" t="s">
        <v>7</v>
      </c>
      <c r="AC190" s="30" t="s">
        <v>7</v>
      </c>
      <c r="AD190" s="30" t="s">
        <v>7</v>
      </c>
      <c r="AE190" s="30" t="s">
        <v>7</v>
      </c>
    </row>
    <row r="191" spans="1:31" x14ac:dyDescent="0.25">
      <c r="A191" s="24">
        <f t="shared" ca="1" si="2"/>
        <v>1262</v>
      </c>
      <c r="B191" s="24">
        <f t="shared" ca="1" si="3"/>
        <v>1262</v>
      </c>
      <c r="C191" s="30">
        <v>79291</v>
      </c>
      <c r="D191" s="30" t="s">
        <v>286</v>
      </c>
      <c r="E191" s="30" t="s">
        <v>534</v>
      </c>
      <c r="F191" s="30" t="s">
        <v>138</v>
      </c>
      <c r="G191" s="30" t="s">
        <v>299</v>
      </c>
      <c r="H191" s="30" t="s">
        <v>80</v>
      </c>
      <c r="I191" s="30"/>
      <c r="J191" s="31">
        <v>42451.452685185184</v>
      </c>
      <c r="K191" s="30" t="s">
        <v>20</v>
      </c>
      <c r="L191" s="30" t="s">
        <v>47</v>
      </c>
      <c r="M191" s="31">
        <v>42451.452685185184</v>
      </c>
      <c r="N191" s="30" t="s">
        <v>197</v>
      </c>
      <c r="O191" s="30"/>
      <c r="P191" s="30"/>
      <c r="Q191" s="30" t="s">
        <v>17</v>
      </c>
      <c r="R191" s="30" t="s">
        <v>30</v>
      </c>
      <c r="S191" s="30" t="s">
        <v>13</v>
      </c>
      <c r="T191" s="30" t="s">
        <v>19</v>
      </c>
      <c r="U191" s="30"/>
      <c r="V191" s="30" t="s">
        <v>7</v>
      </c>
      <c r="W191" s="30" t="s">
        <v>10</v>
      </c>
      <c r="X191" s="30" t="s">
        <v>7</v>
      </c>
      <c r="Y191" s="30" t="s">
        <v>112</v>
      </c>
      <c r="Z191" s="30" t="s">
        <v>7</v>
      </c>
      <c r="AA191" s="30" t="s">
        <v>7</v>
      </c>
      <c r="AB191" s="30" t="s">
        <v>7</v>
      </c>
      <c r="AC191" s="30" t="s">
        <v>7</v>
      </c>
      <c r="AD191" s="30" t="s">
        <v>7</v>
      </c>
      <c r="AE191" s="30" t="s">
        <v>7</v>
      </c>
    </row>
    <row r="192" spans="1:31" x14ac:dyDescent="0.25">
      <c r="A192" s="24">
        <f t="shared" ca="1" si="2"/>
        <v>43104</v>
      </c>
      <c r="B192" s="24">
        <f t="shared" ca="1" si="3"/>
        <v>43104</v>
      </c>
      <c r="C192" s="24"/>
      <c r="D192" s="24"/>
      <c r="E192" s="24"/>
      <c r="F192" s="24"/>
      <c r="G192" s="24"/>
      <c r="H192" s="24"/>
      <c r="I192" s="24"/>
      <c r="J192" s="25"/>
      <c r="K192" s="24"/>
      <c r="L192" s="24"/>
      <c r="M192" s="25"/>
      <c r="N192" s="24"/>
      <c r="O192" s="24"/>
      <c r="P192" s="24"/>
      <c r="Q192" s="24"/>
      <c r="R192" s="24"/>
      <c r="S192" s="24"/>
      <c r="T192" s="24"/>
      <c r="U192" s="24"/>
      <c r="V192" s="24"/>
      <c r="W192" s="24"/>
      <c r="X192" s="24"/>
      <c r="Y192" s="24"/>
      <c r="Z192" s="24"/>
      <c r="AA192" s="24"/>
      <c r="AB192" s="24"/>
      <c r="AC192" s="24"/>
      <c r="AD192" s="24"/>
      <c r="AE192" s="24"/>
    </row>
    <row r="193" spans="1:31" x14ac:dyDescent="0.25">
      <c r="A193" s="24">
        <f t="shared" ca="1" si="2"/>
        <v>43104</v>
      </c>
      <c r="B193" s="24">
        <f t="shared" ca="1" si="3"/>
        <v>43104</v>
      </c>
      <c r="C193" s="24"/>
      <c r="D193" s="24"/>
      <c r="E193" s="24"/>
      <c r="F193" s="24"/>
      <c r="G193" s="24"/>
      <c r="H193" s="24"/>
      <c r="I193" s="24"/>
      <c r="J193" s="25"/>
      <c r="K193" s="24"/>
      <c r="L193" s="24"/>
      <c r="M193" s="25"/>
      <c r="N193" s="24"/>
      <c r="O193" s="24"/>
      <c r="P193" s="24"/>
      <c r="Q193" s="24"/>
      <c r="R193" s="24"/>
      <c r="S193" s="24"/>
      <c r="T193" s="24"/>
      <c r="U193" s="24"/>
      <c r="V193" s="24"/>
      <c r="W193" s="24"/>
      <c r="X193" s="24"/>
      <c r="Y193" s="24"/>
      <c r="Z193" s="24"/>
      <c r="AA193" s="24"/>
      <c r="AB193" s="24"/>
      <c r="AC193" s="24"/>
      <c r="AD193" s="24"/>
      <c r="AE193" s="24"/>
    </row>
    <row r="194" spans="1:31" x14ac:dyDescent="0.25">
      <c r="A194" s="24">
        <f t="shared" ca="1" si="2"/>
        <v>43104</v>
      </c>
      <c r="B194" s="24">
        <f t="shared" ca="1" si="3"/>
        <v>43104</v>
      </c>
      <c r="C194" s="24"/>
      <c r="D194" s="24"/>
      <c r="E194" s="24"/>
      <c r="F194" s="24"/>
      <c r="G194" s="24"/>
      <c r="H194" s="24"/>
      <c r="I194" s="24"/>
      <c r="J194" s="25"/>
      <c r="K194" s="24"/>
      <c r="L194" s="24"/>
      <c r="M194" s="25"/>
      <c r="N194" s="24"/>
      <c r="O194" s="24"/>
      <c r="P194" s="24"/>
      <c r="Q194" s="24"/>
      <c r="R194" s="24"/>
      <c r="S194" s="24"/>
      <c r="T194" s="24"/>
      <c r="U194" s="24"/>
      <c r="V194" s="24"/>
      <c r="W194" s="24"/>
      <c r="X194" s="24"/>
      <c r="Y194" s="24"/>
      <c r="Z194" s="24"/>
      <c r="AA194" s="24"/>
      <c r="AB194" s="24"/>
      <c r="AC194" s="24"/>
      <c r="AD194" s="24"/>
      <c r="AE194" s="24"/>
    </row>
    <row r="195" spans="1:31" x14ac:dyDescent="0.25">
      <c r="A195" s="24">
        <f t="shared" ca="1" si="2"/>
        <v>43104</v>
      </c>
      <c r="B195" s="24">
        <f t="shared" ca="1" si="3"/>
        <v>43104</v>
      </c>
      <c r="C195" s="24"/>
      <c r="D195" s="24"/>
      <c r="E195" s="24"/>
      <c r="F195" s="24"/>
      <c r="G195" s="24"/>
      <c r="H195" s="24"/>
      <c r="I195" s="24"/>
      <c r="J195" s="25"/>
      <c r="K195" s="24"/>
      <c r="L195" s="24"/>
      <c r="M195" s="25"/>
      <c r="N195" s="24"/>
      <c r="O195" s="24"/>
      <c r="P195" s="24"/>
      <c r="Q195" s="24"/>
      <c r="R195" s="24"/>
      <c r="S195" s="24"/>
      <c r="T195" s="24"/>
      <c r="U195" s="24"/>
      <c r="V195" s="24"/>
      <c r="W195" s="24"/>
      <c r="X195" s="24"/>
      <c r="Y195" s="24"/>
      <c r="Z195" s="24"/>
      <c r="AA195" s="24"/>
      <c r="AB195" s="24"/>
      <c r="AC195" s="24"/>
      <c r="AD195" s="24"/>
      <c r="AE195" s="24"/>
    </row>
    <row r="196" spans="1:31" x14ac:dyDescent="0.25">
      <c r="A196" s="24">
        <f t="shared" ca="1" si="2"/>
        <v>43104</v>
      </c>
      <c r="B196" s="24">
        <f t="shared" ca="1" si="3"/>
        <v>43104</v>
      </c>
      <c r="C196" s="24"/>
      <c r="D196" s="24"/>
      <c r="E196" s="24"/>
      <c r="F196" s="24"/>
      <c r="G196" s="24"/>
      <c r="H196" s="24"/>
      <c r="I196" s="24"/>
      <c r="J196" s="25"/>
      <c r="K196" s="24"/>
      <c r="L196" s="24"/>
      <c r="M196" s="25"/>
      <c r="N196" s="24"/>
      <c r="O196" s="24"/>
      <c r="P196" s="24"/>
      <c r="Q196" s="24"/>
      <c r="R196" s="24"/>
      <c r="S196" s="24"/>
      <c r="T196" s="24"/>
      <c r="U196" s="24"/>
      <c r="V196" s="24"/>
      <c r="W196" s="24"/>
      <c r="X196" s="24"/>
      <c r="Y196" s="24"/>
      <c r="Z196" s="24"/>
      <c r="AA196" s="24"/>
      <c r="AB196" s="24"/>
      <c r="AC196" s="24"/>
      <c r="AD196" s="24"/>
      <c r="AE196" s="24"/>
    </row>
    <row r="197" spans="1:31" x14ac:dyDescent="0.25">
      <c r="A197" s="24">
        <f t="shared" ca="1" si="2"/>
        <v>43104</v>
      </c>
      <c r="B197" s="24">
        <f t="shared" ca="1" si="3"/>
        <v>43104</v>
      </c>
      <c r="C197" s="24"/>
      <c r="D197" s="24"/>
      <c r="E197" s="24"/>
      <c r="F197" s="24"/>
      <c r="G197" s="24"/>
      <c r="H197" s="24"/>
      <c r="I197" s="24"/>
      <c r="J197" s="25"/>
      <c r="K197" s="24"/>
      <c r="L197" s="24"/>
      <c r="M197" s="25"/>
      <c r="N197" s="24"/>
      <c r="O197" s="24"/>
      <c r="P197" s="24"/>
      <c r="Q197" s="24"/>
      <c r="R197" s="24"/>
      <c r="S197" s="24"/>
      <c r="T197" s="24"/>
      <c r="U197" s="24"/>
      <c r="V197" s="24"/>
      <c r="W197" s="24"/>
      <c r="X197" s="24"/>
      <c r="Y197" s="24"/>
      <c r="Z197" s="24"/>
      <c r="AA197" s="24"/>
      <c r="AB197" s="24"/>
      <c r="AC197" s="24"/>
      <c r="AD197" s="24"/>
      <c r="AE197" s="24"/>
    </row>
    <row r="200" spans="1:31" x14ac:dyDescent="0.25">
      <c r="A200" s="24">
        <f>COUNTA(C18:C190)+(A201-1)</f>
        <v>190</v>
      </c>
      <c r="B200" s="24" t="s">
        <v>117</v>
      </c>
      <c r="C200" s="24"/>
    </row>
    <row r="201" spans="1:31" x14ac:dyDescent="0.25">
      <c r="A201" s="24">
        <v>18</v>
      </c>
      <c r="B201" s="24" t="s">
        <v>118</v>
      </c>
      <c r="C201" s="24"/>
    </row>
    <row r="202" spans="1:31" x14ac:dyDescent="0.25">
      <c r="A202" s="24" t="s">
        <v>119</v>
      </c>
      <c r="B202" s="24" t="s">
        <v>58</v>
      </c>
      <c r="C202" s="24"/>
    </row>
    <row r="203" spans="1:31" x14ac:dyDescent="0.25">
      <c r="A203" s="24" t="s">
        <v>120</v>
      </c>
      <c r="B203" s="24" t="s">
        <v>71</v>
      </c>
      <c r="C203" s="24"/>
    </row>
    <row r="204" spans="1:31" x14ac:dyDescent="0.25">
      <c r="A204" s="24" t="s">
        <v>121</v>
      </c>
      <c r="B204" s="24" t="s">
        <v>64</v>
      </c>
      <c r="C204" s="24"/>
    </row>
    <row r="205" spans="1:31" x14ac:dyDescent="0.25">
      <c r="A205" s="24" t="s">
        <v>122</v>
      </c>
      <c r="B205" s="24" t="s">
        <v>123</v>
      </c>
      <c r="C205" s="24"/>
    </row>
    <row r="206" spans="1:31" x14ac:dyDescent="0.25">
      <c r="A206" s="24" t="s">
        <v>124</v>
      </c>
      <c r="B206" s="24" t="s">
        <v>125</v>
      </c>
      <c r="C206" s="24"/>
    </row>
    <row r="207" spans="1:31" x14ac:dyDescent="0.25">
      <c r="A207" s="24" t="s">
        <v>126</v>
      </c>
      <c r="B207" s="24" t="s">
        <v>127</v>
      </c>
      <c r="C207" s="24"/>
    </row>
    <row r="208" spans="1:31" x14ac:dyDescent="0.25">
      <c r="A208" s="24" t="s">
        <v>128</v>
      </c>
      <c r="B208" s="24" t="s">
        <v>129</v>
      </c>
      <c r="C208" s="24"/>
    </row>
    <row r="209" spans="1:3" x14ac:dyDescent="0.25">
      <c r="A209" s="24" t="s">
        <v>130</v>
      </c>
      <c r="B209" s="24" t="s">
        <v>131</v>
      </c>
      <c r="C209" s="24"/>
    </row>
    <row r="210" spans="1:3" x14ac:dyDescent="0.25">
      <c r="A210" s="24" t="s">
        <v>133</v>
      </c>
      <c r="B210" s="24" t="s">
        <v>134</v>
      </c>
      <c r="C210" s="24"/>
    </row>
    <row r="211" spans="1:3" x14ac:dyDescent="0.25">
      <c r="A211" s="24" t="s">
        <v>135</v>
      </c>
      <c r="B211" s="24" t="s">
        <v>136</v>
      </c>
      <c r="C211" s="24"/>
    </row>
  </sheetData>
  <autoFilter ref="A17:AE111"/>
  <conditionalFormatting sqref="C90:C91">
    <cfRule type="expression" dxfId="3" priority="1">
      <formula>IF(V90="---",IF(Z90="---",1,0),0)</formula>
    </cfRule>
    <cfRule type="expression" dxfId="2" priority="2">
      <formula>IF(FIND("Denied",V90),1,0)</formula>
    </cfRule>
    <cfRule type="expression" dxfId="1" priority="3">
      <formula>IF(FIND("Request",V90),1,0)</formula>
    </cfRule>
    <cfRule type="expression" dxfId="0" priority="4">
      <formula>IF(FIND("Approve",V90),1,0)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G17"/>
  <sheetViews>
    <sheetView workbookViewId="0">
      <selection activeCell="A17" sqref="A17"/>
    </sheetView>
  </sheetViews>
  <sheetFormatPr defaultRowHeight="15" x14ac:dyDescent="0.25"/>
  <cols>
    <col min="1" max="1" width="17.28515625" bestFit="1" customWidth="1"/>
    <col min="2" max="2" width="63.85546875" bestFit="1" customWidth="1"/>
  </cols>
  <sheetData>
    <row r="1" spans="1:7" x14ac:dyDescent="0.25">
      <c r="A1" t="s">
        <v>642</v>
      </c>
      <c r="B1" t="s">
        <v>643</v>
      </c>
      <c r="D1" t="s">
        <v>646</v>
      </c>
      <c r="G1" s="36" t="s">
        <v>648</v>
      </c>
    </row>
    <row r="2" spans="1:7" x14ac:dyDescent="0.25">
      <c r="A2" t="s">
        <v>645</v>
      </c>
      <c r="B2" t="s">
        <v>644</v>
      </c>
      <c r="D2" t="s">
        <v>647</v>
      </c>
    </row>
    <row r="3" spans="1:7" x14ac:dyDescent="0.25">
      <c r="A3" t="s">
        <v>649</v>
      </c>
      <c r="B3" t="s">
        <v>357</v>
      </c>
    </row>
    <row r="4" spans="1:7" x14ac:dyDescent="0.25">
      <c r="A4" s="72" t="s">
        <v>651</v>
      </c>
      <c r="B4" s="72" t="s">
        <v>652</v>
      </c>
    </row>
    <row r="5" spans="1:7" x14ac:dyDescent="0.25">
      <c r="A5" t="s">
        <v>687</v>
      </c>
      <c r="B5" t="s">
        <v>688</v>
      </c>
    </row>
    <row r="6" spans="1:7" x14ac:dyDescent="0.25">
      <c r="A6" s="72" t="s">
        <v>653</v>
      </c>
      <c r="B6" s="72" t="s">
        <v>654</v>
      </c>
      <c r="D6" t="s">
        <v>657</v>
      </c>
      <c r="E6" s="22" t="s">
        <v>658</v>
      </c>
    </row>
    <row r="7" spans="1:7" x14ac:dyDescent="0.25">
      <c r="A7" s="72" t="s">
        <v>655</v>
      </c>
      <c r="B7" s="72" t="s">
        <v>895</v>
      </c>
    </row>
    <row r="9" spans="1:7" x14ac:dyDescent="0.25">
      <c r="A9" t="s">
        <v>662</v>
      </c>
      <c r="B9" t="s">
        <v>663</v>
      </c>
    </row>
    <row r="11" spans="1:7" x14ac:dyDescent="0.25">
      <c r="A11" t="s">
        <v>666</v>
      </c>
      <c r="B11" t="s">
        <v>667</v>
      </c>
    </row>
    <row r="13" spans="1:7" x14ac:dyDescent="0.25">
      <c r="A13" t="s">
        <v>686</v>
      </c>
      <c r="B13" t="s">
        <v>689</v>
      </c>
    </row>
    <row r="15" spans="1:7" x14ac:dyDescent="0.25">
      <c r="A15" t="s">
        <v>893</v>
      </c>
      <c r="B15" s="15" t="s">
        <v>894</v>
      </c>
    </row>
    <row r="17" spans="1:2" x14ac:dyDescent="0.25">
      <c r="A17">
        <v>113</v>
      </c>
      <c r="B17" t="s">
        <v>946</v>
      </c>
    </row>
  </sheetData>
  <sheetProtection insertColumns="0" insertRows="0"/>
  <hyperlinks>
    <hyperlink ref="B1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RedZoneAzha</vt:lpstr>
      <vt:lpstr>rzAzhaDB</vt:lpstr>
      <vt:lpstr>rzAxionDB</vt:lpstr>
      <vt:lpstr>mailTemplate</vt:lpstr>
      <vt:lpstr>2weekResolved</vt:lpstr>
      <vt:lpstr>2weekIncoming</vt:lpstr>
      <vt:lpstr>Waivers</vt:lpstr>
      <vt:lpstr>YellowZone</vt:lpstr>
      <vt:lpstr>BZurls</vt:lpstr>
      <vt:lpstr>mailTemplate!_Resolved</vt:lpstr>
      <vt:lpstr>fixPlan</vt:lpstr>
      <vt:lpstr>RedZoneAzha!TOC</vt:lpstr>
      <vt:lpstr>top</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W. Roberts</dc:creator>
  <cp:lastModifiedBy>Michael W Roberts</cp:lastModifiedBy>
  <cp:lastPrinted>2015-12-03T06:23:44Z</cp:lastPrinted>
  <dcterms:created xsi:type="dcterms:W3CDTF">2014-10-22T16:35:04Z</dcterms:created>
  <dcterms:modified xsi:type="dcterms:W3CDTF">2019-09-24T19:35:30Z</dcterms:modified>
</cp:coreProperties>
</file>